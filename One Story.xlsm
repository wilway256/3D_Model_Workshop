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486521E7-7654-443E-9029-D25C60719897}" xr6:coauthVersionLast="47" xr6:coauthVersionMax="47" xr10:uidLastSave="{00000000-0000-0000-0000-000000000000}"/>
  <bookViews>
    <workbookView xWindow="-120" yWindow="-120" windowWidth="29040" windowHeight="15840" tabRatio="903" activeTab="12" xr2:uid="{602A87BB-858A-4923-98D0-1A9BE48BFF6F}"/>
  </bookViews>
  <sheets>
    <sheet name="Dashboard" sheetId="239" r:id="rId1"/>
    <sheet name="changlog" sheetId="121" r:id="rId2"/>
    <sheet name="Floor Plan" sheetId="14" r:id="rId3"/>
    <sheet name="Tables" sheetId="16" r:id="rId4"/>
    <sheet name="recorders" sheetId="260" r:id="rId5"/>
    <sheet name="loadCases" sheetId="238" r:id="rId6"/>
    <sheet name="nodeLoads" sheetId="9" r:id="rId7"/>
    <sheet name="eleProperties" sheetId="6" r:id="rId8"/>
    <sheet name="eleTransf" sheetId="8" r:id="rId9"/>
    <sheet name="nodes" sheetId="311" r:id="rId10"/>
    <sheet name="nodeFix" sheetId="312" r:id="rId11"/>
    <sheet name="diaphragms" sheetId="313" r:id="rId12"/>
    <sheet name="nodeMass" sheetId="314" r:id="rId13"/>
    <sheet name="elements" sheetId="315" r:id="rId14"/>
  </sheets>
  <functionGroups builtInGroupCount="19"/>
  <definedNames>
    <definedName name="Case_List">OFFSET(loadCases!$A$2,0,0,COUNTA(loadCases!$A$2:$A$1048567),1)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4">OFFSET(recorders!$Q$2,0,0,1,COUNTA(recorders!$Q$1:$XFA$1))</definedName>
    <definedName name="Transformations_List">OFFSET(eleTransf!$A$2,0,0,COUNTA(eleTransf!$A:$A)-1,1)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4" l="1"/>
  <c r="E4" i="14"/>
  <c r="R4" i="260" a="1"/>
  <c r="R4" i="260" s="1"/>
  <c r="S4" i="260" a="1"/>
  <c r="S4" i="260" s="1"/>
  <c r="Q4" i="260" a="1"/>
  <c r="Q4" i="260" s="1"/>
  <c r="I8" i="6"/>
  <c r="H8" i="6"/>
  <c r="G8" i="6"/>
  <c r="D8" i="6"/>
  <c r="I7" i="6"/>
  <c r="H7" i="6"/>
  <c r="G7" i="6"/>
  <c r="D7" i="6"/>
  <c r="I6" i="6"/>
  <c r="H6" i="6"/>
  <c r="G6" i="6"/>
  <c r="D6" i="6"/>
  <c r="I10" i="6"/>
  <c r="H10" i="6"/>
  <c r="G10" i="6"/>
  <c r="D10" i="6"/>
  <c r="I9" i="6"/>
  <c r="H9" i="6"/>
  <c r="G9" i="6"/>
  <c r="D9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<sst xmlns="http://schemas.openxmlformats.org/spreadsheetml/2006/main" count="1189" uniqueCount="344">
  <si>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</si>
  <si>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</si>
  <si>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</si>
  <si>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</si>
  <si>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</si>
  <si>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</si>
  <si>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</si>
  <si>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</si>
  <si>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</si>
  <si>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</si>
  <si>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</si>
  <si>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</si>
  <si>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</si>
  <si>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</si>
  <si>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</si>
  <si>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</si>
  <si>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</si>
  <si>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</si>
  <si>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</si>
  <si>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</si>
  <si>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</si>
  <si>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</si>
  <si>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</si>
  <si>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</si>
  <si>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</si>
  <si>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</si>
  <si>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</si>
  <si>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</si>
  <si>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</si>
  <si>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</si>
  <si>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</si>
  <si>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</si>
  <si>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</si>
  <si>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</si>
  <si>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</si>
  <si>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</si>
  <si>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</si>
  <si>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</si>
  <si>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</si>
  <si>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</si>
  <si>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</si>
  <si>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</si>
  <si>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</si>
  <si>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</si>
  <si>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</si>
  <si>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</si>
  <si>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</si>
  <si>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</si>
  <si>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</si>
  <si>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</si>
  <si>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</si>
  <si>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</si>
  <si>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</si>
  <si>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</si>
  <si>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</si>
  <si>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</si>
  <si>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</si>
  <si>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</si>
  <si>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</si>
  <si>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</si>
  <si>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</si>
  <si>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</si>
  <si>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</si>
  <si>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</si>
  <si>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</si>
  <si>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</si>
  <si>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</si>
  <si>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</si>
  <si>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</si>
  <si>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</si>
  <si>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</si>
  <si>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</si>
  <si>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</si>
  <si>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</si>
  <si>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</si>
  <si>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</si>
  <si>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</si>
  <si>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</si>
  <si>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</si>
  <si>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</si>
  <si>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</si>
  <si>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</si>
  <si>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</si>
  <si>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</si>
  <si>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</si>
  <si>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</si>
  <si>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</si>
  <si>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</si>
  <si>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</si>
  <si>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</si>
  <si>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</si>
  <si>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</si>
  <si>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</si>
  <si>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</si>
  <si>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</si>
  <si>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</si>
  <si>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</si>
  <si>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</si>
  <si>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</si>
  <si>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</si>
  <si>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</si>
  <si>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</si>
  <si>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</si>
  <si>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</si>
  <si>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</si>
  <si>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</si>
  <si>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</si>
  <si>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</si>
  <si>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</si>
  <si>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</si>
  <si>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</si>
  <si>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</si>
  <si>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</si>
  <si>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</si>
  <si>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</si>
  <si>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</si>
  <si>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</si>
  <si>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</si>
  <si>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</si>
  <si>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</si>
  <si>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</si>
  <si>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</si>
  <si>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</si>
  <si>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</si>
  <si>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</si>
  <si>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</si>
  <si>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</si>
  <si>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</si>
  <si>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</si>
  <si>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</si>
  <si>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</si>
  <si>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</si>
  <si>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</si>
  <si>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</si>
  <si>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</si>
  <si>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</si>
  <si>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</si>
  <si>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</si>
  <si>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</si>
  <si>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</si>
  <si>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</si>
  <si>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</si>
  <si>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</si>
  <si>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</si>
  <si>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</si>
  <si>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</si>
  <si>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</si>
  <si>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</si>
  <si>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</si>
  <si>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</si>
  <si>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</si>
  <si>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</si>
  <si>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</si>
  <si>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</si>
  <si>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</si>
  <si>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</si>
  <si>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</si>
  <si>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</si>
  <si>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</si>
  <si>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</si>
  <si>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</si>
  <si>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</si>
  <si>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</si>
  <si>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</si>
  <si>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</si>
  <si>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</si>
  <si>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</si>
  <si>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F11</t>
  </si>
  <si>
    <t>Group Tags</t>
  </si>
  <si>
    <t>main; column</t>
  </si>
  <si>
    <t>main; wall</t>
  </si>
  <si>
    <t>Date</t>
  </si>
  <si>
    <t>Note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</si>
  <si>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</si>
  <si>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</si>
  <si>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</si>
  <si>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</si>
  <si>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</si>
  <si>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</si>
  <si>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</si>
  <si>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</si>
  <si>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</si>
  <si>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</si>
  <si>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</si>
  <si>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</si>
  <si>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</si>
  <si>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</si>
  <si>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</si>
  <si>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</si>
  <si>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</si>
  <si>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</si>
  <si>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</si>
  <si>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</si>
  <si>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</si>
  <si>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</si>
  <si>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</si>
  <si>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</si>
  <si>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</si>
  <si>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</si>
  <si>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</si>
  <si>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</si>
  <si>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</si>
  <si>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</si>
  <si>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</si>
  <si>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</si>
  <si>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</si>
  <si>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</si>
  <si>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</si>
  <si>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</si>
  <si>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</si>
  <si>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</si>
  <si>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</si>
  <si>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</si>
  <si>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</si>
  <si>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</si>
  <si>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</si>
  <si>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</si>
  <si>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</si>
  <si>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</si>
  <si>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</si>
  <si>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</si>
  <si>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F4_center</t>
  </si>
  <si>
    <t>F5_center</t>
  </si>
  <si>
    <t>F6_center</t>
  </si>
  <si>
    <t>F7_center</t>
  </si>
  <si>
    <t>F8_center</t>
  </si>
  <si>
    <t>F9_center</t>
  </si>
  <si>
    <t>F10_center</t>
  </si>
  <si>
    <t>F11_center</t>
  </si>
  <si>
    <t>Writes nodes that are on every floor.
Adds groups to nodes.
Adds master nodes for each diaphragm to node list.
Adds nodal masses at floor diaphragms.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</si>
  <si>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</si>
  <si>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</si>
  <si>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</si>
  <si>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</si>
  <si>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</si>
  <si>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</si>
  <si>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</si>
  <si>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</si>
  <si>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</si>
  <si>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</si>
  <si>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</si>
  <si>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</si>
  <si>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</si>
  <si>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</si>
  <si>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</si>
  <si>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</si>
  <si>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</si>
  <si>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</si>
  <si>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BeamAW</t>
  </si>
  <si>
    <t>BeamAE</t>
  </si>
  <si>
    <t>Beam Y</t>
  </si>
  <si>
    <t>BeamBW</t>
  </si>
  <si>
    <t>BeamBE</t>
  </si>
  <si>
    <t>BeamXcommon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</si>
  <si>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</si>
  <si>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</si>
  <si>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</si>
  <si>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</si>
  <si>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</si>
  <si>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</si>
  <si>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</si>
  <si>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</si>
  <si>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</si>
  <si>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</si>
  <si>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</si>
  <si>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</si>
  <si>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</si>
  <si>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</si>
  <si>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</si>
  <si>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</si>
  <si>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</si>
  <si>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</si>
  <si>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</si>
  <si>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</si>
  <si>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</si>
  <si>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</si>
  <si>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</si>
  <si>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</si>
  <si>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</si>
  <si>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</si>
  <si>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</si>
  <si>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</si>
  <si>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F1; main; column; base support;</t>
  </si>
  <si>
    <t>F1; main; wall; base support;</t>
  </si>
  <si>
    <t>F2; main; column;</t>
  </si>
  <si>
    <t>F2;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</si>
  <si>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</si>
  <si>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</si>
  <si>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</si>
  <si>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</si>
  <si>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</si>
  <si>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</si>
  <si>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</si>
  <si>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</si>
  <si>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</si>
  <si>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</si>
  <si>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</si>
  <si>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</si>
  <si>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</si>
  <si>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</si>
  <si>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</si>
  <si>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</si>
  <si>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</si>
  <si>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</si>
  <si>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</si>
  <si>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</si>
  <si>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</si>
  <si>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</si>
  <si>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</si>
  <si>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</si>
  <si>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</si>
  <si>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</si>
  <si>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</si>
  <si>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</si>
  <si>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</si>
  <si>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</si>
  <si>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</si>
  <si>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</si>
  <si>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</si>
  <si>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</si>
  <si>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</si>
  <si>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</si>
  <si>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</si>
  <si>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</si>
  <si>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</si>
  <si>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</si>
  <si>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</si>
  <si>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</si>
  <si>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</si>
  <si>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</si>
  <si>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</si>
  <si>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</si>
  <si>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</si>
  <si>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</si>
  <si>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</si>
  <si>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</si>
  <si>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</si>
  <si>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</si>
  <si>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</si>
  <si>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floor mass</t>
  </si>
  <si>
    <t>center_disp</t>
  </si>
  <si>
    <t>gm/RSN942_NORTHR_ALH090.txt</t>
  </si>
  <si>
    <t>DOF</t>
  </si>
  <si>
    <t>F2ColA1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</si>
</sst>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0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/>
  <dimension ref="A1"/>
  <sheetViews>
    <sheetView workbookViewId="0">
      <selection activeCell="F11" sqref="F11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0" customWidth="1"/>
    <col min="2" max="2" width="108.5703125" style="10" customWidth="1"/>
    <col min="3" max="16384" width="9.140625" hidden="1"/>
  </cols>
  <sheetData>
    <row r="1" spans="1:2" x14ac:dyDescent="0.25">
      <c r="A1" s="10" t="s">
        <v>171</v>
      </c>
      <c r="B1" s="10" t="s">
        <v>172</v>
      </c>
    </row>
    <row r="2" spans="1:2" ht="60" x14ac:dyDescent="0.25">
      <c r="A2" s="11">
        <v>44628</v>
      </c>
      <c r="B2" s="10" t="s">
        <v>229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workbookViewId="0">
      <selection activeCell="C36" sqref="C36"/>
    </sheetView>
  </sheetViews>
  <sheetFormatPr defaultColWidth="0" defaultRowHeight="15" x14ac:dyDescent="0.25"/>
  <cols>
    <col min="1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5.28515625" customWidth="1"/>
    <col min="27" max="16384" width="9.140625" hidden="1"/>
  </cols>
  <sheetData>
    <row r="1" spans="1:26" x14ac:dyDescent="0.25">
      <c r="A1" s="24" t="s">
        <v>69</v>
      </c>
      <c r="B1" s="24"/>
      <c r="C1" s="24"/>
      <c r="D1" s="24"/>
      <c r="E1" s="24"/>
      <c r="F1" s="24"/>
      <c r="H1" s="24" t="s">
        <v>155</v>
      </c>
      <c r="I1" s="24"/>
      <c r="J1" s="24"/>
      <c r="K1" s="24"/>
      <c r="L1" s="24"/>
      <c r="M1" s="24"/>
      <c r="O1" s="24" t="s">
        <v>76</v>
      </c>
      <c r="P1" s="24"/>
      <c r="Q1" s="24"/>
      <c r="R1" s="24"/>
      <c r="S1" s="24"/>
      <c r="T1" s="24"/>
      <c r="V1" s="24" t="s">
        <v>75</v>
      </c>
      <c r="W1" s="24"/>
      <c r="X1" s="24"/>
      <c r="Y1" s="24"/>
      <c r="Z1" s="24"/>
    </row>
    <row r="2" spans="1:26" x14ac:dyDescent="0.25">
      <c r="A2" t="s">
        <v>153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156</v>
      </c>
      <c r="L2" t="s">
        <v>82</v>
      </c>
      <c r="M2" t="s">
        <v>168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163</v>
      </c>
      <c r="B3" s="5" t="s">
        <v>57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169</v>
      </c>
      <c r="O3" t="s">
        <v>85</v>
      </c>
      <c r="P3" t="s">
        <v>5</v>
      </c>
      <c r="Q3" t="s">
        <v>88</v>
      </c>
      <c r="R3" t="s">
        <v>89</v>
      </c>
      <c r="S3" t="s">
        <v>150</v>
      </c>
      <c r="T3" t="s">
        <v>152</v>
      </c>
      <c r="V3" t="s">
        <v>123</v>
      </c>
      <c r="W3" t="s">
        <v>5</v>
      </c>
      <c r="X3" t="s">
        <v>88</v>
      </c>
      <c r="Y3" t="s">
        <v>148</v>
      </c>
      <c r="Z3" t="s">
        <v>32</v>
      </c>
    </row>
    <row r="4" spans="1:26" x14ac:dyDescent="0.25">
      <c r="A4" t="s">
        <v>154</v>
      </c>
      <c r="B4" t="s">
        <v>58</v>
      </c>
      <c r="C4">
        <v>189.7</v>
      </c>
      <c r="D4">
        <v>-115.9</v>
      </c>
      <c r="E4">
        <f>71.7/32.2/12</f>
        <v>0.18555900621118013</v>
      </c>
      <c r="F4">
        <f>5944/12/32.2</f>
        <v>15.38302277432712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7" t="s">
        <v>169</v>
      </c>
      <c r="O4" t="s">
        <v>86</v>
      </c>
      <c r="P4" t="s">
        <v>5</v>
      </c>
      <c r="Q4" t="s">
        <v>90</v>
      </c>
      <c r="R4" t="s">
        <v>91</v>
      </c>
      <c r="S4" t="s">
        <v>150</v>
      </c>
      <c r="T4" t="s">
        <v>152</v>
      </c>
      <c r="V4" t="s">
        <v>124</v>
      </c>
      <c r="W4" t="s">
        <v>5</v>
      </c>
      <c r="X4" t="s">
        <v>89</v>
      </c>
      <c r="Y4" t="s">
        <v>148</v>
      </c>
      <c r="Z4" t="s">
        <v>32</v>
      </c>
    </row>
    <row r="5" spans="1:26" x14ac:dyDescent="0.25"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7" t="s">
        <v>169</v>
      </c>
      <c r="O5" t="s">
        <v>87</v>
      </c>
      <c r="P5" t="s">
        <v>5</v>
      </c>
      <c r="Q5" t="s">
        <v>113</v>
      </c>
      <c r="R5" t="s">
        <v>114</v>
      </c>
      <c r="S5" t="s">
        <v>150</v>
      </c>
      <c r="T5" t="s">
        <v>152</v>
      </c>
      <c r="V5" t="s">
        <v>125</v>
      </c>
      <c r="W5" t="s">
        <v>5</v>
      </c>
      <c r="X5" t="s">
        <v>90</v>
      </c>
      <c r="Y5" t="s">
        <v>148</v>
      </c>
      <c r="Z5" t="s">
        <v>32</v>
      </c>
    </row>
    <row r="6" spans="1:26" x14ac:dyDescent="0.25">
      <c r="A6" s="7"/>
      <c r="B6" s="7"/>
      <c r="C6" s="7"/>
      <c r="D6" s="7"/>
      <c r="E6" s="7"/>
      <c r="F6" s="7"/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7" t="s">
        <v>169</v>
      </c>
      <c r="O6" t="s">
        <v>96</v>
      </c>
      <c r="P6" t="s">
        <v>5</v>
      </c>
      <c r="Q6" t="s">
        <v>92</v>
      </c>
      <c r="R6" t="s">
        <v>93</v>
      </c>
      <c r="S6" t="s">
        <v>150</v>
      </c>
      <c r="T6" t="s">
        <v>152</v>
      </c>
      <c r="V6" t="s">
        <v>126</v>
      </c>
      <c r="W6" t="s">
        <v>5</v>
      </c>
      <c r="X6" t="s">
        <v>91</v>
      </c>
      <c r="Y6" t="s">
        <v>148</v>
      </c>
      <c r="Z6" t="s">
        <v>32</v>
      </c>
    </row>
    <row r="7" spans="1:26" x14ac:dyDescent="0.25">
      <c r="A7" s="7"/>
      <c r="B7" s="7"/>
      <c r="C7" s="7"/>
      <c r="D7" s="7"/>
      <c r="E7" s="7"/>
      <c r="F7" s="7"/>
      <c r="H7" t="str">
        <f t="shared" si="0"/>
        <v>ACLT</v>
      </c>
      <c r="I7" s="3" t="s">
        <v>141</v>
      </c>
      <c r="J7" t="s">
        <v>8</v>
      </c>
      <c r="K7" t="b">
        <v>1</v>
      </c>
      <c r="L7" t="s">
        <v>25</v>
      </c>
      <c r="M7" t="s">
        <v>170</v>
      </c>
      <c r="O7" t="s">
        <v>97</v>
      </c>
      <c r="P7" t="s">
        <v>5</v>
      </c>
      <c r="Q7" t="s">
        <v>93</v>
      </c>
      <c r="R7" t="s">
        <v>94</v>
      </c>
      <c r="S7" t="s">
        <v>150</v>
      </c>
      <c r="T7" t="s">
        <v>152</v>
      </c>
      <c r="V7" t="s">
        <v>127</v>
      </c>
      <c r="W7" t="s">
        <v>5</v>
      </c>
      <c r="X7" t="s">
        <v>92</v>
      </c>
      <c r="Y7" t="s">
        <v>148</v>
      </c>
      <c r="Z7" t="s">
        <v>32</v>
      </c>
    </row>
    <row r="8" spans="1:26" x14ac:dyDescent="0.25">
      <c r="A8" s="7"/>
      <c r="B8" s="7"/>
      <c r="C8" s="7"/>
      <c r="D8" s="7"/>
      <c r="E8" s="7"/>
      <c r="F8" s="7"/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150</v>
      </c>
      <c r="T8" t="s">
        <v>152</v>
      </c>
      <c r="V8" t="s">
        <v>128</v>
      </c>
      <c r="W8" t="s">
        <v>5</v>
      </c>
      <c r="X8" t="s">
        <v>93</v>
      </c>
      <c r="Y8" t="s">
        <v>149</v>
      </c>
      <c r="Z8" t="s">
        <v>32</v>
      </c>
    </row>
    <row r="9" spans="1:26" x14ac:dyDescent="0.25">
      <c r="A9" s="7"/>
      <c r="B9" s="7"/>
      <c r="C9" s="7"/>
      <c r="D9" s="7"/>
      <c r="E9" s="7"/>
      <c r="F9" s="7"/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150</v>
      </c>
      <c r="T9" t="s">
        <v>152</v>
      </c>
      <c r="V9" t="s">
        <v>129</v>
      </c>
      <c r="W9" t="s">
        <v>5</v>
      </c>
      <c r="X9" t="s">
        <v>94</v>
      </c>
      <c r="Y9" t="s">
        <v>149</v>
      </c>
      <c r="Z9" t="s">
        <v>32</v>
      </c>
    </row>
    <row r="10" spans="1:26" x14ac:dyDescent="0.25">
      <c r="A10" s="7"/>
      <c r="B10" s="7"/>
      <c r="C10" s="7"/>
      <c r="D10" s="7"/>
      <c r="E10" s="7"/>
      <c r="F10" s="7"/>
      <c r="H10" t="str">
        <f t="shared" si="0"/>
        <v>MPP1</v>
      </c>
      <c r="I10" s="3" t="s">
        <v>77</v>
      </c>
      <c r="J10" t="s">
        <v>81</v>
      </c>
      <c r="K10" t="b">
        <v>1</v>
      </c>
      <c r="L10" s="7" t="s">
        <v>25</v>
      </c>
      <c r="M10" s="7" t="s">
        <v>170</v>
      </c>
      <c r="O10" t="s">
        <v>100</v>
      </c>
      <c r="P10" t="s">
        <v>5</v>
      </c>
      <c r="Q10" t="s">
        <v>117</v>
      </c>
      <c r="R10" t="s">
        <v>118</v>
      </c>
      <c r="S10" t="s">
        <v>150</v>
      </c>
      <c r="T10" t="s">
        <v>152</v>
      </c>
      <c r="V10" t="s">
        <v>130</v>
      </c>
      <c r="W10" t="s">
        <v>5</v>
      </c>
      <c r="X10" t="s">
        <v>95</v>
      </c>
      <c r="Y10" t="s">
        <v>148</v>
      </c>
      <c r="Z10" t="s">
        <v>32</v>
      </c>
    </row>
    <row r="11" spans="1:26" x14ac:dyDescent="0.25">
      <c r="A11" s="7"/>
      <c r="B11" s="7"/>
      <c r="C11" s="7"/>
      <c r="D11" s="7"/>
      <c r="E11" s="7"/>
      <c r="F11" s="7"/>
      <c r="H11" t="str">
        <f t="shared" si="0"/>
        <v>MPP4</v>
      </c>
      <c r="I11" s="3" t="s">
        <v>80</v>
      </c>
      <c r="J11" t="s">
        <v>81</v>
      </c>
      <c r="K11" t="b">
        <v>1</v>
      </c>
      <c r="L11" s="7" t="s">
        <v>25</v>
      </c>
      <c r="M11" s="7" t="s">
        <v>170</v>
      </c>
      <c r="O11" t="s">
        <v>101</v>
      </c>
      <c r="P11" t="s">
        <v>5</v>
      </c>
      <c r="Q11" t="s">
        <v>118</v>
      </c>
      <c r="R11" t="s">
        <v>119</v>
      </c>
      <c r="S11" t="s">
        <v>150</v>
      </c>
      <c r="T11" t="s">
        <v>152</v>
      </c>
      <c r="V11" t="s">
        <v>131</v>
      </c>
      <c r="W11" t="s">
        <v>5</v>
      </c>
      <c r="X11" t="s">
        <v>121</v>
      </c>
      <c r="Y11" t="s">
        <v>148</v>
      </c>
      <c r="Z11" s="12" t="s">
        <v>32</v>
      </c>
    </row>
    <row r="12" spans="1:26" x14ac:dyDescent="0.25">
      <c r="A12" s="7"/>
      <c r="B12" s="7"/>
      <c r="C12" s="7"/>
      <c r="D12" s="7"/>
      <c r="E12" s="7"/>
      <c r="F12" s="7"/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7" t="s">
        <v>169</v>
      </c>
      <c r="O12" t="s">
        <v>102</v>
      </c>
      <c r="P12" t="s">
        <v>5</v>
      </c>
      <c r="Q12" t="s">
        <v>119</v>
      </c>
      <c r="R12" t="s">
        <v>120</v>
      </c>
      <c r="S12" t="s">
        <v>150</v>
      </c>
      <c r="T12" t="s">
        <v>152</v>
      </c>
      <c r="V12" t="s">
        <v>132</v>
      </c>
      <c r="W12" t="s">
        <v>5</v>
      </c>
      <c r="X12" t="s">
        <v>122</v>
      </c>
      <c r="Y12" t="s">
        <v>148</v>
      </c>
      <c r="Z12" s="12" t="s">
        <v>32</v>
      </c>
    </row>
    <row r="13" spans="1:26" x14ac:dyDescent="0.25">
      <c r="A13" s="7"/>
      <c r="B13" s="7"/>
      <c r="C13" s="7"/>
      <c r="D13" s="7"/>
      <c r="E13" s="7"/>
      <c r="F13" s="7"/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7" t="s">
        <v>169</v>
      </c>
      <c r="O13" t="s">
        <v>105</v>
      </c>
      <c r="P13" t="s">
        <v>5</v>
      </c>
      <c r="Q13" t="s">
        <v>89</v>
      </c>
      <c r="R13" t="s">
        <v>113</v>
      </c>
      <c r="S13" t="s">
        <v>150</v>
      </c>
      <c r="T13" t="s">
        <v>152</v>
      </c>
      <c r="V13" t="s">
        <v>133</v>
      </c>
      <c r="W13" t="s">
        <v>5</v>
      </c>
      <c r="X13" t="s">
        <v>117</v>
      </c>
      <c r="Y13" t="s">
        <v>149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7" t="s">
        <v>169</v>
      </c>
      <c r="O14" t="s">
        <v>106</v>
      </c>
      <c r="P14" t="s">
        <v>5</v>
      </c>
      <c r="Q14" t="s">
        <v>113</v>
      </c>
      <c r="R14" t="s">
        <v>93</v>
      </c>
      <c r="S14" t="s">
        <v>150</v>
      </c>
      <c r="T14" t="s">
        <v>152</v>
      </c>
      <c r="V14" t="s">
        <v>134</v>
      </c>
      <c r="W14" t="s">
        <v>5</v>
      </c>
      <c r="X14" t="s">
        <v>118</v>
      </c>
      <c r="Y14" t="s">
        <v>149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7" t="s">
        <v>169</v>
      </c>
      <c r="O15" t="s">
        <v>107</v>
      </c>
      <c r="P15" t="s">
        <v>5</v>
      </c>
      <c r="Q15" t="s">
        <v>90</v>
      </c>
      <c r="R15" t="s">
        <v>114</v>
      </c>
      <c r="S15" t="s">
        <v>150</v>
      </c>
      <c r="T15" t="s">
        <v>152</v>
      </c>
      <c r="V15" t="s">
        <v>135</v>
      </c>
      <c r="W15" t="s">
        <v>5</v>
      </c>
      <c r="X15" t="s">
        <v>119</v>
      </c>
      <c r="Y15" t="s">
        <v>149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7" t="s">
        <v>169</v>
      </c>
      <c r="O16" t="s">
        <v>108</v>
      </c>
      <c r="P16" t="s">
        <v>5</v>
      </c>
      <c r="Q16" t="s">
        <v>114</v>
      </c>
      <c r="R16" t="s">
        <v>94</v>
      </c>
      <c r="S16" t="s">
        <v>150</v>
      </c>
      <c r="T16" t="s">
        <v>152</v>
      </c>
      <c r="V16" t="s">
        <v>136</v>
      </c>
      <c r="W16" t="s">
        <v>5</v>
      </c>
      <c r="X16" t="s">
        <v>120</v>
      </c>
      <c r="Y16" t="s">
        <v>149</v>
      </c>
      <c r="Z16" t="s">
        <v>32</v>
      </c>
    </row>
    <row r="17" spans="2:26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7" t="s">
        <v>169</v>
      </c>
      <c r="O17" t="s">
        <v>109</v>
      </c>
      <c r="P17" t="s">
        <v>5</v>
      </c>
      <c r="Q17" t="s">
        <v>121</v>
      </c>
      <c r="R17" t="s">
        <v>115</v>
      </c>
      <c r="S17" t="s">
        <v>150</v>
      </c>
      <c r="T17" t="s">
        <v>152</v>
      </c>
      <c r="V17" t="s">
        <v>137</v>
      </c>
      <c r="W17" s="22" t="s">
        <v>5</v>
      </c>
      <c r="X17" t="s">
        <v>142</v>
      </c>
      <c r="Y17" t="s">
        <v>146</v>
      </c>
      <c r="Z17" s="12" t="s">
        <v>32</v>
      </c>
    </row>
    <row r="18" spans="2:26" x14ac:dyDescent="0.25">
      <c r="H18" t="str">
        <f t="shared" si="0"/>
        <v>CCLT</v>
      </c>
      <c r="I18" s="3" t="s">
        <v>141</v>
      </c>
      <c r="J18" t="s">
        <v>55</v>
      </c>
      <c r="K18" t="b">
        <v>1</v>
      </c>
      <c r="L18" s="7" t="s">
        <v>25</v>
      </c>
      <c r="M18" s="7" t="s">
        <v>170</v>
      </c>
      <c r="O18" t="s">
        <v>110</v>
      </c>
      <c r="P18" t="s">
        <v>5</v>
      </c>
      <c r="Q18" t="s">
        <v>115</v>
      </c>
      <c r="R18" t="s">
        <v>118</v>
      </c>
      <c r="S18" t="s">
        <v>150</v>
      </c>
      <c r="T18" t="s">
        <v>152</v>
      </c>
      <c r="V18" t="s">
        <v>138</v>
      </c>
      <c r="W18" s="22" t="s">
        <v>5</v>
      </c>
      <c r="X18" t="s">
        <v>143</v>
      </c>
      <c r="Y18" t="s">
        <v>146</v>
      </c>
      <c r="Z18" s="12" t="s">
        <v>32</v>
      </c>
    </row>
    <row r="19" spans="2:26" x14ac:dyDescent="0.25">
      <c r="B19" s="7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150</v>
      </c>
      <c r="T19" t="s">
        <v>152</v>
      </c>
      <c r="V19" t="s">
        <v>139</v>
      </c>
      <c r="W19" s="22" t="s">
        <v>5</v>
      </c>
      <c r="X19" t="s">
        <v>144</v>
      </c>
      <c r="Y19" t="s">
        <v>147</v>
      </c>
      <c r="Z19" s="12" t="s">
        <v>31</v>
      </c>
    </row>
    <row r="20" spans="2:26" x14ac:dyDescent="0.25">
      <c r="B20" s="7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150</v>
      </c>
      <c r="T20" t="s">
        <v>152</v>
      </c>
      <c r="V20" t="s">
        <v>140</v>
      </c>
      <c r="W20" s="22" t="s">
        <v>5</v>
      </c>
      <c r="X20" t="s">
        <v>145</v>
      </c>
      <c r="Y20" t="s">
        <v>147</v>
      </c>
      <c r="Z20" s="12" t="s">
        <v>31</v>
      </c>
    </row>
    <row r="21" spans="2:26" x14ac:dyDescent="0.25">
      <c r="B21" s="7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7" t="s">
        <v>169</v>
      </c>
    </row>
    <row r="22" spans="2:26" x14ac:dyDescent="0.25">
      <c r="B22" s="7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7" t="s">
        <v>169</v>
      </c>
    </row>
    <row r="23" spans="2:26" x14ac:dyDescent="0.25">
      <c r="B23" s="7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7" t="s">
        <v>169</v>
      </c>
    </row>
    <row r="24" spans="2:26" x14ac:dyDescent="0.25">
      <c r="B24" s="7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7" t="s">
        <v>169</v>
      </c>
    </row>
    <row r="25" spans="2:26" x14ac:dyDescent="0.25">
      <c r="B25" s="7"/>
    </row>
    <row r="26" spans="2:26" x14ac:dyDescent="0.25">
      <c r="B26" s="7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P27"/>
  <sheetViews>
    <sheetView workbookViewId="0">
      <selection activeCell="F13" sqref="F1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</cols>
  <sheetData>
    <row r="1" spans="1:15" x14ac:dyDescent="0.25">
      <c r="A1" s="25" t="s">
        <v>164</v>
      </c>
      <c r="B1" s="25"/>
      <c r="C1" s="25"/>
      <c r="D1" s="25"/>
      <c r="E1" s="25"/>
      <c r="F1" s="25"/>
      <c r="G1" s="25"/>
      <c r="I1" s="24" t="s">
        <v>47</v>
      </c>
      <c r="J1" s="24"/>
      <c r="L1" s="24" t="s">
        <v>52</v>
      </c>
      <c r="M1" s="24"/>
      <c r="N1" s="24"/>
      <c r="O1" s="24"/>
    </row>
    <row r="2" spans="1:15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51</v>
      </c>
      <c r="M2" s="14" t="s">
        <v>53</v>
      </c>
      <c r="N2" s="15" t="s">
        <v>44</v>
      </c>
      <c r="O2" s="14" t="s">
        <v>173</v>
      </c>
    </row>
    <row r="3" spans="1:15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4" t="s">
        <v>18</v>
      </c>
      <c r="J3" s="14" t="s">
        <v>48</v>
      </c>
      <c r="L3" s="9" t="s">
        <v>77</v>
      </c>
      <c r="M3" s="14">
        <v>0</v>
      </c>
      <c r="N3" s="2" t="s">
        <v>18</v>
      </c>
      <c r="O3" s="14"/>
    </row>
    <row r="4" spans="1:15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166</v>
      </c>
      <c r="F4" s="5" t="s">
        <v>166</v>
      </c>
      <c r="G4" s="5" t="s">
        <v>166</v>
      </c>
      <c r="I4" s="14" t="s">
        <v>19</v>
      </c>
      <c r="J4" s="14" t="s">
        <v>49</v>
      </c>
      <c r="L4" s="9" t="s">
        <v>78</v>
      </c>
      <c r="M4" s="14">
        <v>126</v>
      </c>
      <c r="N4" s="2" t="s">
        <v>18</v>
      </c>
      <c r="O4" s="14"/>
    </row>
    <row r="5" spans="1:15" x14ac:dyDescent="0.25">
      <c r="A5" t="s">
        <v>165</v>
      </c>
      <c r="B5" t="s">
        <v>166</v>
      </c>
      <c r="C5" s="5" t="s">
        <v>166</v>
      </c>
      <c r="D5" s="5" t="s">
        <v>25</v>
      </c>
      <c r="E5" s="5" t="s">
        <v>25</v>
      </c>
      <c r="F5" s="5" t="s">
        <v>25</v>
      </c>
      <c r="G5" s="5" t="s">
        <v>166</v>
      </c>
      <c r="I5" s="14" t="s">
        <v>20</v>
      </c>
      <c r="J5" s="14" t="s">
        <v>50</v>
      </c>
      <c r="L5" s="9" t="s">
        <v>79</v>
      </c>
      <c r="M5" s="14">
        <v>258</v>
      </c>
      <c r="N5" s="2" t="s">
        <v>18</v>
      </c>
      <c r="O5" s="14"/>
    </row>
    <row r="6" spans="1:15" x14ac:dyDescent="0.25">
      <c r="L6" s="9" t="s">
        <v>80</v>
      </c>
      <c r="M6" s="14">
        <v>384</v>
      </c>
      <c r="N6" s="2" t="s">
        <v>18</v>
      </c>
      <c r="O6" s="14"/>
    </row>
    <row r="7" spans="1:15" x14ac:dyDescent="0.25">
      <c r="L7" s="3" t="s">
        <v>141</v>
      </c>
      <c r="M7" s="14">
        <v>192</v>
      </c>
      <c r="N7" s="2" t="s">
        <v>18</v>
      </c>
      <c r="O7" s="14" t="s">
        <v>174</v>
      </c>
    </row>
    <row r="8" spans="1:15" x14ac:dyDescent="0.25">
      <c r="L8" s="3" t="s">
        <v>8</v>
      </c>
      <c r="M8" s="14">
        <v>0</v>
      </c>
      <c r="N8" s="2" t="s">
        <v>19</v>
      </c>
      <c r="O8" s="14"/>
    </row>
    <row r="9" spans="1:15" x14ac:dyDescent="0.25">
      <c r="L9" s="3" t="s">
        <v>54</v>
      </c>
      <c r="M9" s="14">
        <v>-120</v>
      </c>
      <c r="N9" s="2" t="s">
        <v>19</v>
      </c>
      <c r="O9" s="14"/>
    </row>
    <row r="10" spans="1:15" x14ac:dyDescent="0.25">
      <c r="L10" s="3" t="s">
        <v>55</v>
      </c>
      <c r="M10" s="14">
        <v>-216</v>
      </c>
      <c r="N10" s="2" t="s">
        <v>19</v>
      </c>
      <c r="O10" s="14"/>
    </row>
    <row r="11" spans="1:15" x14ac:dyDescent="0.25">
      <c r="L11" s="3" t="s">
        <v>40</v>
      </c>
      <c r="M11" s="14">
        <v>-270</v>
      </c>
      <c r="N11" s="2" t="s">
        <v>19</v>
      </c>
      <c r="O11" s="14"/>
    </row>
    <row r="12" spans="1:15" x14ac:dyDescent="0.25">
      <c r="L12" s="3" t="s">
        <v>81</v>
      </c>
      <c r="M12" s="14">
        <v>-60</v>
      </c>
      <c r="N12" s="2" t="s">
        <v>19</v>
      </c>
      <c r="O12" s="14" t="s">
        <v>175</v>
      </c>
    </row>
    <row r="13" spans="1:15" x14ac:dyDescent="0.25">
      <c r="L13" s="3" t="s">
        <v>104</v>
      </c>
      <c r="M13" s="14">
        <v>-25.625</v>
      </c>
      <c r="N13" s="2" t="s">
        <v>19</v>
      </c>
      <c r="O13" s="14"/>
    </row>
    <row r="14" spans="1:15" x14ac:dyDescent="0.25">
      <c r="L14" s="3" t="s">
        <v>103</v>
      </c>
      <c r="M14" s="14">
        <v>-241.625</v>
      </c>
      <c r="N14" s="2" t="s">
        <v>19</v>
      </c>
      <c r="O14" s="14"/>
    </row>
    <row r="15" spans="1:15" x14ac:dyDescent="0.25">
      <c r="L15" s="3" t="s">
        <v>56</v>
      </c>
      <c r="M15" s="14">
        <v>0</v>
      </c>
      <c r="N15" s="2" t="s">
        <v>20</v>
      </c>
      <c r="O15" s="14"/>
    </row>
    <row r="16" spans="1:15" x14ac:dyDescent="0.25">
      <c r="L16" s="3" t="s">
        <v>57</v>
      </c>
      <c r="M16" s="14">
        <v>14</v>
      </c>
      <c r="N16" s="2" t="s">
        <v>20</v>
      </c>
      <c r="O16" s="14"/>
    </row>
    <row r="17" spans="12:15" x14ac:dyDescent="0.25">
      <c r="L17" s="3" t="s">
        <v>58</v>
      </c>
      <c r="M17" s="14">
        <v>170</v>
      </c>
      <c r="N17" s="2" t="s">
        <v>20</v>
      </c>
      <c r="O17" s="14"/>
    </row>
    <row r="18" spans="12:15" x14ac:dyDescent="0.25">
      <c r="L18" s="3" t="s">
        <v>59</v>
      </c>
      <c r="M18" s="14">
        <v>302</v>
      </c>
      <c r="N18" s="2" t="s">
        <v>20</v>
      </c>
      <c r="O18" s="14"/>
    </row>
    <row r="19" spans="12:15" x14ac:dyDescent="0.25">
      <c r="L19" s="3" t="s">
        <v>60</v>
      </c>
      <c r="M19" s="14">
        <v>434</v>
      </c>
      <c r="N19" s="2" t="s">
        <v>20</v>
      </c>
      <c r="O19" s="14"/>
    </row>
    <row r="20" spans="12:15" x14ac:dyDescent="0.25">
      <c r="L20" s="3" t="s">
        <v>61</v>
      </c>
      <c r="M20" s="14">
        <v>566</v>
      </c>
      <c r="N20" s="2" t="s">
        <v>20</v>
      </c>
      <c r="O20" s="14"/>
    </row>
    <row r="21" spans="12:15" x14ac:dyDescent="0.25">
      <c r="L21" s="3" t="s">
        <v>62</v>
      </c>
      <c r="M21" s="14">
        <v>698</v>
      </c>
      <c r="N21" s="2" t="s">
        <v>20</v>
      </c>
      <c r="O21" s="14"/>
    </row>
    <row r="22" spans="12:15" x14ac:dyDescent="0.25">
      <c r="L22" s="3" t="s">
        <v>63</v>
      </c>
      <c r="M22" s="14">
        <v>830</v>
      </c>
      <c r="N22" s="2" t="s">
        <v>20</v>
      </c>
      <c r="O22" s="14"/>
    </row>
    <row r="23" spans="12:15" x14ac:dyDescent="0.25">
      <c r="L23" s="3" t="s">
        <v>64</v>
      </c>
      <c r="M23" s="14">
        <v>962</v>
      </c>
      <c r="N23" s="2" t="s">
        <v>20</v>
      </c>
      <c r="O23" s="14"/>
    </row>
    <row r="24" spans="12:15" x14ac:dyDescent="0.25">
      <c r="L24" s="3" t="s">
        <v>65</v>
      </c>
      <c r="M24" s="14">
        <v>1094</v>
      </c>
      <c r="N24" s="2" t="s">
        <v>20</v>
      </c>
      <c r="O24" s="14"/>
    </row>
    <row r="25" spans="12:15" x14ac:dyDescent="0.25">
      <c r="L25" s="3" t="s">
        <v>66</v>
      </c>
      <c r="M25" s="14">
        <v>1226</v>
      </c>
      <c r="N25" s="2" t="s">
        <v>20</v>
      </c>
      <c r="O25" s="14"/>
    </row>
    <row r="26" spans="12:15" x14ac:dyDescent="0.25">
      <c r="L26" s="3" t="s">
        <v>68</v>
      </c>
      <c r="M26" s="14">
        <v>1358</v>
      </c>
      <c r="N26" s="2" t="s">
        <v>20</v>
      </c>
      <c r="O26" s="14"/>
    </row>
    <row r="27" spans="12:15" x14ac:dyDescent="0.25">
      <c r="L27" s="3" t="s">
        <v>67</v>
      </c>
      <c r="M27" s="14">
        <v>1374</v>
      </c>
      <c r="N27" s="2" t="s">
        <v>20</v>
      </c>
      <c r="O27" s="14" t="s">
        <v>176</v>
      </c>
    </row>
  </sheetData>
  <mergeCells count="3">
    <mergeCell ref="A1:G1"/>
    <mergeCell ref="I1:J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/>
  <dimension ref="A1:W38"/>
  <sheetViews>
    <sheetView workbookViewId="0">
      <selection activeCell="E20" sqref="E20"/>
    </sheetView>
  </sheetViews>
  <sheetFormatPr defaultRowHeight="15" x14ac:dyDescent="0.25"/>
  <cols>
    <col min="1" max="1" width="17.7109375" customWidth="1"/>
    <col min="2" max="2" width="13.42578125" customWidth="1"/>
    <col min="3" max="3" width="16.7109375" customWidth="1"/>
    <col min="4" max="4" width="17.42578125" customWidth="1"/>
    <col min="5" max="5" width="17.42578125" style="19" customWidth="1"/>
    <col min="6" max="6" width="10.85546875" customWidth="1"/>
    <col min="11" max="11" width="16.140625" customWidth="1"/>
  </cols>
  <sheetData>
    <row r="1" spans="1:23" x14ac:dyDescent="0.25">
      <c r="A1" t="s">
        <v>1</v>
      </c>
      <c r="B1" t="s">
        <v>41</v>
      </c>
      <c r="C1" t="s">
        <v>332</v>
      </c>
      <c r="D1" t="s">
        <v>315</v>
      </c>
      <c r="E1" s="19" t="s">
        <v>330</v>
      </c>
      <c r="F1" t="s">
        <v>326</v>
      </c>
      <c r="G1" t="s">
        <v>331</v>
      </c>
      <c r="P1" s="17"/>
      <c r="Q1" s="17"/>
      <c r="R1" s="17"/>
      <c r="S1" s="17"/>
      <c r="T1" s="17"/>
      <c r="U1" s="17"/>
      <c r="V1" s="17"/>
      <c r="W1" s="17"/>
    </row>
    <row r="2" spans="1:23" x14ac:dyDescent="0.25">
      <c r="A2" t="s">
        <v>286</v>
      </c>
      <c r="B2" t="s">
        <v>167</v>
      </c>
      <c r="C2" t="s">
        <v>289</v>
      </c>
      <c r="D2" t="s">
        <v>327</v>
      </c>
      <c r="F2" t="s">
        <v>333</v>
      </c>
      <c r="G2" s="2" t="s">
        <v>273</v>
      </c>
      <c r="K2" t="s">
        <v>288</v>
      </c>
      <c r="L2" t="s">
        <v>287</v>
      </c>
      <c r="Q2" t="s">
        <v>286</v>
      </c>
      <c r="R2" s="17" t="s">
        <v>316</v>
      </c>
      <c r="S2" s="17" t="s">
        <v>325</v>
      </c>
    </row>
    <row r="3" spans="1:23" x14ac:dyDescent="0.25">
      <c r="A3" s="17" t="s">
        <v>286</v>
      </c>
      <c r="B3" t="s">
        <v>163</v>
      </c>
      <c r="C3" t="s">
        <v>293</v>
      </c>
      <c r="D3" t="s">
        <v>329</v>
      </c>
      <c r="G3" s="2" t="s">
        <v>273</v>
      </c>
      <c r="K3" t="s">
        <v>286</v>
      </c>
      <c r="L3" t="s">
        <v>289</v>
      </c>
    </row>
    <row r="4" spans="1:23" x14ac:dyDescent="0.25">
      <c r="A4" s="17" t="s">
        <v>286</v>
      </c>
      <c r="B4" s="17" t="s">
        <v>167</v>
      </c>
      <c r="C4" s="17" t="s">
        <v>289</v>
      </c>
      <c r="D4" s="17" t="s">
        <v>328</v>
      </c>
      <c r="F4">
        <v>1</v>
      </c>
      <c r="G4" s="2" t="s">
        <v>273</v>
      </c>
      <c r="K4" s="17" t="s">
        <v>286</v>
      </c>
      <c r="L4" t="s">
        <v>290</v>
      </c>
      <c r="Q4" s="17" t="str" cm="1">
        <f t="array" ref="Q4:Q29">_xlfn._xlws.FILTER($L:$L,$K:$K=Q2,"")</f>
        <v>disp</v>
      </c>
      <c r="R4" s="17" t="str" cm="1">
        <f t="array" ref="R4:R11">_xlfn._xlws.FILTER($L:$L,$K:$K=R2,"")</f>
        <v>force</v>
      </c>
      <c r="S4" s="17" t="str" cm="1">
        <f t="array" ref="S4:S5">_xlfn._xlws.FILTER($L:$L,$K:$K=S2,"")</f>
        <v>force</v>
      </c>
      <c r="T4" s="17"/>
      <c r="U4" s="17"/>
    </row>
    <row r="5" spans="1:23" x14ac:dyDescent="0.25">
      <c r="A5" t="s">
        <v>286</v>
      </c>
      <c r="B5" t="s">
        <v>339</v>
      </c>
      <c r="C5" s="20" t="s">
        <v>289</v>
      </c>
      <c r="D5" t="s">
        <v>340</v>
      </c>
      <c r="G5" s="2" t="s">
        <v>273</v>
      </c>
      <c r="K5" s="17" t="s">
        <v>286</v>
      </c>
      <c r="L5" t="s">
        <v>291</v>
      </c>
      <c r="Q5" t="str">
        <v>vel</v>
      </c>
      <c r="R5" t="str">
        <v>localForce</v>
      </c>
      <c r="S5" t="str">
        <v>localForce</v>
      </c>
    </row>
    <row r="6" spans="1:23" x14ac:dyDescent="0.25">
      <c r="K6" s="17" t="s">
        <v>286</v>
      </c>
      <c r="L6" t="s">
        <v>292</v>
      </c>
      <c r="Q6" t="str">
        <v>accel</v>
      </c>
      <c r="R6" t="str">
        <v>vbasicForce</v>
      </c>
    </row>
    <row r="7" spans="1:23" x14ac:dyDescent="0.25">
      <c r="K7" s="17" t="s">
        <v>286</v>
      </c>
      <c r="L7" t="s">
        <v>293</v>
      </c>
      <c r="Q7" t="str">
        <v>incrDisp</v>
      </c>
      <c r="R7" t="str">
        <v>deformations</v>
      </c>
    </row>
    <row r="8" spans="1:23" x14ac:dyDescent="0.25">
      <c r="K8" s="17" t="s">
        <v>286</v>
      </c>
      <c r="L8" t="s">
        <v>337</v>
      </c>
      <c r="Q8" t="str">
        <v>reaction</v>
      </c>
      <c r="R8" t="str">
        <v>chordRotation</v>
      </c>
    </row>
    <row r="9" spans="1:23" x14ac:dyDescent="0.25">
      <c r="K9" s="17" t="s">
        <v>286</v>
      </c>
      <c r="L9" t="s">
        <v>294</v>
      </c>
      <c r="Q9" t="str">
        <v>rayleighForces</v>
      </c>
      <c r="R9" t="str">
        <v>xaxis</v>
      </c>
    </row>
    <row r="10" spans="1:23" x14ac:dyDescent="0.25">
      <c r="K10" s="17" t="s">
        <v>286</v>
      </c>
      <c r="L10" s="17" t="s">
        <v>295</v>
      </c>
      <c r="Q10" t="str">
        <v>eigen 1</v>
      </c>
      <c r="R10" t="str">
        <v>yaxis</v>
      </c>
    </row>
    <row r="11" spans="1:23" x14ac:dyDescent="0.25">
      <c r="K11" s="17" t="s">
        <v>286</v>
      </c>
      <c r="L11" s="17" t="s">
        <v>296</v>
      </c>
      <c r="Q11" t="str">
        <v>eigen 2</v>
      </c>
      <c r="R11" t="str">
        <v>zaxis</v>
      </c>
    </row>
    <row r="12" spans="1:23" x14ac:dyDescent="0.25">
      <c r="K12" s="17" t="s">
        <v>286</v>
      </c>
      <c r="L12" s="17" t="s">
        <v>297</v>
      </c>
      <c r="Q12" t="str">
        <v>eigen 3</v>
      </c>
    </row>
    <row r="13" spans="1:23" x14ac:dyDescent="0.25">
      <c r="K13" s="17" t="s">
        <v>286</v>
      </c>
      <c r="L13" s="17" t="s">
        <v>298</v>
      </c>
      <c r="Q13" t="str">
        <v>eigen 4</v>
      </c>
    </row>
    <row r="14" spans="1:23" x14ac:dyDescent="0.25">
      <c r="K14" s="17" t="s">
        <v>286</v>
      </c>
      <c r="L14" s="17" t="s">
        <v>299</v>
      </c>
      <c r="Q14" t="str">
        <v>eigen 5</v>
      </c>
    </row>
    <row r="15" spans="1:23" x14ac:dyDescent="0.25">
      <c r="K15" s="17" t="s">
        <v>286</v>
      </c>
      <c r="L15" s="17" t="s">
        <v>300</v>
      </c>
      <c r="Q15" t="str">
        <v>eigen 6</v>
      </c>
    </row>
    <row r="16" spans="1:23" x14ac:dyDescent="0.25">
      <c r="K16" s="17" t="s">
        <v>286</v>
      </c>
      <c r="L16" s="17" t="s">
        <v>301</v>
      </c>
      <c r="Q16" t="str">
        <v>eigen 7</v>
      </c>
    </row>
    <row r="17" spans="11:17" x14ac:dyDescent="0.25">
      <c r="K17" s="17" t="s">
        <v>286</v>
      </c>
      <c r="L17" s="17" t="s">
        <v>302</v>
      </c>
      <c r="Q17" t="str">
        <v>eigen 8</v>
      </c>
    </row>
    <row r="18" spans="11:17" x14ac:dyDescent="0.25">
      <c r="K18" s="17" t="s">
        <v>286</v>
      </c>
      <c r="L18" s="17" t="s">
        <v>303</v>
      </c>
      <c r="Q18" t="str">
        <v>eigen 9</v>
      </c>
    </row>
    <row r="19" spans="11:17" x14ac:dyDescent="0.25">
      <c r="K19" s="17" t="s">
        <v>286</v>
      </c>
      <c r="L19" s="17" t="s">
        <v>304</v>
      </c>
      <c r="Q19" t="str">
        <v>eigen 10</v>
      </c>
    </row>
    <row r="20" spans="11:17" x14ac:dyDescent="0.25">
      <c r="K20" s="17" t="s">
        <v>286</v>
      </c>
      <c r="L20" s="17" t="s">
        <v>305</v>
      </c>
      <c r="Q20" t="str">
        <v>eigen 11</v>
      </c>
    </row>
    <row r="21" spans="11:17" x14ac:dyDescent="0.25">
      <c r="K21" s="17" t="s">
        <v>286</v>
      </c>
      <c r="L21" s="17" t="s">
        <v>306</v>
      </c>
      <c r="Q21" t="str">
        <v>eigen 12</v>
      </c>
    </row>
    <row r="22" spans="11:17" x14ac:dyDescent="0.25">
      <c r="K22" s="17" t="s">
        <v>286</v>
      </c>
      <c r="L22" s="17" t="s">
        <v>307</v>
      </c>
      <c r="Q22" t="str">
        <v>eigen 13</v>
      </c>
    </row>
    <row r="23" spans="11:17" x14ac:dyDescent="0.25">
      <c r="K23" s="17" t="s">
        <v>286</v>
      </c>
      <c r="L23" s="17" t="s">
        <v>308</v>
      </c>
      <c r="Q23" t="str">
        <v>eigen 14</v>
      </c>
    </row>
    <row r="24" spans="11:17" x14ac:dyDescent="0.25">
      <c r="K24" s="17" t="s">
        <v>286</v>
      </c>
      <c r="L24" s="17" t="s">
        <v>309</v>
      </c>
      <c r="Q24" t="str">
        <v>eigen 15</v>
      </c>
    </row>
    <row r="25" spans="11:17" x14ac:dyDescent="0.25">
      <c r="K25" s="17" t="s">
        <v>286</v>
      </c>
      <c r="L25" s="17" t="s">
        <v>310</v>
      </c>
      <c r="Q25" t="str">
        <v>eigen 16</v>
      </c>
    </row>
    <row r="26" spans="11:17" x14ac:dyDescent="0.25">
      <c r="K26" s="17" t="s">
        <v>286</v>
      </c>
      <c r="L26" s="17" t="s">
        <v>311</v>
      </c>
      <c r="Q26" t="str">
        <v>eigen 17</v>
      </c>
    </row>
    <row r="27" spans="11:17" x14ac:dyDescent="0.25">
      <c r="K27" s="17" t="s">
        <v>286</v>
      </c>
      <c r="L27" s="17" t="s">
        <v>312</v>
      </c>
      <c r="Q27" t="str">
        <v>eigen 18</v>
      </c>
    </row>
    <row r="28" spans="11:17" x14ac:dyDescent="0.25">
      <c r="K28" s="17" t="s">
        <v>286</v>
      </c>
      <c r="L28" s="17" t="s">
        <v>313</v>
      </c>
      <c r="Q28" t="str">
        <v>eigen 19</v>
      </c>
    </row>
    <row r="29" spans="11:17" x14ac:dyDescent="0.25">
      <c r="K29" s="17" t="s">
        <v>316</v>
      </c>
      <c r="L29" t="s">
        <v>317</v>
      </c>
      <c r="Q29" t="str">
        <v>eigen 20</v>
      </c>
    </row>
    <row r="30" spans="11:17" x14ac:dyDescent="0.25">
      <c r="K30" s="17" t="s">
        <v>316</v>
      </c>
      <c r="L30" t="s">
        <v>318</v>
      </c>
    </row>
    <row r="31" spans="11:17" x14ac:dyDescent="0.25">
      <c r="K31" s="17" t="s">
        <v>316</v>
      </c>
      <c r="L31" t="s">
        <v>319</v>
      </c>
    </row>
    <row r="32" spans="11:17" x14ac:dyDescent="0.25">
      <c r="K32" s="17" t="s">
        <v>316</v>
      </c>
      <c r="L32" t="s">
        <v>320</v>
      </c>
    </row>
    <row r="33" spans="11:12" x14ac:dyDescent="0.25">
      <c r="K33" s="17" t="s">
        <v>316</v>
      </c>
      <c r="L33" t="s">
        <v>321</v>
      </c>
    </row>
    <row r="34" spans="11:12" x14ac:dyDescent="0.25">
      <c r="K34" s="17" t="s">
        <v>316</v>
      </c>
      <c r="L34" t="s">
        <v>322</v>
      </c>
    </row>
    <row r="35" spans="11:12" x14ac:dyDescent="0.25">
      <c r="K35" s="17" t="s">
        <v>316</v>
      </c>
      <c r="L35" t="s">
        <v>323</v>
      </c>
    </row>
    <row r="36" spans="11:12" x14ac:dyDescent="0.25">
      <c r="K36" s="17" t="s">
        <v>316</v>
      </c>
      <c r="L36" t="s">
        <v>324</v>
      </c>
    </row>
    <row r="37" spans="11:12" x14ac:dyDescent="0.25">
      <c r="K37" t="s">
        <v>325</v>
      </c>
      <c r="L37" t="s">
        <v>317</v>
      </c>
    </row>
    <row r="38" spans="11:12" x14ac:dyDescent="0.25">
      <c r="K38" s="17" t="s">
        <v>325</v>
      </c>
      <c r="L38" t="s">
        <v>318</v>
      </c>
    </row>
  </sheetData>
  <phoneticPr fontId="1" type="noConversion"/>
  <conditionalFormatting sqref="G2">
    <cfRule type="cellIs" dxfId="9" priority="5" operator="equal">
      <formula>"N"</formula>
    </cfRule>
    <cfRule type="cellIs" dxfId="8" priority="6" operator="equal">
      <formula>"Y"</formula>
    </cfRule>
  </conditionalFormatting>
  <conditionalFormatting sqref="G3">
    <cfRule type="cellIs" dxfId="7" priority="3" operator="equal">
      <formula>"N"</formula>
    </cfRule>
    <cfRule type="cellIs" dxfId="6" priority="4" operator="equal">
      <formula>"Y"</formula>
    </cfRule>
  </conditionalFormatting>
  <conditionalFormatting sqref="G4:G5">
    <cfRule type="cellIs" dxfId="5" priority="1" operator="equal">
      <formula>"N"</formula>
    </cfRule>
    <cfRule type="cellIs" dxfId="4" priority="2" operator="equal">
      <formula>"Y"</formula>
    </cfRule>
  </conditionalFormatting>
  <dataValidations count="4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6:G1048576" xr:uid="{5B52D890-883E-4EA9-9406-AB5C50419B70}">
      <formula1>"TRUE,FALSE"</formula1>
    </dataValidation>
    <dataValidation type="list" allowBlank="1" showInputMessage="1" showErrorMessage="1" sqref="G2:G5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/>
  <dimension ref="A1:G6"/>
  <sheetViews>
    <sheetView workbookViewId="0">
      <selection activeCell="L10" sqref="L10"/>
    </sheetView>
  </sheetViews>
  <sheetFormatPr defaultRowHeight="15" x14ac:dyDescent="0.25"/>
  <cols>
    <col min="1" max="1" width="12.5703125" customWidth="1"/>
    <col min="2" max="2" width="6.7109375" style="2" customWidth="1"/>
    <col min="3" max="5" width="9.140625" style="2"/>
    <col min="6" max="6" width="54.85546875" style="21" customWidth="1"/>
  </cols>
  <sheetData>
    <row r="1" spans="1:7" x14ac:dyDescent="0.25">
      <c r="A1" t="s">
        <v>51</v>
      </c>
      <c r="B1" s="2" t="s">
        <v>274</v>
      </c>
      <c r="C1" s="2" t="s">
        <v>1</v>
      </c>
      <c r="D1" s="2" t="s">
        <v>278</v>
      </c>
      <c r="E1" s="2" t="s">
        <v>279</v>
      </c>
      <c r="F1" s="21" t="s">
        <v>338</v>
      </c>
      <c r="G1" s="2" t="s">
        <v>342</v>
      </c>
    </row>
    <row r="2" spans="1:7" x14ac:dyDescent="0.25">
      <c r="A2" t="s">
        <v>271</v>
      </c>
      <c r="B2" s="2" t="s">
        <v>273</v>
      </c>
      <c r="C2" s="18"/>
      <c r="D2" s="2">
        <v>1</v>
      </c>
      <c r="E2" s="2">
        <v>1</v>
      </c>
    </row>
    <row r="3" spans="1:7" x14ac:dyDescent="0.25">
      <c r="A3" t="s">
        <v>334</v>
      </c>
      <c r="B3" s="2" t="s">
        <v>273</v>
      </c>
      <c r="C3" s="2" t="s">
        <v>272</v>
      </c>
      <c r="D3" s="2">
        <v>0.1</v>
      </c>
      <c r="E3" s="2">
        <v>10</v>
      </c>
      <c r="G3" s="20"/>
    </row>
    <row r="4" spans="1:7" x14ac:dyDescent="0.25">
      <c r="A4" t="s">
        <v>335</v>
      </c>
      <c r="B4" s="2" t="s">
        <v>273</v>
      </c>
      <c r="C4" s="2" t="s">
        <v>272</v>
      </c>
      <c r="D4" s="2">
        <v>0.1</v>
      </c>
      <c r="E4" s="2">
        <v>10</v>
      </c>
      <c r="G4" s="20"/>
    </row>
    <row r="5" spans="1:7" x14ac:dyDescent="0.25">
      <c r="A5" t="s">
        <v>336</v>
      </c>
      <c r="B5" s="2" t="s">
        <v>273</v>
      </c>
      <c r="C5" s="2" t="s">
        <v>276</v>
      </c>
      <c r="D5" s="2">
        <v>1</v>
      </c>
      <c r="E5" s="2">
        <v>10</v>
      </c>
      <c r="F5" s="21" t="s">
        <v>228</v>
      </c>
      <c r="G5" s="2" t="s">
        <v>18</v>
      </c>
    </row>
    <row r="6" spans="1:7" x14ac:dyDescent="0.25">
      <c r="A6" t="s">
        <v>277</v>
      </c>
      <c r="B6" s="2" t="s">
        <v>19</v>
      </c>
      <c r="C6" s="2" t="s">
        <v>275</v>
      </c>
      <c r="D6" s="2">
        <v>0.02</v>
      </c>
      <c r="E6" s="2">
        <v>200</v>
      </c>
      <c r="F6" s="21" t="s">
        <v>341</v>
      </c>
      <c r="G6" s="2" t="s">
        <v>18</v>
      </c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6">
    <cfRule type="expression" dxfId="1" priority="1">
      <formula>IF(OR($C2="Disp",$C2="EQ"),FALSE,TRUE)</formula>
    </cfRule>
  </conditionalFormatting>
  <dataValidations count="7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31"/>
  <sheetViews>
    <sheetView workbookViewId="0">
      <selection activeCell="C22" sqref="C22:C31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43</v>
      </c>
      <c r="B1" t="s">
        <v>46</v>
      </c>
      <c r="C1" s="13" t="s">
        <v>44</v>
      </c>
      <c r="D1" t="s">
        <v>45</v>
      </c>
    </row>
    <row r="2" spans="1:4" x14ac:dyDescent="0.25">
      <c r="A2" t="s">
        <v>228</v>
      </c>
      <c r="B2">
        <v>10</v>
      </c>
      <c r="C2" s="2" t="s">
        <v>18</v>
      </c>
      <c r="D2" s="20" t="s">
        <v>336</v>
      </c>
    </row>
    <row r="3" spans="1:4" x14ac:dyDescent="0.25">
      <c r="A3" t="s">
        <v>227</v>
      </c>
      <c r="B3">
        <v>9</v>
      </c>
      <c r="C3" s="2" t="s">
        <v>18</v>
      </c>
      <c r="D3" s="20" t="s">
        <v>336</v>
      </c>
    </row>
    <row r="4" spans="1:4" x14ac:dyDescent="0.25">
      <c r="A4" t="s">
        <v>226</v>
      </c>
      <c r="B4">
        <v>8</v>
      </c>
      <c r="C4" s="2" t="s">
        <v>18</v>
      </c>
      <c r="D4" s="20" t="s">
        <v>336</v>
      </c>
    </row>
    <row r="5" spans="1:4" x14ac:dyDescent="0.25">
      <c r="A5" t="s">
        <v>225</v>
      </c>
      <c r="B5" s="16">
        <v>7</v>
      </c>
      <c r="C5" s="2" t="s">
        <v>18</v>
      </c>
      <c r="D5" s="20" t="s">
        <v>336</v>
      </c>
    </row>
    <row r="6" spans="1:4" x14ac:dyDescent="0.25">
      <c r="A6" t="s">
        <v>224</v>
      </c>
      <c r="B6" s="16">
        <v>6</v>
      </c>
      <c r="C6" s="2" t="s">
        <v>18</v>
      </c>
      <c r="D6" s="20" t="s">
        <v>336</v>
      </c>
    </row>
    <row r="7" spans="1:4" x14ac:dyDescent="0.25">
      <c r="A7" t="s">
        <v>223</v>
      </c>
      <c r="B7" s="16">
        <v>5</v>
      </c>
      <c r="C7" s="2" t="s">
        <v>18</v>
      </c>
      <c r="D7" s="20" t="s">
        <v>336</v>
      </c>
    </row>
    <row r="8" spans="1:4" x14ac:dyDescent="0.25">
      <c r="A8" t="s">
        <v>222</v>
      </c>
      <c r="B8" s="16">
        <v>4</v>
      </c>
      <c r="C8" s="2" t="s">
        <v>18</v>
      </c>
      <c r="D8" s="20" t="s">
        <v>336</v>
      </c>
    </row>
    <row r="9" spans="1:4" x14ac:dyDescent="0.25">
      <c r="A9" t="s">
        <v>221</v>
      </c>
      <c r="B9" s="16">
        <v>3</v>
      </c>
      <c r="C9" s="2" t="s">
        <v>18</v>
      </c>
      <c r="D9" s="20" t="s">
        <v>336</v>
      </c>
    </row>
    <row r="10" spans="1:4" x14ac:dyDescent="0.25">
      <c r="A10" t="s">
        <v>220</v>
      </c>
      <c r="B10" s="16">
        <v>2</v>
      </c>
      <c r="C10" s="2" t="s">
        <v>18</v>
      </c>
      <c r="D10" s="20" t="s">
        <v>336</v>
      </c>
    </row>
    <row r="11" spans="1:4" x14ac:dyDescent="0.25">
      <c r="A11" t="s">
        <v>197</v>
      </c>
      <c r="B11" s="16">
        <v>1</v>
      </c>
      <c r="C11" s="2" t="s">
        <v>18</v>
      </c>
      <c r="D11" s="19" t="s">
        <v>336</v>
      </c>
    </row>
    <row r="12" spans="1:4" x14ac:dyDescent="0.25">
      <c r="A12" s="16" t="s">
        <v>228</v>
      </c>
      <c r="B12" s="19">
        <v>-10</v>
      </c>
      <c r="C12" s="2" t="s">
        <v>19</v>
      </c>
      <c r="D12" s="19" t="s">
        <v>335</v>
      </c>
    </row>
    <row r="13" spans="1:4" x14ac:dyDescent="0.25">
      <c r="A13" s="16" t="s">
        <v>227</v>
      </c>
      <c r="B13" s="16">
        <v>-9</v>
      </c>
      <c r="C13" s="2" t="s">
        <v>19</v>
      </c>
      <c r="D13" s="20" t="s">
        <v>335</v>
      </c>
    </row>
    <row r="14" spans="1:4" x14ac:dyDescent="0.25">
      <c r="A14" s="16" t="s">
        <v>226</v>
      </c>
      <c r="B14" s="20">
        <v>-8</v>
      </c>
      <c r="C14" s="2" t="s">
        <v>19</v>
      </c>
      <c r="D14" s="20" t="s">
        <v>335</v>
      </c>
    </row>
    <row r="15" spans="1:4" x14ac:dyDescent="0.25">
      <c r="A15" s="16" t="s">
        <v>225</v>
      </c>
      <c r="B15" s="20">
        <v>-7</v>
      </c>
      <c r="C15" s="2" t="s">
        <v>19</v>
      </c>
      <c r="D15" s="20" t="s">
        <v>335</v>
      </c>
    </row>
    <row r="16" spans="1:4" x14ac:dyDescent="0.25">
      <c r="A16" s="16" t="s">
        <v>224</v>
      </c>
      <c r="B16" s="20">
        <v>-6</v>
      </c>
      <c r="C16" s="2" t="s">
        <v>19</v>
      </c>
      <c r="D16" s="20" t="s">
        <v>335</v>
      </c>
    </row>
    <row r="17" spans="1:4" x14ac:dyDescent="0.25">
      <c r="A17" s="16" t="s">
        <v>223</v>
      </c>
      <c r="B17" s="20">
        <v>-5</v>
      </c>
      <c r="C17" s="2" t="s">
        <v>19</v>
      </c>
      <c r="D17" s="20" t="s">
        <v>335</v>
      </c>
    </row>
    <row r="18" spans="1:4" x14ac:dyDescent="0.25">
      <c r="A18" s="16" t="s">
        <v>222</v>
      </c>
      <c r="B18" s="20">
        <v>-4</v>
      </c>
      <c r="C18" s="2" t="s">
        <v>19</v>
      </c>
      <c r="D18" s="20" t="s">
        <v>335</v>
      </c>
    </row>
    <row r="19" spans="1:4" x14ac:dyDescent="0.25">
      <c r="A19" s="16" t="s">
        <v>221</v>
      </c>
      <c r="B19" s="20">
        <v>-3</v>
      </c>
      <c r="C19" s="2" t="s">
        <v>19</v>
      </c>
      <c r="D19" s="20" t="s">
        <v>335</v>
      </c>
    </row>
    <row r="20" spans="1:4" x14ac:dyDescent="0.25">
      <c r="A20" s="16" t="s">
        <v>220</v>
      </c>
      <c r="B20" s="20">
        <v>-2</v>
      </c>
      <c r="C20" s="2" t="s">
        <v>19</v>
      </c>
      <c r="D20" s="20" t="s">
        <v>335</v>
      </c>
    </row>
    <row r="21" spans="1:4" x14ac:dyDescent="0.25">
      <c r="A21" s="16" t="s">
        <v>197</v>
      </c>
      <c r="B21" s="20">
        <v>-1</v>
      </c>
      <c r="C21" s="2" t="s">
        <v>19</v>
      </c>
      <c r="D21" s="20" t="s">
        <v>335</v>
      </c>
    </row>
    <row r="22" spans="1:4" x14ac:dyDescent="0.25">
      <c r="A22" s="20" t="s">
        <v>228</v>
      </c>
      <c r="B22" s="20">
        <v>10</v>
      </c>
      <c r="C22" s="2" t="s">
        <v>18</v>
      </c>
      <c r="D22" t="s">
        <v>334</v>
      </c>
    </row>
    <row r="23" spans="1:4" x14ac:dyDescent="0.25">
      <c r="A23" s="20" t="s">
        <v>227</v>
      </c>
      <c r="B23" s="20">
        <v>9</v>
      </c>
      <c r="C23" s="2" t="s">
        <v>18</v>
      </c>
      <c r="D23" s="20" t="s">
        <v>334</v>
      </c>
    </row>
    <row r="24" spans="1:4" x14ac:dyDescent="0.25">
      <c r="A24" s="20" t="s">
        <v>226</v>
      </c>
      <c r="B24" s="20">
        <v>8</v>
      </c>
      <c r="C24" s="2" t="s">
        <v>18</v>
      </c>
      <c r="D24" s="20" t="s">
        <v>334</v>
      </c>
    </row>
    <row r="25" spans="1:4" x14ac:dyDescent="0.25">
      <c r="A25" s="20" t="s">
        <v>225</v>
      </c>
      <c r="B25" s="20">
        <v>7</v>
      </c>
      <c r="C25" s="2" t="s">
        <v>18</v>
      </c>
      <c r="D25" s="20" t="s">
        <v>334</v>
      </c>
    </row>
    <row r="26" spans="1:4" x14ac:dyDescent="0.25">
      <c r="A26" s="20" t="s">
        <v>224</v>
      </c>
      <c r="B26" s="20">
        <v>6</v>
      </c>
      <c r="C26" s="2" t="s">
        <v>18</v>
      </c>
      <c r="D26" s="20" t="s">
        <v>334</v>
      </c>
    </row>
    <row r="27" spans="1:4" x14ac:dyDescent="0.25">
      <c r="A27" s="20" t="s">
        <v>223</v>
      </c>
      <c r="B27" s="20">
        <v>5</v>
      </c>
      <c r="C27" s="2" t="s">
        <v>18</v>
      </c>
      <c r="D27" s="20" t="s">
        <v>334</v>
      </c>
    </row>
    <row r="28" spans="1:4" x14ac:dyDescent="0.25">
      <c r="A28" s="20" t="s">
        <v>222</v>
      </c>
      <c r="B28" s="20">
        <v>4</v>
      </c>
      <c r="C28" s="2" t="s">
        <v>18</v>
      </c>
      <c r="D28" s="20" t="s">
        <v>334</v>
      </c>
    </row>
    <row r="29" spans="1:4" x14ac:dyDescent="0.25">
      <c r="A29" s="20" t="s">
        <v>221</v>
      </c>
      <c r="B29" s="20">
        <v>3</v>
      </c>
      <c r="C29" s="2" t="s">
        <v>18</v>
      </c>
      <c r="D29" s="20" t="s">
        <v>334</v>
      </c>
    </row>
    <row r="30" spans="1:4" x14ac:dyDescent="0.25">
      <c r="A30" s="20" t="s">
        <v>220</v>
      </c>
      <c r="B30" s="20">
        <v>2</v>
      </c>
      <c r="C30" s="2" t="s">
        <v>18</v>
      </c>
      <c r="D30" s="20" t="s">
        <v>334</v>
      </c>
    </row>
    <row r="31" spans="1:4" x14ac:dyDescent="0.25">
      <c r="A31" s="20" t="s">
        <v>197</v>
      </c>
      <c r="B31" s="20">
        <v>1</v>
      </c>
      <c r="C31" s="2" t="s">
        <v>18</v>
      </c>
      <c r="D31" s="20" t="s">
        <v>334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Q21"/>
  <sheetViews>
    <sheetView workbookViewId="0">
      <selection activeCell="H10" sqref="H10"/>
    </sheetView>
  </sheetViews>
  <sheetFormatPr defaultRowHeight="15" x14ac:dyDescent="0.25"/>
  <cols>
    <col min="1" max="1" width="14.5703125" customWidth="1"/>
  </cols>
  <sheetData>
    <row r="1" spans="1:17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  <c r="Q1" t="s">
        <v>314</v>
      </c>
    </row>
    <row r="2" spans="1:17" x14ac:dyDescent="0.25">
      <c r="A2" s="22" t="s">
        <v>11</v>
      </c>
      <c r="B2" s="1">
        <v>1</v>
      </c>
      <c r="C2" s="1">
        <v>1</v>
      </c>
      <c r="D2" s="1">
        <f>B2*C2</f>
        <v>1</v>
      </c>
      <c r="E2" s="1">
        <v>1238</v>
      </c>
      <c r="F2" s="1">
        <v>87</v>
      </c>
      <c r="G2" s="1">
        <f>B2*C2*(B2^2+C2^2)/12</f>
        <v>0.16666666666666666</v>
      </c>
      <c r="H2" s="1">
        <f>C2*B2^3/12</f>
        <v>8.3333333333333329E-2</v>
      </c>
      <c r="I2" s="1">
        <f>B2*C2^3/12</f>
        <v>8.3333333333333329E-2</v>
      </c>
    </row>
    <row r="3" spans="1:17" x14ac:dyDescent="0.25">
      <c r="A3" s="22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7" x14ac:dyDescent="0.25">
      <c r="A4" s="22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7" x14ac:dyDescent="0.25">
      <c r="A5" s="22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  <row r="6" spans="1:17" x14ac:dyDescent="0.25">
      <c r="A6" s="22" t="s">
        <v>150</v>
      </c>
      <c r="B6" s="1">
        <v>12</v>
      </c>
      <c r="C6" s="1">
        <v>12</v>
      </c>
      <c r="D6" s="1">
        <f>B6*C6</f>
        <v>144</v>
      </c>
      <c r="E6" s="1">
        <v>1238</v>
      </c>
      <c r="F6" s="1">
        <v>87</v>
      </c>
      <c r="G6" s="1">
        <f>B6*C6*(B6^2+C6^2)/12</f>
        <v>3456</v>
      </c>
      <c r="H6" s="1">
        <f>C6*B6^3/12</f>
        <v>1728</v>
      </c>
      <c r="I6" s="1">
        <f>B6*C6^3/12</f>
        <v>1728</v>
      </c>
    </row>
    <row r="7" spans="1:17" x14ac:dyDescent="0.25">
      <c r="A7" s="22" t="s">
        <v>148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7" x14ac:dyDescent="0.25">
      <c r="A8" s="22" t="s">
        <v>149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7" x14ac:dyDescent="0.25">
      <c r="A9" s="22" t="s">
        <v>146</v>
      </c>
      <c r="B9" s="1">
        <v>6</v>
      </c>
      <c r="C9" s="1">
        <v>120</v>
      </c>
      <c r="D9" s="1">
        <f>B9*C9</f>
        <v>720</v>
      </c>
      <c r="E9" s="1">
        <v>1238</v>
      </c>
      <c r="F9" s="1">
        <v>87</v>
      </c>
      <c r="G9" s="1">
        <f>B9*C9*(B9^2+C9^2)/12</f>
        <v>866160</v>
      </c>
      <c r="H9" s="1">
        <f>C9*B9^3/12</f>
        <v>2160</v>
      </c>
      <c r="I9" s="1">
        <f>B9*C9^3/12</f>
        <v>864000</v>
      </c>
    </row>
    <row r="10" spans="1:17" x14ac:dyDescent="0.25">
      <c r="A10" s="22" t="s">
        <v>147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  <row r="13" spans="1:17" x14ac:dyDescent="0.25">
      <c r="J13" s="22"/>
    </row>
    <row r="14" spans="1:17" x14ac:dyDescent="0.25">
      <c r="J14" s="22"/>
    </row>
    <row r="15" spans="1:17" x14ac:dyDescent="0.25">
      <c r="J15" s="22"/>
    </row>
    <row r="16" spans="1:17" x14ac:dyDescent="0.25">
      <c r="J16" s="22"/>
    </row>
    <row r="17" spans="10:10" x14ac:dyDescent="0.25">
      <c r="J17" s="22"/>
    </row>
    <row r="18" spans="10:10" x14ac:dyDescent="0.25">
      <c r="J18" s="22"/>
    </row>
    <row r="19" spans="10:10" x14ac:dyDescent="0.25">
      <c r="J19" s="22"/>
    </row>
    <row r="20" spans="10:10" x14ac:dyDescent="0.25">
      <c r="J20" s="22"/>
    </row>
    <row r="21" spans="10:10" x14ac:dyDescent="0.25">
      <c r="J21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M10"/>
  <sheetViews>
    <sheetView workbookViewId="0">
      <pane ySplit="1" topLeftCell="A2" activePane="bottomLeft" state="frozen"/>
      <selection pane="bottomLeft" activeCell="H10" sqref="H10"/>
    </sheetView>
  </sheetViews>
  <sheetFormatPr defaultColWidth="0" defaultRowHeight="15" x14ac:dyDescent="0.25"/>
  <cols>
    <col min="1" max="1" width="16.5703125" customWidth="1"/>
    <col min="2" max="2" width="7.42578125" style="12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2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151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</row>
    <row r="2" spans="1:13" x14ac:dyDescent="0.25">
      <c r="A2" t="s">
        <v>31</v>
      </c>
      <c r="B2" s="1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2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152</v>
      </c>
      <c r="B4" s="12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248</v>
      </c>
      <c r="B5" s="12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249</v>
      </c>
      <c r="B6" s="12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250</v>
      </c>
      <c r="B7" s="12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251</v>
      </c>
      <c r="B8" s="12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252</v>
      </c>
      <c r="B9" s="12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253</v>
      </c>
      <c r="B10" s="12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C8529-6914-43C5-B7A4-DBECB43F2E56}">
  <dimension ref="A1:F42"/>
  <sheetViews>
    <sheetView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179</v>
      </c>
      <c r="B2">
        <v>1</v>
      </c>
      <c r="C2">
        <v>0</v>
      </c>
      <c r="D2">
        <v>0</v>
      </c>
      <c r="E2">
        <v>14</v>
      </c>
      <c r="F2" t="s">
        <v>282</v>
      </c>
    </row>
    <row r="3" spans="1:6" x14ac:dyDescent="0.25">
      <c r="A3" t="s">
        <v>180</v>
      </c>
      <c r="B3">
        <v>2</v>
      </c>
      <c r="C3">
        <v>126</v>
      </c>
      <c r="D3">
        <v>0</v>
      </c>
      <c r="E3">
        <v>14</v>
      </c>
      <c r="F3" t="s">
        <v>282</v>
      </c>
    </row>
    <row r="4" spans="1:6" x14ac:dyDescent="0.25">
      <c r="A4" t="s">
        <v>181</v>
      </c>
      <c r="B4">
        <v>3</v>
      </c>
      <c r="C4">
        <v>258</v>
      </c>
      <c r="D4">
        <v>0</v>
      </c>
      <c r="E4">
        <v>14</v>
      </c>
      <c r="F4" t="s">
        <v>282</v>
      </c>
    </row>
    <row r="5" spans="1:6" x14ac:dyDescent="0.25">
      <c r="A5" t="s">
        <v>182</v>
      </c>
      <c r="B5">
        <v>4</v>
      </c>
      <c r="C5">
        <v>384</v>
      </c>
      <c r="D5">
        <v>0</v>
      </c>
      <c r="E5">
        <v>14</v>
      </c>
      <c r="F5" t="s">
        <v>282</v>
      </c>
    </row>
    <row r="6" spans="1:6" x14ac:dyDescent="0.25">
      <c r="A6" t="s">
        <v>183</v>
      </c>
      <c r="B6">
        <v>5</v>
      </c>
      <c r="C6">
        <v>192</v>
      </c>
      <c r="D6">
        <v>0</v>
      </c>
      <c r="E6">
        <v>14</v>
      </c>
      <c r="F6" t="s">
        <v>283</v>
      </c>
    </row>
    <row r="7" spans="1:6" x14ac:dyDescent="0.25">
      <c r="A7" t="s">
        <v>184</v>
      </c>
      <c r="B7">
        <v>6</v>
      </c>
      <c r="C7">
        <v>0</v>
      </c>
      <c r="D7">
        <v>-60</v>
      </c>
      <c r="E7">
        <v>14</v>
      </c>
      <c r="F7" t="s">
        <v>283</v>
      </c>
    </row>
    <row r="8" spans="1:6" x14ac:dyDescent="0.25">
      <c r="A8" t="s">
        <v>185</v>
      </c>
      <c r="B8">
        <v>7</v>
      </c>
      <c r="C8">
        <v>384</v>
      </c>
      <c r="D8">
        <v>-60</v>
      </c>
      <c r="E8">
        <v>14</v>
      </c>
      <c r="F8" t="s">
        <v>283</v>
      </c>
    </row>
    <row r="9" spans="1:6" x14ac:dyDescent="0.25">
      <c r="A9" t="s">
        <v>186</v>
      </c>
      <c r="B9">
        <v>8</v>
      </c>
      <c r="C9">
        <v>0</v>
      </c>
      <c r="D9">
        <v>-120</v>
      </c>
      <c r="E9">
        <v>14</v>
      </c>
      <c r="F9" t="s">
        <v>282</v>
      </c>
    </row>
    <row r="10" spans="1:6" x14ac:dyDescent="0.25">
      <c r="A10" t="s">
        <v>187</v>
      </c>
      <c r="B10">
        <v>9</v>
      </c>
      <c r="C10">
        <v>126</v>
      </c>
      <c r="D10">
        <v>-120</v>
      </c>
      <c r="E10">
        <v>14</v>
      </c>
      <c r="F10" t="s">
        <v>282</v>
      </c>
    </row>
    <row r="11" spans="1:6" x14ac:dyDescent="0.25">
      <c r="A11" t="s">
        <v>188</v>
      </c>
      <c r="B11">
        <v>10</v>
      </c>
      <c r="C11">
        <v>258</v>
      </c>
      <c r="D11">
        <v>-120</v>
      </c>
      <c r="E11">
        <v>14</v>
      </c>
      <c r="F11" t="s">
        <v>282</v>
      </c>
    </row>
    <row r="12" spans="1:6" x14ac:dyDescent="0.25">
      <c r="A12" t="s">
        <v>189</v>
      </c>
      <c r="B12">
        <v>11</v>
      </c>
      <c r="C12">
        <v>384</v>
      </c>
      <c r="D12">
        <v>-120</v>
      </c>
      <c r="E12">
        <v>14</v>
      </c>
      <c r="F12" t="s">
        <v>282</v>
      </c>
    </row>
    <row r="13" spans="1:6" x14ac:dyDescent="0.25">
      <c r="A13" t="s">
        <v>190</v>
      </c>
      <c r="B13">
        <v>12</v>
      </c>
      <c r="C13">
        <v>126</v>
      </c>
      <c r="D13">
        <v>-216</v>
      </c>
      <c r="E13">
        <v>14</v>
      </c>
      <c r="F13" t="s">
        <v>282</v>
      </c>
    </row>
    <row r="14" spans="1:6" x14ac:dyDescent="0.25">
      <c r="A14" t="s">
        <v>191</v>
      </c>
      <c r="B14">
        <v>13</v>
      </c>
      <c r="C14">
        <v>258</v>
      </c>
      <c r="D14">
        <v>-216</v>
      </c>
      <c r="E14">
        <v>14</v>
      </c>
      <c r="F14" t="s">
        <v>282</v>
      </c>
    </row>
    <row r="15" spans="1:6" x14ac:dyDescent="0.25">
      <c r="A15" t="s">
        <v>192</v>
      </c>
      <c r="B15">
        <v>14</v>
      </c>
      <c r="C15">
        <v>192</v>
      </c>
      <c r="D15">
        <v>-216</v>
      </c>
      <c r="E15">
        <v>14</v>
      </c>
      <c r="F15" t="s">
        <v>283</v>
      </c>
    </row>
    <row r="16" spans="1:6" x14ac:dyDescent="0.25">
      <c r="A16" t="s">
        <v>193</v>
      </c>
      <c r="B16">
        <v>15</v>
      </c>
      <c r="C16">
        <v>0</v>
      </c>
      <c r="D16">
        <v>-270</v>
      </c>
      <c r="E16">
        <v>14</v>
      </c>
      <c r="F16" t="s">
        <v>282</v>
      </c>
    </row>
    <row r="17" spans="1:6" x14ac:dyDescent="0.25">
      <c r="A17" t="s">
        <v>194</v>
      </c>
      <c r="B17">
        <v>16</v>
      </c>
      <c r="C17">
        <v>126</v>
      </c>
      <c r="D17">
        <v>-270</v>
      </c>
      <c r="E17">
        <v>14</v>
      </c>
      <c r="F17" t="s">
        <v>282</v>
      </c>
    </row>
    <row r="18" spans="1:6" x14ac:dyDescent="0.25">
      <c r="A18" t="s">
        <v>195</v>
      </c>
      <c r="B18">
        <v>17</v>
      </c>
      <c r="C18">
        <v>258</v>
      </c>
      <c r="D18">
        <v>-270</v>
      </c>
      <c r="E18">
        <v>14</v>
      </c>
      <c r="F18" t="s">
        <v>282</v>
      </c>
    </row>
    <row r="19" spans="1:6" x14ac:dyDescent="0.25">
      <c r="A19" t="s">
        <v>196</v>
      </c>
      <c r="B19">
        <v>18</v>
      </c>
      <c r="C19">
        <v>384</v>
      </c>
      <c r="D19">
        <v>-270</v>
      </c>
      <c r="E19">
        <v>14</v>
      </c>
      <c r="F19" t="s">
        <v>282</v>
      </c>
    </row>
    <row r="20" spans="1:6" x14ac:dyDescent="0.25">
      <c r="A20" t="s">
        <v>197</v>
      </c>
      <c r="B20">
        <v>19</v>
      </c>
      <c r="C20">
        <v>189.7</v>
      </c>
      <c r="D20">
        <v>-115.9</v>
      </c>
      <c r="E20">
        <v>170</v>
      </c>
      <c r="F20" t="s">
        <v>280</v>
      </c>
    </row>
    <row r="21" spans="1:6" x14ac:dyDescent="0.25">
      <c r="A21" t="s">
        <v>198</v>
      </c>
      <c r="B21">
        <v>20</v>
      </c>
      <c r="C21">
        <v>0</v>
      </c>
      <c r="D21">
        <v>0</v>
      </c>
      <c r="E21">
        <v>170</v>
      </c>
      <c r="F21" t="s">
        <v>284</v>
      </c>
    </row>
    <row r="22" spans="1:6" x14ac:dyDescent="0.25">
      <c r="A22" t="s">
        <v>199</v>
      </c>
      <c r="B22">
        <v>21</v>
      </c>
      <c r="C22">
        <v>126</v>
      </c>
      <c r="D22">
        <v>0</v>
      </c>
      <c r="E22">
        <v>170</v>
      </c>
      <c r="F22" t="s">
        <v>284</v>
      </c>
    </row>
    <row r="23" spans="1:6" x14ac:dyDescent="0.25">
      <c r="A23" t="s">
        <v>200</v>
      </c>
      <c r="B23">
        <v>22</v>
      </c>
      <c r="C23">
        <v>258</v>
      </c>
      <c r="D23">
        <v>0</v>
      </c>
      <c r="E23">
        <v>170</v>
      </c>
      <c r="F23" t="s">
        <v>284</v>
      </c>
    </row>
    <row r="24" spans="1:6" x14ac:dyDescent="0.25">
      <c r="A24" t="s">
        <v>201</v>
      </c>
      <c r="B24">
        <v>23</v>
      </c>
      <c r="C24">
        <v>384</v>
      </c>
      <c r="D24">
        <v>0</v>
      </c>
      <c r="E24">
        <v>170</v>
      </c>
      <c r="F24" t="s">
        <v>284</v>
      </c>
    </row>
    <row r="25" spans="1:6" x14ac:dyDescent="0.25">
      <c r="A25" t="s">
        <v>202</v>
      </c>
      <c r="B25">
        <v>24</v>
      </c>
      <c r="C25">
        <v>192</v>
      </c>
      <c r="D25">
        <v>0</v>
      </c>
      <c r="E25">
        <v>170</v>
      </c>
      <c r="F25" t="s">
        <v>285</v>
      </c>
    </row>
    <row r="26" spans="1:6" x14ac:dyDescent="0.25">
      <c r="A26" t="s">
        <v>203</v>
      </c>
      <c r="B26">
        <v>25</v>
      </c>
      <c r="C26">
        <v>126</v>
      </c>
      <c r="D26">
        <v>-25.625</v>
      </c>
      <c r="E26">
        <v>170</v>
      </c>
      <c r="F26" t="s">
        <v>281</v>
      </c>
    </row>
    <row r="27" spans="1:6" x14ac:dyDescent="0.25">
      <c r="A27" t="s">
        <v>204</v>
      </c>
      <c r="B27">
        <v>26</v>
      </c>
      <c r="C27">
        <v>258</v>
      </c>
      <c r="D27">
        <v>-25.625</v>
      </c>
      <c r="E27">
        <v>170</v>
      </c>
      <c r="F27" t="s">
        <v>281</v>
      </c>
    </row>
    <row r="28" spans="1:6" x14ac:dyDescent="0.25">
      <c r="A28" t="s">
        <v>205</v>
      </c>
      <c r="B28">
        <v>27</v>
      </c>
      <c r="C28">
        <v>0</v>
      </c>
      <c r="D28">
        <v>-60</v>
      </c>
      <c r="E28">
        <v>170</v>
      </c>
      <c r="F28" t="s">
        <v>285</v>
      </c>
    </row>
    <row r="29" spans="1:6" x14ac:dyDescent="0.25">
      <c r="A29" t="s">
        <v>206</v>
      </c>
      <c r="B29">
        <v>28</v>
      </c>
      <c r="C29">
        <v>384</v>
      </c>
      <c r="D29">
        <v>-60</v>
      </c>
      <c r="E29">
        <v>170</v>
      </c>
      <c r="F29" t="s">
        <v>285</v>
      </c>
    </row>
    <row r="30" spans="1:6" x14ac:dyDescent="0.25">
      <c r="A30" t="s">
        <v>207</v>
      </c>
      <c r="B30">
        <v>29</v>
      </c>
      <c r="C30">
        <v>0</v>
      </c>
      <c r="D30">
        <v>-120</v>
      </c>
      <c r="E30">
        <v>170</v>
      </c>
      <c r="F30" t="s">
        <v>284</v>
      </c>
    </row>
    <row r="31" spans="1:6" x14ac:dyDescent="0.25">
      <c r="A31" t="s">
        <v>208</v>
      </c>
      <c r="B31">
        <v>30</v>
      </c>
      <c r="C31">
        <v>126</v>
      </c>
      <c r="D31">
        <v>-120</v>
      </c>
      <c r="E31">
        <v>170</v>
      </c>
      <c r="F31" t="s">
        <v>284</v>
      </c>
    </row>
    <row r="32" spans="1:6" x14ac:dyDescent="0.25">
      <c r="A32" t="s">
        <v>209</v>
      </c>
      <c r="B32">
        <v>31</v>
      </c>
      <c r="C32">
        <v>258</v>
      </c>
      <c r="D32">
        <v>-120</v>
      </c>
      <c r="E32">
        <v>170</v>
      </c>
      <c r="F32" t="s">
        <v>284</v>
      </c>
    </row>
    <row r="33" spans="1:6" x14ac:dyDescent="0.25">
      <c r="A33" t="s">
        <v>210</v>
      </c>
      <c r="B33">
        <v>32</v>
      </c>
      <c r="C33">
        <v>384</v>
      </c>
      <c r="D33">
        <v>-120</v>
      </c>
      <c r="E33">
        <v>170</v>
      </c>
      <c r="F33" t="s">
        <v>284</v>
      </c>
    </row>
    <row r="34" spans="1:6" x14ac:dyDescent="0.25">
      <c r="A34" t="s">
        <v>211</v>
      </c>
      <c r="B34">
        <v>33</v>
      </c>
      <c r="C34">
        <v>126</v>
      </c>
      <c r="D34">
        <v>-216</v>
      </c>
      <c r="E34">
        <v>170</v>
      </c>
      <c r="F34" t="s">
        <v>284</v>
      </c>
    </row>
    <row r="35" spans="1:6" x14ac:dyDescent="0.25">
      <c r="A35" t="s">
        <v>212</v>
      </c>
      <c r="B35">
        <v>34</v>
      </c>
      <c r="C35">
        <v>258</v>
      </c>
      <c r="D35">
        <v>-216</v>
      </c>
      <c r="E35">
        <v>170</v>
      </c>
      <c r="F35" t="s">
        <v>284</v>
      </c>
    </row>
    <row r="36" spans="1:6" x14ac:dyDescent="0.25">
      <c r="A36" t="s">
        <v>213</v>
      </c>
      <c r="B36">
        <v>35</v>
      </c>
      <c r="C36">
        <v>192</v>
      </c>
      <c r="D36">
        <v>-216</v>
      </c>
      <c r="E36">
        <v>170</v>
      </c>
      <c r="F36" t="s">
        <v>285</v>
      </c>
    </row>
    <row r="37" spans="1:6" x14ac:dyDescent="0.25">
      <c r="A37" t="s">
        <v>214</v>
      </c>
      <c r="B37">
        <v>36</v>
      </c>
      <c r="C37">
        <v>126</v>
      </c>
      <c r="D37">
        <v>-241.625</v>
      </c>
      <c r="E37">
        <v>170</v>
      </c>
      <c r="F37" t="s">
        <v>281</v>
      </c>
    </row>
    <row r="38" spans="1:6" x14ac:dyDescent="0.25">
      <c r="A38" t="s">
        <v>215</v>
      </c>
      <c r="B38">
        <v>37</v>
      </c>
      <c r="C38">
        <v>258</v>
      </c>
      <c r="D38">
        <v>-241.625</v>
      </c>
      <c r="E38">
        <v>170</v>
      </c>
      <c r="F38" t="s">
        <v>281</v>
      </c>
    </row>
    <row r="39" spans="1:6" x14ac:dyDescent="0.25">
      <c r="A39" t="s">
        <v>216</v>
      </c>
      <c r="B39">
        <v>38</v>
      </c>
      <c r="C39">
        <v>0</v>
      </c>
      <c r="D39">
        <v>-270</v>
      </c>
      <c r="E39">
        <v>170</v>
      </c>
      <c r="F39" t="s">
        <v>284</v>
      </c>
    </row>
    <row r="40" spans="1:6" x14ac:dyDescent="0.25">
      <c r="A40" t="s">
        <v>217</v>
      </c>
      <c r="B40">
        <v>39</v>
      </c>
      <c r="C40">
        <v>126</v>
      </c>
      <c r="D40">
        <v>-270</v>
      </c>
      <c r="E40">
        <v>170</v>
      </c>
      <c r="F40" t="s">
        <v>284</v>
      </c>
    </row>
    <row r="41" spans="1:6" x14ac:dyDescent="0.25">
      <c r="A41" t="s">
        <v>218</v>
      </c>
      <c r="B41">
        <v>40</v>
      </c>
      <c r="C41">
        <v>258</v>
      </c>
      <c r="D41">
        <v>-270</v>
      </c>
      <c r="E41">
        <v>170</v>
      </c>
      <c r="F41" t="s">
        <v>284</v>
      </c>
    </row>
    <row r="42" spans="1:6" x14ac:dyDescent="0.25">
      <c r="A42" t="s">
        <v>219</v>
      </c>
      <c r="B42">
        <v>41</v>
      </c>
      <c r="C42">
        <v>384</v>
      </c>
      <c r="D42">
        <v>-270</v>
      </c>
      <c r="E42">
        <v>170</v>
      </c>
      <c r="F42" t="s">
        <v>284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00497-7B38-4B00-8134-7E86070736C4}">
  <dimension ref="A1:G20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179</v>
      </c>
      <c r="B2" s="23" t="s">
        <v>25</v>
      </c>
      <c r="C2" s="23" t="s">
        <v>25</v>
      </c>
      <c r="D2" s="23" t="s">
        <v>25</v>
      </c>
      <c r="E2" s="23" t="s">
        <v>166</v>
      </c>
      <c r="F2" s="23" t="s">
        <v>166</v>
      </c>
      <c r="G2" s="23" t="s">
        <v>166</v>
      </c>
    </row>
    <row r="3" spans="1:7" x14ac:dyDescent="0.25">
      <c r="A3" t="s">
        <v>180</v>
      </c>
      <c r="B3" s="23" t="s">
        <v>25</v>
      </c>
      <c r="C3" s="23" t="s">
        <v>25</v>
      </c>
      <c r="D3" s="23" t="s">
        <v>25</v>
      </c>
      <c r="E3" s="23" t="s">
        <v>166</v>
      </c>
      <c r="F3" s="23" t="s">
        <v>166</v>
      </c>
      <c r="G3" s="23" t="s">
        <v>166</v>
      </c>
    </row>
    <row r="4" spans="1:7" x14ac:dyDescent="0.25">
      <c r="A4" t="s">
        <v>181</v>
      </c>
      <c r="B4" s="23" t="s">
        <v>25</v>
      </c>
      <c r="C4" s="23" t="s">
        <v>25</v>
      </c>
      <c r="D4" s="23" t="s">
        <v>25</v>
      </c>
      <c r="E4" s="23" t="s">
        <v>166</v>
      </c>
      <c r="F4" s="23" t="s">
        <v>166</v>
      </c>
      <c r="G4" s="23" t="s">
        <v>166</v>
      </c>
    </row>
    <row r="5" spans="1:7" x14ac:dyDescent="0.25">
      <c r="A5" t="s">
        <v>182</v>
      </c>
      <c r="B5" s="23" t="s">
        <v>25</v>
      </c>
      <c r="C5" s="23" t="s">
        <v>25</v>
      </c>
      <c r="D5" s="23" t="s">
        <v>25</v>
      </c>
      <c r="E5" s="23" t="s">
        <v>166</v>
      </c>
      <c r="F5" s="23" t="s">
        <v>166</v>
      </c>
      <c r="G5" s="23" t="s">
        <v>166</v>
      </c>
    </row>
    <row r="6" spans="1:7" x14ac:dyDescent="0.25">
      <c r="A6" t="s">
        <v>183</v>
      </c>
      <c r="B6" s="23" t="s">
        <v>25</v>
      </c>
      <c r="C6" s="23" t="s">
        <v>25</v>
      </c>
      <c r="D6" s="23" t="s">
        <v>25</v>
      </c>
      <c r="E6" s="23" t="s">
        <v>25</v>
      </c>
      <c r="F6" s="23" t="s">
        <v>25</v>
      </c>
      <c r="G6" s="23" t="s">
        <v>25</v>
      </c>
    </row>
    <row r="7" spans="1:7" x14ac:dyDescent="0.25">
      <c r="A7" t="s">
        <v>184</v>
      </c>
      <c r="B7" s="23" t="s">
        <v>25</v>
      </c>
      <c r="C7" s="23" t="s">
        <v>25</v>
      </c>
      <c r="D7" s="23" t="s">
        <v>25</v>
      </c>
      <c r="E7" s="23" t="s">
        <v>25</v>
      </c>
      <c r="F7" s="23" t="s">
        <v>25</v>
      </c>
      <c r="G7" s="23" t="s">
        <v>25</v>
      </c>
    </row>
    <row r="8" spans="1:7" x14ac:dyDescent="0.25">
      <c r="A8" t="s">
        <v>185</v>
      </c>
      <c r="B8" s="23" t="s">
        <v>25</v>
      </c>
      <c r="C8" s="23" t="s">
        <v>25</v>
      </c>
      <c r="D8" s="23" t="s">
        <v>25</v>
      </c>
      <c r="E8" s="23" t="s">
        <v>25</v>
      </c>
      <c r="F8" s="23" t="s">
        <v>25</v>
      </c>
      <c r="G8" s="23" t="s">
        <v>25</v>
      </c>
    </row>
    <row r="9" spans="1:7" x14ac:dyDescent="0.25">
      <c r="A9" t="s">
        <v>186</v>
      </c>
      <c r="B9" s="23" t="s">
        <v>25</v>
      </c>
      <c r="C9" s="23" t="s">
        <v>25</v>
      </c>
      <c r="D9" s="23" t="s">
        <v>25</v>
      </c>
      <c r="E9" s="23" t="s">
        <v>166</v>
      </c>
      <c r="F9" s="23" t="s">
        <v>166</v>
      </c>
      <c r="G9" s="23" t="s">
        <v>166</v>
      </c>
    </row>
    <row r="10" spans="1:7" x14ac:dyDescent="0.25">
      <c r="A10" t="s">
        <v>187</v>
      </c>
      <c r="B10" s="23" t="s">
        <v>25</v>
      </c>
      <c r="C10" s="23" t="s">
        <v>25</v>
      </c>
      <c r="D10" s="23" t="s">
        <v>25</v>
      </c>
      <c r="E10" s="23" t="s">
        <v>166</v>
      </c>
      <c r="F10" s="23" t="s">
        <v>166</v>
      </c>
      <c r="G10" s="23" t="s">
        <v>166</v>
      </c>
    </row>
    <row r="11" spans="1:7" x14ac:dyDescent="0.25">
      <c r="A11" t="s">
        <v>188</v>
      </c>
      <c r="B11" s="23" t="s">
        <v>25</v>
      </c>
      <c r="C11" s="23" t="s">
        <v>25</v>
      </c>
      <c r="D11" s="23" t="s">
        <v>25</v>
      </c>
      <c r="E11" s="23" t="s">
        <v>166</v>
      </c>
      <c r="F11" s="23" t="s">
        <v>166</v>
      </c>
      <c r="G11" s="23" t="s">
        <v>166</v>
      </c>
    </row>
    <row r="12" spans="1:7" x14ac:dyDescent="0.25">
      <c r="A12" t="s">
        <v>189</v>
      </c>
      <c r="B12" s="23" t="s">
        <v>25</v>
      </c>
      <c r="C12" s="23" t="s">
        <v>25</v>
      </c>
      <c r="D12" s="23" t="s">
        <v>25</v>
      </c>
      <c r="E12" s="23" t="s">
        <v>166</v>
      </c>
      <c r="F12" s="23" t="s">
        <v>166</v>
      </c>
      <c r="G12" s="23" t="s">
        <v>166</v>
      </c>
    </row>
    <row r="13" spans="1:7" x14ac:dyDescent="0.25">
      <c r="A13" t="s">
        <v>190</v>
      </c>
      <c r="B13" s="23" t="s">
        <v>25</v>
      </c>
      <c r="C13" s="23" t="s">
        <v>25</v>
      </c>
      <c r="D13" s="23" t="s">
        <v>25</v>
      </c>
      <c r="E13" s="23" t="s">
        <v>166</v>
      </c>
      <c r="F13" s="23" t="s">
        <v>166</v>
      </c>
      <c r="G13" s="23" t="s">
        <v>166</v>
      </c>
    </row>
    <row r="14" spans="1:7" x14ac:dyDescent="0.25">
      <c r="A14" t="s">
        <v>191</v>
      </c>
      <c r="B14" s="23" t="s">
        <v>25</v>
      </c>
      <c r="C14" s="23" t="s">
        <v>25</v>
      </c>
      <c r="D14" s="23" t="s">
        <v>25</v>
      </c>
      <c r="E14" s="23" t="s">
        <v>166</v>
      </c>
      <c r="F14" s="23" t="s">
        <v>166</v>
      </c>
      <c r="G14" s="23" t="s">
        <v>166</v>
      </c>
    </row>
    <row r="15" spans="1:7" x14ac:dyDescent="0.25">
      <c r="A15" t="s">
        <v>192</v>
      </c>
      <c r="B15" s="23" t="s">
        <v>25</v>
      </c>
      <c r="C15" s="23" t="s">
        <v>25</v>
      </c>
      <c r="D15" s="23" t="s">
        <v>25</v>
      </c>
      <c r="E15" s="23" t="s">
        <v>25</v>
      </c>
      <c r="F15" s="23" t="s">
        <v>25</v>
      </c>
      <c r="G15" s="23" t="s">
        <v>25</v>
      </c>
    </row>
    <row r="16" spans="1:7" x14ac:dyDescent="0.25">
      <c r="A16" t="s">
        <v>193</v>
      </c>
      <c r="B16" s="23" t="s">
        <v>25</v>
      </c>
      <c r="C16" s="23" t="s">
        <v>25</v>
      </c>
      <c r="D16" s="23" t="s">
        <v>25</v>
      </c>
      <c r="E16" s="23" t="s">
        <v>166</v>
      </c>
      <c r="F16" s="23" t="s">
        <v>166</v>
      </c>
      <c r="G16" s="23" t="s">
        <v>166</v>
      </c>
    </row>
    <row r="17" spans="1:7" x14ac:dyDescent="0.25">
      <c r="A17" t="s">
        <v>194</v>
      </c>
      <c r="B17" s="23" t="s">
        <v>25</v>
      </c>
      <c r="C17" s="23" t="s">
        <v>25</v>
      </c>
      <c r="D17" s="23" t="s">
        <v>25</v>
      </c>
      <c r="E17" s="23" t="s">
        <v>166</v>
      </c>
      <c r="F17" s="23" t="s">
        <v>166</v>
      </c>
      <c r="G17" s="23" t="s">
        <v>166</v>
      </c>
    </row>
    <row r="18" spans="1:7" x14ac:dyDescent="0.25">
      <c r="A18" t="s">
        <v>195</v>
      </c>
      <c r="B18" s="23" t="s">
        <v>25</v>
      </c>
      <c r="C18" s="23" t="s">
        <v>25</v>
      </c>
      <c r="D18" s="23" t="s">
        <v>25</v>
      </c>
      <c r="E18" s="23" t="s">
        <v>166</v>
      </c>
      <c r="F18" s="23" t="s">
        <v>166</v>
      </c>
      <c r="G18" s="23" t="s">
        <v>166</v>
      </c>
    </row>
    <row r="19" spans="1:7" x14ac:dyDescent="0.25">
      <c r="A19" t="s">
        <v>196</v>
      </c>
      <c r="B19" s="23" t="s">
        <v>25</v>
      </c>
      <c r="C19" s="23" t="s">
        <v>25</v>
      </c>
      <c r="D19" s="23" t="s">
        <v>25</v>
      </c>
      <c r="E19" s="23" t="s">
        <v>166</v>
      </c>
      <c r="F19" s="23" t="s">
        <v>166</v>
      </c>
      <c r="G19" s="23" t="s">
        <v>166</v>
      </c>
    </row>
    <row r="20" spans="1:7" x14ac:dyDescent="0.25">
      <c r="A20" t="s">
        <v>197</v>
      </c>
      <c r="B20" s="23" t="s">
        <v>166</v>
      </c>
      <c r="C20" s="23" t="s">
        <v>166</v>
      </c>
      <c r="D20" s="23" t="s">
        <v>25</v>
      </c>
      <c r="E20" s="23" t="s">
        <v>25</v>
      </c>
      <c r="F20" s="23" t="s">
        <v>25</v>
      </c>
      <c r="G20" s="23" t="s">
        <v>166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F790-133D-4A0D-A26F-463EDDC71F4E}">
  <dimension ref="A1:B19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177</v>
      </c>
      <c r="B1" t="s">
        <v>178</v>
      </c>
    </row>
    <row r="2" spans="1:2" x14ac:dyDescent="0.25">
      <c r="A2" t="s">
        <v>198</v>
      </c>
      <c r="B2" t="s">
        <v>197</v>
      </c>
    </row>
    <row r="3" spans="1:2" x14ac:dyDescent="0.25">
      <c r="A3" t="s">
        <v>199</v>
      </c>
      <c r="B3" t="s">
        <v>197</v>
      </c>
    </row>
    <row r="4" spans="1:2" x14ac:dyDescent="0.25">
      <c r="A4" t="s">
        <v>200</v>
      </c>
      <c r="B4" t="s">
        <v>197</v>
      </c>
    </row>
    <row r="5" spans="1:2" x14ac:dyDescent="0.25">
      <c r="A5" t="s">
        <v>201</v>
      </c>
      <c r="B5" t="s">
        <v>197</v>
      </c>
    </row>
    <row r="6" spans="1:2" x14ac:dyDescent="0.25">
      <c r="A6" t="s">
        <v>202</v>
      </c>
      <c r="B6" t="s">
        <v>197</v>
      </c>
    </row>
    <row r="7" spans="1:2" x14ac:dyDescent="0.25">
      <c r="A7" t="s">
        <v>205</v>
      </c>
      <c r="B7" t="s">
        <v>197</v>
      </c>
    </row>
    <row r="8" spans="1:2" x14ac:dyDescent="0.25">
      <c r="A8" t="s">
        <v>206</v>
      </c>
      <c r="B8" t="s">
        <v>197</v>
      </c>
    </row>
    <row r="9" spans="1:2" x14ac:dyDescent="0.25">
      <c r="A9" t="s">
        <v>207</v>
      </c>
      <c r="B9" t="s">
        <v>197</v>
      </c>
    </row>
    <row r="10" spans="1:2" x14ac:dyDescent="0.25">
      <c r="A10" t="s">
        <v>208</v>
      </c>
      <c r="B10" t="s">
        <v>197</v>
      </c>
    </row>
    <row r="11" spans="1:2" x14ac:dyDescent="0.25">
      <c r="A11" t="s">
        <v>209</v>
      </c>
      <c r="B11" t="s">
        <v>197</v>
      </c>
    </row>
    <row r="12" spans="1:2" x14ac:dyDescent="0.25">
      <c r="A12" t="s">
        <v>210</v>
      </c>
      <c r="B12" t="s">
        <v>197</v>
      </c>
    </row>
    <row r="13" spans="1:2" x14ac:dyDescent="0.25">
      <c r="A13" t="s">
        <v>211</v>
      </c>
      <c r="B13" t="s">
        <v>197</v>
      </c>
    </row>
    <row r="14" spans="1:2" x14ac:dyDescent="0.25">
      <c r="A14" t="s">
        <v>212</v>
      </c>
      <c r="B14" t="s">
        <v>197</v>
      </c>
    </row>
    <row r="15" spans="1:2" x14ac:dyDescent="0.25">
      <c r="A15" t="s">
        <v>213</v>
      </c>
      <c r="B15" t="s">
        <v>197</v>
      </c>
    </row>
    <row r="16" spans="1:2" x14ac:dyDescent="0.25">
      <c r="A16" t="s">
        <v>216</v>
      </c>
      <c r="B16" t="s">
        <v>197</v>
      </c>
    </row>
    <row r="17" spans="1:2" x14ac:dyDescent="0.25">
      <c r="A17" t="s">
        <v>217</v>
      </c>
      <c r="B17" t="s">
        <v>197</v>
      </c>
    </row>
    <row r="18" spans="1:2" x14ac:dyDescent="0.25">
      <c r="A18" t="s">
        <v>218</v>
      </c>
      <c r="B18" t="s">
        <v>197</v>
      </c>
    </row>
    <row r="19" spans="1:2" x14ac:dyDescent="0.25">
      <c r="A19" t="s">
        <v>219</v>
      </c>
      <c r="B19" t="s">
        <v>197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CB688-498B-4E3C-B8D8-CDC31CA65A7B}">
  <dimension ref="A1:G2"/>
  <sheetViews>
    <sheetView tabSelected="1" workbookViewId="0">
      <selection activeCell="F16" sqref="F1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197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75563-A2C7-4B7B-A8B3-83A2D918E873}">
  <dimension ref="A1:H37"/>
  <sheetViews>
    <sheetView workbookViewId="0">
      <selection activeCell="I1" sqref="I1:XFD1048576"/>
    </sheetView>
  </sheetViews>
  <sheetFormatPr defaultColWidth="0" defaultRowHeight="15" x14ac:dyDescent="0.25"/>
  <cols>
    <col min="1" max="1" width="12.71093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41</v>
      </c>
    </row>
    <row r="2" spans="1:8" x14ac:dyDescent="0.25">
      <c r="A2" t="s">
        <v>230</v>
      </c>
      <c r="B2">
        <v>1</v>
      </c>
      <c r="C2" t="s">
        <v>5</v>
      </c>
      <c r="D2" t="s">
        <v>198</v>
      </c>
      <c r="E2" t="s">
        <v>199</v>
      </c>
      <c r="F2" t="s">
        <v>150</v>
      </c>
      <c r="G2" t="s">
        <v>152</v>
      </c>
    </row>
    <row r="3" spans="1:8" x14ac:dyDescent="0.25">
      <c r="A3" t="s">
        <v>231</v>
      </c>
      <c r="B3">
        <v>2</v>
      </c>
      <c r="C3" t="s">
        <v>5</v>
      </c>
      <c r="D3" t="s">
        <v>200</v>
      </c>
      <c r="E3" t="s">
        <v>201</v>
      </c>
      <c r="F3" t="s">
        <v>150</v>
      </c>
      <c r="G3" t="s">
        <v>152</v>
      </c>
    </row>
    <row r="4" spans="1:8" x14ac:dyDescent="0.25">
      <c r="A4" t="s">
        <v>232</v>
      </c>
      <c r="B4">
        <v>3</v>
      </c>
      <c r="C4" t="s">
        <v>5</v>
      </c>
      <c r="D4" t="s">
        <v>203</v>
      </c>
      <c r="E4" t="s">
        <v>204</v>
      </c>
      <c r="F4" t="s">
        <v>150</v>
      </c>
      <c r="G4" t="s">
        <v>152</v>
      </c>
    </row>
    <row r="5" spans="1:8" x14ac:dyDescent="0.25">
      <c r="A5" t="s">
        <v>233</v>
      </c>
      <c r="B5">
        <v>4</v>
      </c>
      <c r="C5" t="s">
        <v>5</v>
      </c>
      <c r="D5" t="s">
        <v>207</v>
      </c>
      <c r="E5" t="s">
        <v>208</v>
      </c>
      <c r="F5" t="s">
        <v>150</v>
      </c>
      <c r="G5" t="s">
        <v>152</v>
      </c>
    </row>
    <row r="6" spans="1:8" x14ac:dyDescent="0.25">
      <c r="A6" t="s">
        <v>234</v>
      </c>
      <c r="B6">
        <v>5</v>
      </c>
      <c r="C6" t="s">
        <v>5</v>
      </c>
      <c r="D6" t="s">
        <v>208</v>
      </c>
      <c r="E6" t="s">
        <v>209</v>
      </c>
      <c r="F6" t="s">
        <v>150</v>
      </c>
      <c r="G6" t="s">
        <v>152</v>
      </c>
    </row>
    <row r="7" spans="1:8" x14ac:dyDescent="0.25">
      <c r="A7" t="s">
        <v>235</v>
      </c>
      <c r="B7">
        <v>6</v>
      </c>
      <c r="C7" t="s">
        <v>5</v>
      </c>
      <c r="D7" t="s">
        <v>209</v>
      </c>
      <c r="E7" t="s">
        <v>210</v>
      </c>
      <c r="F7" t="s">
        <v>150</v>
      </c>
      <c r="G7" t="s">
        <v>152</v>
      </c>
    </row>
    <row r="8" spans="1:8" x14ac:dyDescent="0.25">
      <c r="A8" t="s">
        <v>236</v>
      </c>
      <c r="B8">
        <v>7</v>
      </c>
      <c r="C8" t="s">
        <v>5</v>
      </c>
      <c r="D8" t="s">
        <v>214</v>
      </c>
      <c r="E8" t="s">
        <v>215</v>
      </c>
      <c r="F8" t="s">
        <v>150</v>
      </c>
      <c r="G8" t="s">
        <v>152</v>
      </c>
    </row>
    <row r="9" spans="1:8" x14ac:dyDescent="0.25">
      <c r="A9" t="s">
        <v>237</v>
      </c>
      <c r="B9">
        <v>8</v>
      </c>
      <c r="C9" t="s">
        <v>5</v>
      </c>
      <c r="D9" t="s">
        <v>216</v>
      </c>
      <c r="E9" t="s">
        <v>217</v>
      </c>
      <c r="F9" t="s">
        <v>150</v>
      </c>
      <c r="G9" t="s">
        <v>152</v>
      </c>
    </row>
    <row r="10" spans="1:8" x14ac:dyDescent="0.25">
      <c r="A10" t="s">
        <v>238</v>
      </c>
      <c r="B10">
        <v>9</v>
      </c>
      <c r="C10" t="s">
        <v>5</v>
      </c>
      <c r="D10" t="s">
        <v>217</v>
      </c>
      <c r="E10" t="s">
        <v>218</v>
      </c>
      <c r="F10" t="s">
        <v>150</v>
      </c>
      <c r="G10" t="s">
        <v>152</v>
      </c>
    </row>
    <row r="11" spans="1:8" x14ac:dyDescent="0.25">
      <c r="A11" t="s">
        <v>239</v>
      </c>
      <c r="B11">
        <v>10</v>
      </c>
      <c r="C11" t="s">
        <v>5</v>
      </c>
      <c r="D11" t="s">
        <v>218</v>
      </c>
      <c r="E11" t="s">
        <v>219</v>
      </c>
      <c r="F11" t="s">
        <v>150</v>
      </c>
      <c r="G11" t="s">
        <v>152</v>
      </c>
    </row>
    <row r="12" spans="1:8" x14ac:dyDescent="0.25">
      <c r="A12" t="s">
        <v>240</v>
      </c>
      <c r="B12">
        <v>11</v>
      </c>
      <c r="C12" t="s">
        <v>5</v>
      </c>
      <c r="D12" t="s">
        <v>199</v>
      </c>
      <c r="E12" t="s">
        <v>203</v>
      </c>
      <c r="F12" t="s">
        <v>150</v>
      </c>
      <c r="G12" t="s">
        <v>152</v>
      </c>
    </row>
    <row r="13" spans="1:8" x14ac:dyDescent="0.25">
      <c r="A13" t="s">
        <v>241</v>
      </c>
      <c r="B13">
        <v>12</v>
      </c>
      <c r="C13" t="s">
        <v>5</v>
      </c>
      <c r="D13" t="s">
        <v>203</v>
      </c>
      <c r="E13" t="s">
        <v>208</v>
      </c>
      <c r="F13" t="s">
        <v>150</v>
      </c>
      <c r="G13" t="s">
        <v>152</v>
      </c>
    </row>
    <row r="14" spans="1:8" x14ac:dyDescent="0.25">
      <c r="A14" t="s">
        <v>242</v>
      </c>
      <c r="B14">
        <v>13</v>
      </c>
      <c r="C14" t="s">
        <v>5</v>
      </c>
      <c r="D14" t="s">
        <v>200</v>
      </c>
      <c r="E14" t="s">
        <v>204</v>
      </c>
      <c r="F14" t="s">
        <v>150</v>
      </c>
      <c r="G14" t="s">
        <v>152</v>
      </c>
    </row>
    <row r="15" spans="1:8" x14ac:dyDescent="0.25">
      <c r="A15" t="s">
        <v>243</v>
      </c>
      <c r="B15">
        <v>14</v>
      </c>
      <c r="C15" t="s">
        <v>5</v>
      </c>
      <c r="D15" t="s">
        <v>204</v>
      </c>
      <c r="E15" t="s">
        <v>209</v>
      </c>
      <c r="F15" t="s">
        <v>150</v>
      </c>
      <c r="G15" t="s">
        <v>152</v>
      </c>
    </row>
    <row r="16" spans="1:8" x14ac:dyDescent="0.25">
      <c r="A16" t="s">
        <v>244</v>
      </c>
      <c r="B16">
        <v>15</v>
      </c>
      <c r="C16" t="s">
        <v>5</v>
      </c>
      <c r="D16" t="s">
        <v>211</v>
      </c>
      <c r="E16" t="s">
        <v>214</v>
      </c>
      <c r="F16" t="s">
        <v>150</v>
      </c>
      <c r="G16" t="s">
        <v>152</v>
      </c>
    </row>
    <row r="17" spans="1:7" x14ac:dyDescent="0.25">
      <c r="A17" t="s">
        <v>245</v>
      </c>
      <c r="B17">
        <v>16</v>
      </c>
      <c r="C17" t="s">
        <v>5</v>
      </c>
      <c r="D17" t="s">
        <v>214</v>
      </c>
      <c r="E17" t="s">
        <v>217</v>
      </c>
      <c r="F17" t="s">
        <v>150</v>
      </c>
      <c r="G17" t="s">
        <v>152</v>
      </c>
    </row>
    <row r="18" spans="1:7" x14ac:dyDescent="0.25">
      <c r="A18" t="s">
        <v>246</v>
      </c>
      <c r="B18">
        <v>17</v>
      </c>
      <c r="C18" t="s">
        <v>5</v>
      </c>
      <c r="D18" t="s">
        <v>212</v>
      </c>
      <c r="E18" t="s">
        <v>215</v>
      </c>
      <c r="F18" t="s">
        <v>150</v>
      </c>
      <c r="G18" t="s">
        <v>152</v>
      </c>
    </row>
    <row r="19" spans="1:7" x14ac:dyDescent="0.25">
      <c r="A19" t="s">
        <v>247</v>
      </c>
      <c r="B19">
        <v>18</v>
      </c>
      <c r="C19" t="s">
        <v>5</v>
      </c>
      <c r="D19" t="s">
        <v>215</v>
      </c>
      <c r="E19" t="s">
        <v>218</v>
      </c>
      <c r="F19" t="s">
        <v>150</v>
      </c>
      <c r="G19" t="s">
        <v>152</v>
      </c>
    </row>
    <row r="20" spans="1:7" x14ac:dyDescent="0.25">
      <c r="A20" t="s">
        <v>343</v>
      </c>
      <c r="B20">
        <v>19</v>
      </c>
      <c r="C20" t="s">
        <v>5</v>
      </c>
      <c r="D20" t="s">
        <v>179</v>
      </c>
      <c r="E20" t="s">
        <v>198</v>
      </c>
      <c r="F20" t="s">
        <v>148</v>
      </c>
      <c r="G20" t="s">
        <v>32</v>
      </c>
    </row>
    <row r="21" spans="1:7" x14ac:dyDescent="0.25">
      <c r="A21" t="s">
        <v>254</v>
      </c>
      <c r="B21">
        <v>20</v>
      </c>
      <c r="C21" t="s">
        <v>5</v>
      </c>
      <c r="D21" t="s">
        <v>180</v>
      </c>
      <c r="E21" t="s">
        <v>199</v>
      </c>
      <c r="F21" t="s">
        <v>148</v>
      </c>
      <c r="G21" t="s">
        <v>32</v>
      </c>
    </row>
    <row r="22" spans="1:7" x14ac:dyDescent="0.25">
      <c r="A22" t="s">
        <v>255</v>
      </c>
      <c r="B22">
        <v>21</v>
      </c>
      <c r="C22" t="s">
        <v>5</v>
      </c>
      <c r="D22" t="s">
        <v>181</v>
      </c>
      <c r="E22" t="s">
        <v>200</v>
      </c>
      <c r="F22" t="s">
        <v>148</v>
      </c>
      <c r="G22" t="s">
        <v>32</v>
      </c>
    </row>
    <row r="23" spans="1:7" x14ac:dyDescent="0.25">
      <c r="A23" t="s">
        <v>256</v>
      </c>
      <c r="B23">
        <v>22</v>
      </c>
      <c r="C23" t="s">
        <v>5</v>
      </c>
      <c r="D23" t="s">
        <v>182</v>
      </c>
      <c r="E23" t="s">
        <v>201</v>
      </c>
      <c r="F23" t="s">
        <v>148</v>
      </c>
      <c r="G23" t="s">
        <v>32</v>
      </c>
    </row>
    <row r="24" spans="1:7" x14ac:dyDescent="0.25">
      <c r="A24" t="s">
        <v>257</v>
      </c>
      <c r="B24">
        <v>23</v>
      </c>
      <c r="C24" t="s">
        <v>5</v>
      </c>
      <c r="D24" t="s">
        <v>186</v>
      </c>
      <c r="E24" t="s">
        <v>207</v>
      </c>
      <c r="F24" t="s">
        <v>148</v>
      </c>
      <c r="G24" t="s">
        <v>32</v>
      </c>
    </row>
    <row r="25" spans="1:7" x14ac:dyDescent="0.25">
      <c r="A25" t="s">
        <v>258</v>
      </c>
      <c r="B25">
        <v>24</v>
      </c>
      <c r="C25" t="s">
        <v>5</v>
      </c>
      <c r="D25" t="s">
        <v>187</v>
      </c>
      <c r="E25" t="s">
        <v>208</v>
      </c>
      <c r="F25" t="s">
        <v>149</v>
      </c>
      <c r="G25" t="s">
        <v>32</v>
      </c>
    </row>
    <row r="26" spans="1:7" x14ac:dyDescent="0.25">
      <c r="A26" t="s">
        <v>259</v>
      </c>
      <c r="B26">
        <v>25</v>
      </c>
      <c r="C26" t="s">
        <v>5</v>
      </c>
      <c r="D26" t="s">
        <v>188</v>
      </c>
      <c r="E26" t="s">
        <v>209</v>
      </c>
      <c r="F26" t="s">
        <v>149</v>
      </c>
      <c r="G26" t="s">
        <v>32</v>
      </c>
    </row>
    <row r="27" spans="1:7" x14ac:dyDescent="0.25">
      <c r="A27" t="s">
        <v>260</v>
      </c>
      <c r="B27">
        <v>26</v>
      </c>
      <c r="C27" t="s">
        <v>5</v>
      </c>
      <c r="D27" t="s">
        <v>189</v>
      </c>
      <c r="E27" t="s">
        <v>210</v>
      </c>
      <c r="F27" t="s">
        <v>148</v>
      </c>
      <c r="G27" t="s">
        <v>32</v>
      </c>
    </row>
    <row r="28" spans="1:7" x14ac:dyDescent="0.25">
      <c r="A28" t="s">
        <v>261</v>
      </c>
      <c r="B28">
        <v>27</v>
      </c>
      <c r="C28" t="s">
        <v>5</v>
      </c>
      <c r="D28" t="s">
        <v>190</v>
      </c>
      <c r="E28" t="s">
        <v>211</v>
      </c>
      <c r="F28" t="s">
        <v>148</v>
      </c>
      <c r="G28" t="s">
        <v>32</v>
      </c>
    </row>
    <row r="29" spans="1:7" x14ac:dyDescent="0.25">
      <c r="A29" t="s">
        <v>262</v>
      </c>
      <c r="B29">
        <v>28</v>
      </c>
      <c r="C29" t="s">
        <v>5</v>
      </c>
      <c r="D29" t="s">
        <v>191</v>
      </c>
      <c r="E29" t="s">
        <v>212</v>
      </c>
      <c r="F29" t="s">
        <v>148</v>
      </c>
      <c r="G29" t="s">
        <v>32</v>
      </c>
    </row>
    <row r="30" spans="1:7" x14ac:dyDescent="0.25">
      <c r="A30" t="s">
        <v>263</v>
      </c>
      <c r="B30">
        <v>29</v>
      </c>
      <c r="C30" t="s">
        <v>5</v>
      </c>
      <c r="D30" t="s">
        <v>193</v>
      </c>
      <c r="E30" t="s">
        <v>216</v>
      </c>
      <c r="F30" t="s">
        <v>149</v>
      </c>
      <c r="G30" t="s">
        <v>32</v>
      </c>
    </row>
    <row r="31" spans="1:7" x14ac:dyDescent="0.25">
      <c r="A31" t="s">
        <v>264</v>
      </c>
      <c r="B31">
        <v>30</v>
      </c>
      <c r="C31" t="s">
        <v>5</v>
      </c>
      <c r="D31" t="s">
        <v>194</v>
      </c>
      <c r="E31" t="s">
        <v>217</v>
      </c>
      <c r="F31" t="s">
        <v>149</v>
      </c>
      <c r="G31" t="s">
        <v>32</v>
      </c>
    </row>
    <row r="32" spans="1:7" x14ac:dyDescent="0.25">
      <c r="A32" t="s">
        <v>265</v>
      </c>
      <c r="B32">
        <v>31</v>
      </c>
      <c r="C32" t="s">
        <v>5</v>
      </c>
      <c r="D32" t="s">
        <v>195</v>
      </c>
      <c r="E32" t="s">
        <v>218</v>
      </c>
      <c r="F32" t="s">
        <v>149</v>
      </c>
      <c r="G32" t="s">
        <v>32</v>
      </c>
    </row>
    <row r="33" spans="1:7" x14ac:dyDescent="0.25">
      <c r="A33" t="s">
        <v>266</v>
      </c>
      <c r="B33">
        <v>32</v>
      </c>
      <c r="C33" t="s">
        <v>5</v>
      </c>
      <c r="D33" t="s">
        <v>196</v>
      </c>
      <c r="E33" t="s">
        <v>219</v>
      </c>
      <c r="F33" t="s">
        <v>149</v>
      </c>
      <c r="G33" t="s">
        <v>32</v>
      </c>
    </row>
    <row r="34" spans="1:7" x14ac:dyDescent="0.25">
      <c r="A34" t="s">
        <v>267</v>
      </c>
      <c r="B34">
        <v>33</v>
      </c>
      <c r="C34" t="s">
        <v>5</v>
      </c>
      <c r="D34" t="s">
        <v>183</v>
      </c>
      <c r="E34" t="s">
        <v>202</v>
      </c>
      <c r="F34" t="s">
        <v>146</v>
      </c>
      <c r="G34" t="s">
        <v>32</v>
      </c>
    </row>
    <row r="35" spans="1:7" x14ac:dyDescent="0.25">
      <c r="A35" t="s">
        <v>268</v>
      </c>
      <c r="B35">
        <v>34</v>
      </c>
      <c r="C35" t="s">
        <v>5</v>
      </c>
      <c r="D35" t="s">
        <v>192</v>
      </c>
      <c r="E35" t="s">
        <v>213</v>
      </c>
      <c r="F35" t="s">
        <v>146</v>
      </c>
      <c r="G35" t="s">
        <v>32</v>
      </c>
    </row>
    <row r="36" spans="1:7" x14ac:dyDescent="0.25">
      <c r="A36" t="s">
        <v>269</v>
      </c>
      <c r="B36">
        <v>35</v>
      </c>
      <c r="C36" t="s">
        <v>5</v>
      </c>
      <c r="D36" t="s">
        <v>184</v>
      </c>
      <c r="E36" t="s">
        <v>205</v>
      </c>
      <c r="F36" t="s">
        <v>147</v>
      </c>
      <c r="G36" t="s">
        <v>31</v>
      </c>
    </row>
    <row r="37" spans="1:7" x14ac:dyDescent="0.25">
      <c r="A37" t="s">
        <v>270</v>
      </c>
      <c r="B37">
        <v>36</v>
      </c>
      <c r="C37" t="s">
        <v>5</v>
      </c>
      <c r="D37" t="s">
        <v>185</v>
      </c>
      <c r="E37" t="s">
        <v>206</v>
      </c>
      <c r="F37" t="s">
        <v>147</v>
      </c>
      <c r="G37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Dashboard</vt:lpstr>
      <vt:lpstr>changlog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2022-05-19T23:06:16Z</dcterms:modified>
</cp:coreProperties>
</file>