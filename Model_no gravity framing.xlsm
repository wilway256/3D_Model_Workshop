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roser\Documents\Code Workshop\Model_10_Story\"/>
    </mc:Choice>
  </mc:AlternateContent>
  <xr:revisionPtr revIDLastSave="0" documentId="13_ncr:1_{D3D85BAF-090F-4D16-8401-CE4FFD47BE4C}" xr6:coauthVersionLast="47" xr6:coauthVersionMax="47" xr10:uidLastSave="{00000000-0000-0000-0000-000000000000}"/>
  <bookViews>
    <workbookView xWindow="-120" yWindow="-120" windowWidth="29040" windowHeight="15840" tabRatio="903" firstSheet="5" activeTab="5" xr2:uid="{602A87BB-858A-4923-98D0-1A9BE48BFF6F}"/>
  </bookViews>
  <sheets>
    <sheet name="Dashboard" sheetId="239" r:id="rId1"/>
    <sheet name="Floor Plan" sheetId="14" r:id="rId2"/>
    <sheet name="Tables" sheetId="16" r:id="rId3"/>
    <sheet name="Options" sheetId="668" r:id="rId4"/>
    <sheet name="recorders" sheetId="260" r:id="rId5"/>
    <sheet name="loadCases" sheetId="238" r:id="rId6"/>
    <sheet name="nodeLoads" sheetId="9" r:id="rId7"/>
    <sheet name="eleLoads" sheetId="799" r:id="rId8"/>
    <sheet name="eleProperties" sheetId="6" r:id="rId9"/>
    <sheet name="eleTransf" sheetId="8" r:id="rId10"/>
    <sheet name="integration_nodes" sheetId="733" state="hidden" r:id="rId11"/>
    <sheet name="integration_weights" sheetId="734" state="hidden" r:id="rId12"/>
    <sheet name="nodes" sheetId="893" r:id="rId13"/>
    <sheet name="nodeFix" sheetId="894" r:id="rId14"/>
    <sheet name="diaphragms" sheetId="895" r:id="rId15"/>
    <sheet name="nodeMass" sheetId="896" r:id="rId16"/>
    <sheet name="elements" sheetId="897" r:id="rId17"/>
    <sheet name="multispring" sheetId="898" r:id="rId18"/>
  </sheets>
  <functionGroups builtInGroupCount="19"/>
  <externalReferences>
    <externalReference r:id="rId19"/>
  </externalReferences>
  <definedNames>
    <definedName name="Base_Spring_Table">OFFSET(Tables!$AI$3,0,0,COUNTA(Tables!$AI$3:$AI$1048567),7)</definedName>
    <definedName name="Case_List">OFFSET(loadCases!$A$2,0,0,COUNTA(loadCases!$A$2:$A$1048567),1)</definedName>
    <definedName name="Column_Names">OFFSET('Floor Plan'!$X$3,0,0,COUNTA('Floor Plan'!$X$3:$X$1048567),1)</definedName>
    <definedName name="Element_Properties">OFFSET(eleProperties!$A$1,0,0,COUNTA(eleProperties!$A:$A),COUNTA(eleProperties!$1:$1))</definedName>
    <definedName name="Fixity">OFFSET(Tables!$A$3,0,0,COUNTA(Tables!$A$3:$A$1048568),7)</definedName>
    <definedName name="Fixity_List">OFFSET(Tables!$A$3,0,0,COUNTA(Tables!$A$3:$A$1048568),1)</definedName>
    <definedName name="Fixity_Table">OFFSET(Tables!$A$3,0,0,COUNTA(Tables!$A$3:$A$1048568),7)</definedName>
    <definedName name="Floor_Plan_Center_Table">OFFSET('Floor Plan'!$A$3,0,0,COUNTA('Floor Plan'!$A$3:$A$1048568),6)</definedName>
    <definedName name="Floor_Plan_Elements_Horiz">OFFSET('Floor Plan'!$P$3,0,0,COUNTA('Floor Plan'!$P$3:$P$1048567),7)</definedName>
    <definedName name="Floor_Plan_Elements_Vert">OFFSET('Floor Plan'!$X$3,0,0,COUNTA('Floor Plan'!$X$3:$X$1048567),7)</definedName>
    <definedName name="Floor_Plan_Node_Names">OFFSET('Floor Plan'!$H$3,0,0,COUNTA('Floor Plan'!$H$3:$H$1048567),1)</definedName>
    <definedName name="Floor_Plan_Node_Table">OFFSET('Floor Plan'!$H$3,0,0,COUNTA('Floor Plan'!$H$3:$H$1048567),7)</definedName>
    <definedName name="Grid">OFFSET(Tables!$L$2,0,0,COUNTA(Tables!$L$2:$L$1048568),3)</definedName>
    <definedName name="Grid_List">OFFSET(Tables!$L$2,0,0,COUNTA(Tables!$L$2:$L$1048568),1)</definedName>
    <definedName name="Load_Case_list">OFFSET(loadCases!$A$2,0,0,COUNTA(loadCases!$A$2:$A$1048576),1)</definedName>
    <definedName name="Load_Case_Types">"a,b,c"</definedName>
    <definedName name="Node_List">OFFSET(#REF!,0,0,COUNTA(#REF!),1)</definedName>
    <definedName name="PT_Table">OFFSET(Tables!$X$3,0,0,COUNTA(Tables!$X$3:$X$1048567),10)</definedName>
    <definedName name="Recorder_Type_List" localSheetId="4">OFFSET(recorders!$Q$2,0,0,1,COUNTA(recorders!$Q$2:$XFA$2))</definedName>
    <definedName name="Transformations_List">OFFSET(eleTransf!$A$2,0,0,COUNTA(eleTransf!$A:$A)-1,1)</definedName>
    <definedName name="UFP_Table">OFFSET(Tables!$Q$3,0,0,COUNTA(Tables!$Q$3:$Q$1048567),6)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8" i="238" l="1"/>
  <c r="T19" i="238"/>
  <c r="T20" i="238"/>
  <c r="T21" i="238"/>
  <c r="T22" i="238"/>
  <c r="T23" i="238"/>
  <c r="T24" i="238"/>
  <c r="T25" i="238"/>
  <c r="T26" i="238"/>
  <c r="T27" i="238"/>
  <c r="T28" i="238"/>
  <c r="T29" i="238"/>
  <c r="T30" i="238"/>
  <c r="T31" i="238"/>
  <c r="T32" i="238"/>
  <c r="T33" i="238"/>
  <c r="T34" i="238"/>
  <c r="T35" i="238"/>
  <c r="T36" i="238"/>
  <c r="T37" i="238"/>
  <c r="T38" i="238"/>
  <c r="T39" i="238"/>
  <c r="T40" i="238"/>
  <c r="T17" i="238"/>
  <c r="S18" i="238"/>
  <c r="S19" i="238"/>
  <c r="S20" i="238"/>
  <c r="S21" i="238"/>
  <c r="S22" i="238"/>
  <c r="S23" i="238"/>
  <c r="S24" i="238"/>
  <c r="S25" i="238"/>
  <c r="S26" i="238"/>
  <c r="S27" i="238"/>
  <c r="S28" i="238"/>
  <c r="S29" i="238"/>
  <c r="S30" i="238"/>
  <c r="S31" i="238"/>
  <c r="S32" i="238"/>
  <c r="S33" i="238"/>
  <c r="S34" i="238"/>
  <c r="S35" i="238"/>
  <c r="S36" i="238"/>
  <c r="S37" i="238"/>
  <c r="S38" i="238"/>
  <c r="S39" i="238"/>
  <c r="S40" i="238"/>
  <c r="S17" i="238"/>
  <c r="AN4" i="16"/>
  <c r="AN5" i="16"/>
  <c r="AL6" i="16"/>
  <c r="AL3" i="16"/>
  <c r="AL5" i="16"/>
  <c r="AL4" i="16"/>
  <c r="AN6" i="16"/>
  <c r="AN3" i="16"/>
  <c r="P37" i="238"/>
  <c r="P38" i="238"/>
  <c r="P39" i="238"/>
  <c r="P36" i="238"/>
  <c r="Q37" i="238"/>
  <c r="Q38" i="238"/>
  <c r="Q39" i="238"/>
  <c r="Q36" i="238"/>
  <c r="M18" i="238"/>
  <c r="M19" i="238"/>
  <c r="M20" i="238"/>
  <c r="M21" i="238"/>
  <c r="M22" i="238"/>
  <c r="M23" i="238"/>
  <c r="M24" i="238"/>
  <c r="M25" i="238"/>
  <c r="M26" i="238"/>
  <c r="M27" i="238"/>
  <c r="M28" i="238"/>
  <c r="M29" i="238"/>
  <c r="M30" i="238"/>
  <c r="M31" i="238"/>
  <c r="M32" i="238"/>
  <c r="M33" i="238"/>
  <c r="M34" i="238"/>
  <c r="M35" i="238"/>
  <c r="M36" i="238"/>
  <c r="M37" i="238"/>
  <c r="M38" i="238"/>
  <c r="M39" i="238"/>
  <c r="M40" i="238"/>
  <c r="M41" i="238"/>
  <c r="M42" i="238"/>
  <c r="A18" i="238"/>
  <c r="A19" i="238"/>
  <c r="A20" i="238"/>
  <c r="A21" i="238"/>
  <c r="A22" i="238"/>
  <c r="A23" i="238"/>
  <c r="A24" i="238"/>
  <c r="A25" i="238"/>
  <c r="A26" i="238"/>
  <c r="A27" i="238"/>
  <c r="A28" i="238"/>
  <c r="A29" i="238"/>
  <c r="A30" i="238"/>
  <c r="A31" i="238"/>
  <c r="A32" i="238"/>
  <c r="A33" i="238"/>
  <c r="A34" i="238"/>
  <c r="A35" i="238"/>
  <c r="A36" i="238"/>
  <c r="A37" i="238"/>
  <c r="A38" i="238"/>
  <c r="A39" i="238"/>
  <c r="A40" i="238"/>
  <c r="A41" i="238"/>
  <c r="A42" i="238"/>
  <c r="A17" i="238"/>
  <c r="M17" i="238"/>
  <c r="D18" i="238"/>
  <c r="D19" i="238"/>
  <c r="D20" i="238"/>
  <c r="D21" i="238"/>
  <c r="D22" i="238"/>
  <c r="D23" i="238"/>
  <c r="D24" i="238"/>
  <c r="D25" i="238"/>
  <c r="D26" i="238"/>
  <c r="D27" i="238"/>
  <c r="D28" i="238"/>
  <c r="D29" i="238"/>
  <c r="D30" i="238"/>
  <c r="D31" i="238"/>
  <c r="D32" i="238"/>
  <c r="D33" i="238"/>
  <c r="D34" i="238"/>
  <c r="D35" i="238"/>
  <c r="D36" i="238"/>
  <c r="D37" i="238"/>
  <c r="D38" i="238"/>
  <c r="D39" i="238"/>
  <c r="D40" i="238"/>
  <c r="D41" i="238"/>
  <c r="D42" i="238"/>
  <c r="D17" i="238"/>
  <c r="T27" i="6"/>
  <c r="S28" i="6"/>
  <c r="S27" i="6"/>
  <c r="S26" i="6"/>
  <c r="R22" i="6"/>
  <c r="R21" i="6"/>
  <c r="E22" i="6"/>
  <c r="E21" i="6"/>
  <c r="E20" i="6"/>
  <c r="F20" i="6" s="1"/>
  <c r="G20" i="6"/>
  <c r="F13" i="14" l="1"/>
  <c r="F12" i="14"/>
  <c r="F11" i="14"/>
  <c r="F10" i="14"/>
  <c r="F9" i="14"/>
  <c r="F8" i="14"/>
  <c r="F7" i="14"/>
  <c r="F6" i="14"/>
  <c r="F5" i="14"/>
  <c r="F4" i="14"/>
  <c r="F3" i="14"/>
  <c r="S19" i="6" l="1"/>
  <c r="S18" i="6"/>
  <c r="I3" i="6" l="1"/>
  <c r="H3" i="6"/>
  <c r="G3" i="6"/>
  <c r="I2" i="6"/>
  <c r="H2" i="6"/>
  <c r="G2" i="6"/>
  <c r="I19" i="6"/>
  <c r="H19" i="6"/>
  <c r="G19" i="6"/>
  <c r="I18" i="6"/>
  <c r="H18" i="6"/>
  <c r="G18" i="6"/>
  <c r="I17" i="6"/>
  <c r="H17" i="6"/>
  <c r="G17" i="6"/>
  <c r="I16" i="6"/>
  <c r="H16" i="6"/>
  <c r="G16" i="6"/>
  <c r="I15" i="6"/>
  <c r="H15" i="6"/>
  <c r="G15" i="6"/>
  <c r="I14" i="6"/>
  <c r="H14" i="6"/>
  <c r="G14" i="6"/>
  <c r="I13" i="6"/>
  <c r="H13" i="6"/>
  <c r="G13" i="6"/>
  <c r="I12" i="6"/>
  <c r="H12" i="6"/>
  <c r="G12" i="6"/>
  <c r="D19" i="6"/>
  <c r="D18" i="6"/>
  <c r="D17" i="6"/>
  <c r="D16" i="6"/>
  <c r="D15" i="6"/>
  <c r="D14" i="6"/>
  <c r="D13" i="6"/>
  <c r="D12" i="6"/>
  <c r="D3" i="6"/>
  <c r="D2" i="6"/>
  <c r="N11" i="6"/>
  <c r="N10" i="6"/>
  <c r="E13" i="14"/>
  <c r="E12" i="14"/>
  <c r="E11" i="14"/>
  <c r="E10" i="14"/>
  <c r="E9" i="14"/>
  <c r="E8" i="14"/>
  <c r="E7" i="14"/>
  <c r="E6" i="14"/>
  <c r="E5" i="14"/>
  <c r="E4" i="14"/>
  <c r="E3" i="14"/>
  <c r="D3" i="14"/>
  <c r="C3" i="14"/>
  <c r="H4" i="14" l="1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3" i="14"/>
  <c r="T4" i="260" l="1" a="1"/>
  <c r="T4" i="260" s="1"/>
  <c r="Q4" i="260" a="1"/>
  <c r="Q4" i="260" s="1"/>
  <c r="U4" i="260" a="1"/>
  <c r="U4" i="260" s="1"/>
  <c r="R4" i="260" a="1"/>
  <c r="R4" i="260" s="1"/>
  <c r="S4" i="260" a="1"/>
  <c r="S4" i="26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A1" authorId="0" shapeId="0" xr:uid="{30A06A8C-AAEB-4AFE-B814-DCA4BC6D224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Last updated 01-Mar-22 from SW's 28-Jan-22 docx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William Roser</author>
  </authors>
  <commentList>
    <comment ref="AI1" authorId="0" shapeId="0" xr:uid="{F0C47796-6D61-49E3-9BC1-61BA5A0E0AD7}">
      <text>
        <r>
          <rPr>
            <b/>
            <sz val="9"/>
            <color indexed="81"/>
            <rFont val="Tahoma"/>
            <family val="2"/>
          </rPr>
          <t>William Roser:</t>
        </r>
        <r>
          <rPr>
            <sz val="9"/>
            <color indexed="81"/>
            <rFont val="Tahoma"/>
            <family val="2"/>
          </rPr>
          <t xml:space="preserve">
Both walls taper 4" at their bases.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E1" authorId="0" shapeId="0" xr:uid="{A0794862-A64F-4442-8D04-DE2ED3F1319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Leave blank unless recorder needed for only one load case.</t>
        </r>
      </text>
    </comment>
    <comment ref="F1" authorId="0" shapeId="0" xr:uid="{871538FE-4873-4F42-A557-DBAD4B5E2100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Can leave blank for all 6 dofs.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S1" authorId="0" shapeId="0" xr:uid="{2EBEDD47-989E-4F1E-A07E-9D7FDB81795A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No mass for values &lt;= 0.</t>
        </r>
      </text>
    </comment>
    <comment ref="D4" authorId="0" shapeId="0" xr:uid="{02F01631-F9C5-402A-8348-3306A9CCF2E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Effective area of PT with two different diameters.</t>
        </r>
      </text>
    </comment>
    <comment ref="E4" authorId="0" shapeId="0" xr:uid="{A7BE7E18-7C71-4057-B2DC-31588E93FC8B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4" authorId="0" shapeId="0" xr:uid="{C2DA15E5-8C01-48E6-8273-3B38FDDFFF28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4" authorId="0" shapeId="0" xr:uid="{0541FD8C-98FD-47A8-AA84-350A696748CA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D5" authorId="0" shapeId="0" xr:uid="{8B29A4E1-D294-4D6A-B84C-1D9D456508B8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Effective area of PT with two different diameters.</t>
        </r>
      </text>
    </comment>
    <comment ref="E5" authorId="0" shapeId="0" xr:uid="{E3E5EC8E-0E01-4DCC-AADC-0D5EB987ADC4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5" authorId="0" shapeId="0" xr:uid="{52223235-C006-447F-B451-F8A6BC393AED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5" authorId="0" shapeId="0" xr:uid="{1DB7EC47-FEC1-4903-B2C9-46C857DB5DE5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D6" authorId="0" shapeId="0" xr:uid="{20288EF8-CBF5-4643-A35D-A306ECD5C087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AISC SCM 15th ed Table 7-17
1 1/4" bolt</t>
        </r>
      </text>
    </comment>
    <comment ref="E6" authorId="0" shapeId="0" xr:uid="{5F7458A4-6485-4B06-BF95-450F1FA5A9E9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6" authorId="0" shapeId="0" xr:uid="{A20D789E-0CAF-4CCE-B8F0-76D95990CEC1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6" authorId="0" shapeId="0" xr:uid="{5704DA46-E16A-488B-A740-3B0ADD479236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D7" authorId="0" shapeId="0" xr:uid="{31445971-AE89-4171-99CA-8537BC2326AF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AISC SCM 15th ed Table 7-17
2" bolt</t>
        </r>
      </text>
    </comment>
    <comment ref="E7" authorId="0" shapeId="0" xr:uid="{F319F035-303E-4721-AE31-A6B59F8E6C75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7" authorId="0" shapeId="0" xr:uid="{32A14714-B44C-43C2-A1A7-86CF319EE4AA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7" authorId="0" shapeId="0" xr:uid="{30721895-4EEA-42AD-8264-C59A4DB85C23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D8" authorId="0" shapeId="0" xr:uid="{9AB83AAA-05D8-4BE3-96C0-6DD1B1E8C393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AISC SCM 15th ed Table 7-17
1 1/4" bolt</t>
        </r>
      </text>
    </comment>
    <comment ref="E8" authorId="0" shapeId="0" xr:uid="{1FB61CC9-BF0C-40A5-A48C-EF06A668958C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8" authorId="0" shapeId="0" xr:uid="{6692D048-240A-49CB-84EE-0F1BDE0BDBEA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8" authorId="0" shapeId="0" xr:uid="{8DA3F807-3026-4E16-91AB-4A7D007EA267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D9" authorId="0" shapeId="0" xr:uid="{46F12113-674C-40C5-BC6D-D6BAFE942A2D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AISC SCM 15th ed Table 7-17
2" bolt</t>
        </r>
      </text>
    </comment>
    <comment ref="E9" authorId="0" shapeId="0" xr:uid="{281DE4AC-D340-4A19-8F42-9F13DA72DFD5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9" authorId="0" shapeId="0" xr:uid="{FF4B756B-9B19-42AF-938B-E3DC781C4FC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9" authorId="0" shapeId="0" xr:uid="{B0F00D5B-CF0A-4815-9BD5-77D77EE4548D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E10" authorId="0" shapeId="0" xr:uid="{551C17BE-D70A-4E42-B3AF-CAAF03A18FF9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10" authorId="0" shapeId="0" xr:uid="{7E3E0794-0CA9-4D92-BDA0-77F1AD2F0269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ASTM 572 Gr 42
Ry = 1.3 [AISC SDM Table A3.1]</t>
        </r>
      </text>
    </comment>
    <comment ref="E11" authorId="0" shapeId="0" xr:uid="{A32B2B79-7901-452D-999D-2DAD42BEEA33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11" authorId="0" shapeId="0" xr:uid="{E945142F-D4FB-4175-B9AB-2C2D947C0D0D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ASTM 572 Gr 42
Ry = 1.3 [AISC SDM Table A3.1]</t>
        </r>
      </text>
    </comment>
    <comment ref="B15" authorId="0" shapeId="0" xr:uid="{FB1EF188-D138-46F1-B5A6-D556197656CC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C15" authorId="0" shapeId="0" xr:uid="{C13B060D-0C05-46F4-ADA0-5F507E29DF26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B16" authorId="0" shapeId="0" xr:uid="{D3033AF3-E75A-4F12-9473-D75D43F9123D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C16" authorId="0" shapeId="0" xr:uid="{E6A65C9E-D01C-468A-BEE7-4799DB0F3C1E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E16" authorId="0" shapeId="0" xr:uid="{7DD953F6-CEFF-4BCE-AD50-E623C175CC5B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see ESR-1040</t>
        </r>
      </text>
    </comment>
    <comment ref="B17" authorId="0" shapeId="0" xr:uid="{41E34121-A85A-481A-BC8A-90CD787FAF50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C17" authorId="0" shapeId="0" xr:uid="{2C8833F8-B98C-4D39-85CF-11B286714E74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E17" authorId="0" shapeId="0" xr:uid="{210CDFBA-9386-43F6-B199-C3301FE24A8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see ESR-1040</t>
        </r>
      </text>
    </comment>
    <comment ref="E18" authorId="0" shapeId="0" xr:uid="{824205BD-CA98-466E-BC4B-6301FDF86800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18-Aug-2022</t>
        </r>
      </text>
    </comment>
    <comment ref="F18" authorId="0" shapeId="0" xr:uid="{2C03E58F-C335-42E1-8C49-6C2CCBD58A37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18-Aug-2022
Shear modulus is highly variable. May need to calibrate for +/- 50%. Original value 66.67 ksi.</t>
        </r>
      </text>
    </comment>
    <comment ref="E19" authorId="0" shapeId="0" xr:uid="{863446BE-B225-40DA-B04C-1596589966A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18-Aug-2022</t>
        </r>
      </text>
    </comment>
    <comment ref="F19" authorId="0" shapeId="0" xr:uid="{B6FA04DF-3577-4F94-A48B-13D6FD584474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18-Aug-2022
Effective value. OSU Freres tests gave 125 ksi.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A2" authorId="0" shapeId="0" xr:uid="{508C7B21-5AB6-4EC1-969F-628C3F31261A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Primary bending is in the NS direction/about the EW axis.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<sst xmlns="http://schemas.openxmlformats.org/spreadsheetml/2006/main" count="14772" uniqueCount="2776">
  <si>
    <t>Element</t>
  </si>
  <si>
    <t>Type</t>
  </si>
  <si>
    <t>iNode</t>
  </si>
  <si>
    <t>jNode</t>
  </si>
  <si>
    <t>Tag</t>
  </si>
  <si>
    <t>elasticBeamCol</t>
  </si>
  <si>
    <t>b</t>
  </si>
  <si>
    <t>h</t>
  </si>
  <si>
    <t>A</t>
  </si>
  <si>
    <t>E</t>
  </si>
  <si>
    <t>PropertyID</t>
  </si>
  <si>
    <t>column</t>
  </si>
  <si>
    <t>wall</t>
  </si>
  <si>
    <t>G</t>
  </si>
  <si>
    <t>J</t>
  </si>
  <si>
    <t>Iy</t>
  </si>
  <si>
    <t>Iz</t>
  </si>
  <si>
    <t>NodeUID</t>
  </si>
  <si>
    <t>X</t>
  </si>
  <si>
    <t>Y</t>
  </si>
  <si>
    <t>Z</t>
  </si>
  <si>
    <t>NodeID</t>
  </si>
  <si>
    <t>MX</t>
  </si>
  <si>
    <t>MY</t>
  </si>
  <si>
    <t>MZ</t>
  </si>
  <si>
    <t>Fixed</t>
  </si>
  <si>
    <t>Transformation</t>
  </si>
  <si>
    <t>TransfUID</t>
  </si>
  <si>
    <t>Xvec</t>
  </si>
  <si>
    <t>Yvec</t>
  </si>
  <si>
    <t>Zvec</t>
  </si>
  <si>
    <t>colNS</t>
  </si>
  <si>
    <t>colEW</t>
  </si>
  <si>
    <t>Linear</t>
  </si>
  <si>
    <t>PT</t>
  </si>
  <si>
    <t>alpha</t>
  </si>
  <si>
    <t>fy</t>
  </si>
  <si>
    <t>fail_strain</t>
  </si>
  <si>
    <t>D</t>
  </si>
  <si>
    <t>Group</t>
  </si>
  <si>
    <t>t</t>
  </si>
  <si>
    <t>Node</t>
  </si>
  <si>
    <t>Direction</t>
  </si>
  <si>
    <t>Pattern</t>
  </si>
  <si>
    <t>Load</t>
  </si>
  <si>
    <t>Directions</t>
  </si>
  <si>
    <t>East</t>
  </si>
  <si>
    <t>North</t>
  </si>
  <si>
    <t>Up</t>
  </si>
  <si>
    <t>Name</t>
  </si>
  <si>
    <t>Grid</t>
  </si>
  <si>
    <t>Location</t>
  </si>
  <si>
    <t>B</t>
  </si>
  <si>
    <t>C</t>
  </si>
  <si>
    <t>Level 1</t>
  </si>
  <si>
    <t>Level 1.1</t>
  </si>
  <si>
    <t>Level 2</t>
  </si>
  <si>
    <t>Level 3</t>
  </si>
  <si>
    <t>Level 4</t>
  </si>
  <si>
    <t>Level 5</t>
  </si>
  <si>
    <t>Level 6</t>
  </si>
  <si>
    <t>Level 7</t>
  </si>
  <si>
    <t>Level 8</t>
  </si>
  <si>
    <t>Level 9</t>
  </si>
  <si>
    <t>Level 10</t>
  </si>
  <si>
    <t>Level 10.1</t>
  </si>
  <si>
    <t>Roof</t>
  </si>
  <si>
    <t>Mass and Center of Gravity</t>
  </si>
  <si>
    <t>Floor</t>
  </si>
  <si>
    <t>x</t>
  </si>
  <si>
    <t>y</t>
  </si>
  <si>
    <t>m</t>
  </si>
  <si>
    <t>I</t>
  </si>
  <si>
    <t>Vertical Elements</t>
  </si>
  <si>
    <t>Horizontal Elements</t>
  </si>
  <si>
    <t>1</t>
  </si>
  <si>
    <t>2</t>
  </si>
  <si>
    <t>3</t>
  </si>
  <si>
    <t>4</t>
  </si>
  <si>
    <t>MPP</t>
  </si>
  <si>
    <t>Base Connection</t>
  </si>
  <si>
    <t>Pin</t>
  </si>
  <si>
    <t>None</t>
  </si>
  <si>
    <t>BeamA12</t>
  </si>
  <si>
    <t>BeamA34</t>
  </si>
  <si>
    <t>BeamA23</t>
  </si>
  <si>
    <t>A1</t>
  </si>
  <si>
    <t>A2</t>
  </si>
  <si>
    <t>A3</t>
  </si>
  <si>
    <t>A4</t>
  </si>
  <si>
    <t>B1</t>
  </si>
  <si>
    <t>B2</t>
  </si>
  <si>
    <t>B3</t>
  </si>
  <si>
    <t>B4</t>
  </si>
  <si>
    <t>BeamB12</t>
  </si>
  <si>
    <t>BeamB23</t>
  </si>
  <si>
    <t>BeamB34</t>
  </si>
  <si>
    <t>BeamC23</t>
  </si>
  <si>
    <t>BeamD12</t>
  </si>
  <si>
    <t>BeamD23</t>
  </si>
  <si>
    <t>BeamD34</t>
  </si>
  <si>
    <t>Cb</t>
  </si>
  <si>
    <t>Ab</t>
  </si>
  <si>
    <t>BeamAAb2</t>
  </si>
  <si>
    <t>BeamAbB2</t>
  </si>
  <si>
    <t>BeamAAb3</t>
  </si>
  <si>
    <t>BeamAbB3</t>
  </si>
  <si>
    <t>BeamCCb2</t>
  </si>
  <si>
    <t>BeamCbD2</t>
  </si>
  <si>
    <t>BeamCCb3</t>
  </si>
  <si>
    <t>BeamCbD3</t>
  </si>
  <si>
    <t>Ab2</t>
  </si>
  <si>
    <t>Ab3</t>
  </si>
  <si>
    <t>Cb2</t>
  </si>
  <si>
    <t>Cb3</t>
  </si>
  <si>
    <t>D1</t>
  </si>
  <si>
    <t>D2</t>
  </si>
  <si>
    <t>D3</t>
  </si>
  <si>
    <t>D4</t>
  </si>
  <si>
    <t>C2</t>
  </si>
  <si>
    <t>C3</t>
  </si>
  <si>
    <t>ColA1</t>
  </si>
  <si>
    <t>ColA2</t>
  </si>
  <si>
    <t>ColA3</t>
  </si>
  <si>
    <t>ColA4</t>
  </si>
  <si>
    <t>ColB1</t>
  </si>
  <si>
    <t>ColB2</t>
  </si>
  <si>
    <t>ColB3</t>
  </si>
  <si>
    <t>ColB4</t>
  </si>
  <si>
    <t>ColC2</t>
  </si>
  <si>
    <t>ColC3</t>
  </si>
  <si>
    <t>ColD1</t>
  </si>
  <si>
    <t>ColD2</t>
  </si>
  <si>
    <t>ColD3</t>
  </si>
  <si>
    <t>ColD4</t>
  </si>
  <si>
    <t>WallN</t>
  </si>
  <si>
    <t>WallS</t>
  </si>
  <si>
    <t>WallW</t>
  </si>
  <si>
    <t>WallE</t>
  </si>
  <si>
    <t>CLT</t>
  </si>
  <si>
    <t>ACLT</t>
  </si>
  <si>
    <t>CCLT</t>
  </si>
  <si>
    <t>MPP1</t>
  </si>
  <si>
    <t>MPP4</t>
  </si>
  <si>
    <t>CLT9</t>
  </si>
  <si>
    <t>MPP9</t>
  </si>
  <si>
    <t>LVL Col Deep</t>
  </si>
  <si>
    <t>LVL Col Square</t>
  </si>
  <si>
    <t>LVL Beam</t>
  </si>
  <si>
    <t>JointOffset</t>
  </si>
  <si>
    <t>Std Beam</t>
  </si>
  <si>
    <t>Short Name</t>
  </si>
  <si>
    <t>F2</t>
  </si>
  <si>
    <t>F3</t>
  </si>
  <si>
    <t>Nodes on Each Floor</t>
  </si>
  <si>
    <t>Rigid Diaphragm</t>
  </si>
  <si>
    <t>dXi</t>
  </si>
  <si>
    <t>dYi</t>
  </si>
  <si>
    <t>dZi</t>
  </si>
  <si>
    <t>dXj</t>
  </si>
  <si>
    <t>dYj</t>
  </si>
  <si>
    <t>dZj</t>
  </si>
  <si>
    <t>F1</t>
  </si>
  <si>
    <t>Fixity</t>
  </si>
  <si>
    <t>Diaphragm</t>
  </si>
  <si>
    <t>Free</t>
  </si>
  <si>
    <t>F4</t>
  </si>
  <si>
    <t>F5</t>
  </si>
  <si>
    <t>F6</t>
  </si>
  <si>
    <t>F7</t>
  </si>
  <si>
    <t>F8</t>
  </si>
  <si>
    <t>F9</t>
  </si>
  <si>
    <t>F10</t>
  </si>
  <si>
    <t>F11</t>
  </si>
  <si>
    <t>Group Tags</t>
  </si>
  <si>
    <t>main; column</t>
  </si>
  <si>
    <t>main; wall</t>
  </si>
  <si>
    <t>Description</t>
  </si>
  <si>
    <t>Centerline of CLT walls.</t>
  </si>
  <si>
    <t>Centerline of MPP walls.</t>
  </si>
  <si>
    <t>Top of walls.</t>
  </si>
  <si>
    <t>ConstrainedNode</t>
  </si>
  <si>
    <t>RetainedNode</t>
  </si>
  <si>
    <t>F1A1</t>
  </si>
  <si>
    <t>F1A2</t>
  </si>
  <si>
    <t>F1A3</t>
  </si>
  <si>
    <t>F1A4</t>
  </si>
  <si>
    <t>F1ACLT</t>
  </si>
  <si>
    <t>F1MPP1</t>
  </si>
  <si>
    <t>F1MPP4</t>
  </si>
  <si>
    <t>F1B1</t>
  </si>
  <si>
    <t>F1B2</t>
  </si>
  <si>
    <t>F1B3</t>
  </si>
  <si>
    <t>F1B4</t>
  </si>
  <si>
    <t>F1C2</t>
  </si>
  <si>
    <t>F1C3</t>
  </si>
  <si>
    <t>F1CCLT</t>
  </si>
  <si>
    <t>F1D1</t>
  </si>
  <si>
    <t>F1D2</t>
  </si>
  <si>
    <t>F1D3</t>
  </si>
  <si>
    <t>F1D4</t>
  </si>
  <si>
    <t>F2_center</t>
  </si>
  <si>
    <t>F2A1</t>
  </si>
  <si>
    <t>F2A2</t>
  </si>
  <si>
    <t>F2A3</t>
  </si>
  <si>
    <t>F2A4</t>
  </si>
  <si>
    <t>F2ACLT</t>
  </si>
  <si>
    <t>F2Ab2</t>
  </si>
  <si>
    <t>F2Ab3</t>
  </si>
  <si>
    <t>F2MPP1</t>
  </si>
  <si>
    <t>F2MPP4</t>
  </si>
  <si>
    <t>F2B1</t>
  </si>
  <si>
    <t>F2B2</t>
  </si>
  <si>
    <t>F2B3</t>
  </si>
  <si>
    <t>F2B4</t>
  </si>
  <si>
    <t>F2C2</t>
  </si>
  <si>
    <t>F2C3</t>
  </si>
  <si>
    <t>F2CCLT</t>
  </si>
  <si>
    <t>F2Cb2</t>
  </si>
  <si>
    <t>F2Cb3</t>
  </si>
  <si>
    <t>F2D1</t>
  </si>
  <si>
    <t>F2D2</t>
  </si>
  <si>
    <t>F2D3</t>
  </si>
  <si>
    <t>F2D4</t>
  </si>
  <si>
    <t>F3_center</t>
  </si>
  <si>
    <t>F3A1</t>
  </si>
  <si>
    <t>F3A2</t>
  </si>
  <si>
    <t>F3A3</t>
  </si>
  <si>
    <t>F3A4</t>
  </si>
  <si>
    <t>F3ACLT</t>
  </si>
  <si>
    <t>F3Ab2</t>
  </si>
  <si>
    <t>F3Ab3</t>
  </si>
  <si>
    <t>F3MPP1</t>
  </si>
  <si>
    <t>F3MPP4</t>
  </si>
  <si>
    <t>F3B1</t>
  </si>
  <si>
    <t>F3B2</t>
  </si>
  <si>
    <t>F3B3</t>
  </si>
  <si>
    <t>F3B4</t>
  </si>
  <si>
    <t>F3C2</t>
  </si>
  <si>
    <t>F3C3</t>
  </si>
  <si>
    <t>F3CCLT</t>
  </si>
  <si>
    <t>F3Cb2</t>
  </si>
  <si>
    <t>F3Cb3</t>
  </si>
  <si>
    <t>F3D1</t>
  </si>
  <si>
    <t>F3D2</t>
  </si>
  <si>
    <t>F3D3</t>
  </si>
  <si>
    <t>F3D4</t>
  </si>
  <si>
    <t>F4_center</t>
  </si>
  <si>
    <t>F4A1</t>
  </si>
  <si>
    <t>F4A2</t>
  </si>
  <si>
    <t>F4A3</t>
  </si>
  <si>
    <t>F4A4</t>
  </si>
  <si>
    <t>F4ACLT</t>
  </si>
  <si>
    <t>F4Ab2</t>
  </si>
  <si>
    <t>F4Ab3</t>
  </si>
  <si>
    <t>F4MPP1</t>
  </si>
  <si>
    <t>F4MPP4</t>
  </si>
  <si>
    <t>F4B1</t>
  </si>
  <si>
    <t>F4B2</t>
  </si>
  <si>
    <t>F4B3</t>
  </si>
  <si>
    <t>F4B4</t>
  </si>
  <si>
    <t>F4C2</t>
  </si>
  <si>
    <t>F4C3</t>
  </si>
  <si>
    <t>F4CCLT</t>
  </si>
  <si>
    <t>F4Cb2</t>
  </si>
  <si>
    <t>F4Cb3</t>
  </si>
  <si>
    <t>F4D1</t>
  </si>
  <si>
    <t>F4D2</t>
  </si>
  <si>
    <t>F4D3</t>
  </si>
  <si>
    <t>F4D4</t>
  </si>
  <si>
    <t>F5_center</t>
  </si>
  <si>
    <t>F5A1</t>
  </si>
  <si>
    <t>F5A2</t>
  </si>
  <si>
    <t>F5A3</t>
  </si>
  <si>
    <t>F5A4</t>
  </si>
  <si>
    <t>F5ACLT</t>
  </si>
  <si>
    <t>F5Ab2</t>
  </si>
  <si>
    <t>F5Ab3</t>
  </si>
  <si>
    <t>F5MPP1</t>
  </si>
  <si>
    <t>F5MPP4</t>
  </si>
  <si>
    <t>F5B1</t>
  </si>
  <si>
    <t>F5B2</t>
  </si>
  <si>
    <t>F5B3</t>
  </si>
  <si>
    <t>F5B4</t>
  </si>
  <si>
    <t>F5C2</t>
  </si>
  <si>
    <t>F5C3</t>
  </si>
  <si>
    <t>F5CCLT</t>
  </si>
  <si>
    <t>F5Cb2</t>
  </si>
  <si>
    <t>F5Cb3</t>
  </si>
  <si>
    <t>F5D1</t>
  </si>
  <si>
    <t>F5D2</t>
  </si>
  <si>
    <t>F5D3</t>
  </si>
  <si>
    <t>F5D4</t>
  </si>
  <si>
    <t>F6_center</t>
  </si>
  <si>
    <t>F6A1</t>
  </si>
  <si>
    <t>F6A2</t>
  </si>
  <si>
    <t>F6A3</t>
  </si>
  <si>
    <t>F6A4</t>
  </si>
  <si>
    <t>F6ACLT</t>
  </si>
  <si>
    <t>F6Ab2</t>
  </si>
  <si>
    <t>F6Ab3</t>
  </si>
  <si>
    <t>F6MPP1</t>
  </si>
  <si>
    <t>F6MPP4</t>
  </si>
  <si>
    <t>F6B1</t>
  </si>
  <si>
    <t>F6B2</t>
  </si>
  <si>
    <t>F6B3</t>
  </si>
  <si>
    <t>F6B4</t>
  </si>
  <si>
    <t>F6C2</t>
  </si>
  <si>
    <t>F6C3</t>
  </si>
  <si>
    <t>F6CCLT</t>
  </si>
  <si>
    <t>F6Cb2</t>
  </si>
  <si>
    <t>F6Cb3</t>
  </si>
  <si>
    <t>F6D1</t>
  </si>
  <si>
    <t>F6D2</t>
  </si>
  <si>
    <t>F6D3</t>
  </si>
  <si>
    <t>F6D4</t>
  </si>
  <si>
    <t>F7_center</t>
  </si>
  <si>
    <t>F7A1</t>
  </si>
  <si>
    <t>F7A2</t>
  </si>
  <si>
    <t>F7A3</t>
  </si>
  <si>
    <t>F7A4</t>
  </si>
  <si>
    <t>F7ACLT</t>
  </si>
  <si>
    <t>F7Ab2</t>
  </si>
  <si>
    <t>F7Ab3</t>
  </si>
  <si>
    <t>F7MPP1</t>
  </si>
  <si>
    <t>F7MPP4</t>
  </si>
  <si>
    <t>F7B1</t>
  </si>
  <si>
    <t>F7B2</t>
  </si>
  <si>
    <t>F7B3</t>
  </si>
  <si>
    <t>F7B4</t>
  </si>
  <si>
    <t>F7C2</t>
  </si>
  <si>
    <t>F7C3</t>
  </si>
  <si>
    <t>F7CCLT</t>
  </si>
  <si>
    <t>F7Cb2</t>
  </si>
  <si>
    <t>F7Cb3</t>
  </si>
  <si>
    <t>F7D1</t>
  </si>
  <si>
    <t>F7D2</t>
  </si>
  <si>
    <t>F7D3</t>
  </si>
  <si>
    <t>F7D4</t>
  </si>
  <si>
    <t>F8_center</t>
  </si>
  <si>
    <t>F8A1</t>
  </si>
  <si>
    <t>F8A2</t>
  </si>
  <si>
    <t>F8A3</t>
  </si>
  <si>
    <t>F8A4</t>
  </si>
  <si>
    <t>F8ACLT</t>
  </si>
  <si>
    <t>F8Ab2</t>
  </si>
  <si>
    <t>F8Ab3</t>
  </si>
  <si>
    <t>F8MPP1</t>
  </si>
  <si>
    <t>F8MPP4</t>
  </si>
  <si>
    <t>F8B1</t>
  </si>
  <si>
    <t>F8B2</t>
  </si>
  <si>
    <t>F8B3</t>
  </si>
  <si>
    <t>F8B4</t>
  </si>
  <si>
    <t>F8C2</t>
  </si>
  <si>
    <t>F8C3</t>
  </si>
  <si>
    <t>F8CCLT</t>
  </si>
  <si>
    <t>F8Cb2</t>
  </si>
  <si>
    <t>F8Cb3</t>
  </si>
  <si>
    <t>F8D1</t>
  </si>
  <si>
    <t>F8D2</t>
  </si>
  <si>
    <t>F8D3</t>
  </si>
  <si>
    <t>F8D4</t>
  </si>
  <si>
    <t>F9_center</t>
  </si>
  <si>
    <t>F9A1</t>
  </si>
  <si>
    <t>F9A2</t>
  </si>
  <si>
    <t>F9A3</t>
  </si>
  <si>
    <t>F9A4</t>
  </si>
  <si>
    <t>F9ACLT</t>
  </si>
  <si>
    <t>F9Ab2</t>
  </si>
  <si>
    <t>F9Ab3</t>
  </si>
  <si>
    <t>F9MPP1</t>
  </si>
  <si>
    <t>F9MPP4</t>
  </si>
  <si>
    <t>F9B1</t>
  </si>
  <si>
    <t>F9B2</t>
  </si>
  <si>
    <t>F9B3</t>
  </si>
  <si>
    <t>F9B4</t>
  </si>
  <si>
    <t>F9C2</t>
  </si>
  <si>
    <t>F9C3</t>
  </si>
  <si>
    <t>F9CCLT</t>
  </si>
  <si>
    <t>F9Cb2</t>
  </si>
  <si>
    <t>F9Cb3</t>
  </si>
  <si>
    <t>F9D1</t>
  </si>
  <si>
    <t>F9D2</t>
  </si>
  <si>
    <t>F9D3</t>
  </si>
  <si>
    <t>F9D4</t>
  </si>
  <si>
    <t>F10_center</t>
  </si>
  <si>
    <t>F10A1</t>
  </si>
  <si>
    <t>F10A2</t>
  </si>
  <si>
    <t>F10A3</t>
  </si>
  <si>
    <t>F10A4</t>
  </si>
  <si>
    <t>F10ACLT</t>
  </si>
  <si>
    <t>F10Ab2</t>
  </si>
  <si>
    <t>F10Ab3</t>
  </si>
  <si>
    <t>F10MPP1</t>
  </si>
  <si>
    <t>F10MPP4</t>
  </si>
  <si>
    <t>F10B1</t>
  </si>
  <si>
    <t>F10B2</t>
  </si>
  <si>
    <t>F10B3</t>
  </si>
  <si>
    <t>F10B4</t>
  </si>
  <si>
    <t>F10C2</t>
  </si>
  <si>
    <t>F10C3</t>
  </si>
  <si>
    <t>F10CCLT</t>
  </si>
  <si>
    <t>F10Cb2</t>
  </si>
  <si>
    <t>F10Cb3</t>
  </si>
  <si>
    <t>F10D1</t>
  </si>
  <si>
    <t>F10D2</t>
  </si>
  <si>
    <t>F10D3</t>
  </si>
  <si>
    <t>F10D4</t>
  </si>
  <si>
    <t>F11_center</t>
  </si>
  <si>
    <t>F11A1</t>
  </si>
  <si>
    <t>F11A2</t>
  </si>
  <si>
    <t>F11A3</t>
  </si>
  <si>
    <t>F11A4</t>
  </si>
  <si>
    <t>F11ACLT</t>
  </si>
  <si>
    <t>F11Ab2</t>
  </si>
  <si>
    <t>F11Ab3</t>
  </si>
  <si>
    <t>F11MPP1</t>
  </si>
  <si>
    <t>F11MPP4</t>
  </si>
  <si>
    <t>F11B1</t>
  </si>
  <si>
    <t>F11B2</t>
  </si>
  <si>
    <t>F11B3</t>
  </si>
  <si>
    <t>F11B4</t>
  </si>
  <si>
    <t>F11C2</t>
  </si>
  <si>
    <t>F11C3</t>
  </si>
  <si>
    <t>F11CCLT</t>
  </si>
  <si>
    <t>F11Cb2</t>
  </si>
  <si>
    <t>F11Cb3</t>
  </si>
  <si>
    <t>F11D1</t>
  </si>
  <si>
    <t>F11D2</t>
  </si>
  <si>
    <t>F11D3</t>
  </si>
  <si>
    <t>F11D4</t>
  </si>
  <si>
    <t>F2BeamA12</t>
  </si>
  <si>
    <t>F2BeamA34</t>
  </si>
  <si>
    <t>F2BeamA23</t>
  </si>
  <si>
    <t>F2BeamB12</t>
  </si>
  <si>
    <t>F2BeamB23</t>
  </si>
  <si>
    <t>F2BeamB34</t>
  </si>
  <si>
    <t>F2BeamC23</t>
  </si>
  <si>
    <t>F2BeamD12</t>
  </si>
  <si>
    <t>F2BeamD23</t>
  </si>
  <si>
    <t>F2BeamD34</t>
  </si>
  <si>
    <t>F2BeamAAb2</t>
  </si>
  <si>
    <t>F2BeamAbB2</t>
  </si>
  <si>
    <t>F2BeamAAb3</t>
  </si>
  <si>
    <t>F2BeamAbB3</t>
  </si>
  <si>
    <t>F2BeamCCb2</t>
  </si>
  <si>
    <t>F2BeamCbD2</t>
  </si>
  <si>
    <t>F2BeamCCb3</t>
  </si>
  <si>
    <t>F2BeamCbD3</t>
  </si>
  <si>
    <t>F3BeamA12</t>
  </si>
  <si>
    <t>F3BeamA34</t>
  </si>
  <si>
    <t>F3BeamA23</t>
  </si>
  <si>
    <t>F3BeamB12</t>
  </si>
  <si>
    <t>F3BeamB23</t>
  </si>
  <si>
    <t>F3BeamB34</t>
  </si>
  <si>
    <t>F3BeamC23</t>
  </si>
  <si>
    <t>F3BeamD12</t>
  </si>
  <si>
    <t>F3BeamD23</t>
  </si>
  <si>
    <t>F3BeamD34</t>
  </si>
  <si>
    <t>F3BeamAAb2</t>
  </si>
  <si>
    <t>F3BeamAbB2</t>
  </si>
  <si>
    <t>F3BeamAAb3</t>
  </si>
  <si>
    <t>F3BeamAbB3</t>
  </si>
  <si>
    <t>F3BeamCCb2</t>
  </si>
  <si>
    <t>F3BeamCbD2</t>
  </si>
  <si>
    <t>F3BeamCCb3</t>
  </si>
  <si>
    <t>F3BeamCbD3</t>
  </si>
  <si>
    <t>F4BeamA12</t>
  </si>
  <si>
    <t>F4BeamA34</t>
  </si>
  <si>
    <t>F4BeamA23</t>
  </si>
  <si>
    <t>F4BeamB12</t>
  </si>
  <si>
    <t>F4BeamB23</t>
  </si>
  <si>
    <t>F4BeamC23</t>
  </si>
  <si>
    <t>F4BeamD12</t>
  </si>
  <si>
    <t>F4BeamD23</t>
  </si>
  <si>
    <t>F4BeamD34</t>
  </si>
  <si>
    <t>F4BeamAAb2</t>
  </si>
  <si>
    <t>F4BeamAbB2</t>
  </si>
  <si>
    <t>F4BeamAAb3</t>
  </si>
  <si>
    <t>F4BeamAbB3</t>
  </si>
  <si>
    <t>F4BeamCCb2</t>
  </si>
  <si>
    <t>F4BeamCbD2</t>
  </si>
  <si>
    <t>F4BeamCCb3</t>
  </si>
  <si>
    <t>F4BeamCbD3</t>
  </si>
  <si>
    <t>F5BeamA12</t>
  </si>
  <si>
    <t>F5BeamA34</t>
  </si>
  <si>
    <t>F5BeamA23</t>
  </si>
  <si>
    <t>F5BeamB12</t>
  </si>
  <si>
    <t>F5BeamB23</t>
  </si>
  <si>
    <t>F5BeamB34</t>
  </si>
  <si>
    <t>F5BeamC23</t>
  </si>
  <si>
    <t>F5BeamD12</t>
  </si>
  <si>
    <t>F5BeamD23</t>
  </si>
  <si>
    <t>F5BeamD34</t>
  </si>
  <si>
    <t>F5BeamAAb2</t>
  </si>
  <si>
    <t>F5BeamAbB2</t>
  </si>
  <si>
    <t>F5BeamAAb3</t>
  </si>
  <si>
    <t>F5BeamAbB3</t>
  </si>
  <si>
    <t>F5BeamCCb2</t>
  </si>
  <si>
    <t>F5BeamCbD2</t>
  </si>
  <si>
    <t>F5BeamCCb3</t>
  </si>
  <si>
    <t>F5BeamCbD3</t>
  </si>
  <si>
    <t>F6BeamA12</t>
  </si>
  <si>
    <t>F6BeamA34</t>
  </si>
  <si>
    <t>F6BeamA23</t>
  </si>
  <si>
    <t>F6BeamB12</t>
  </si>
  <si>
    <t>F6BeamB23</t>
  </si>
  <si>
    <t>F6BeamB34</t>
  </si>
  <si>
    <t>F6BeamC23</t>
  </si>
  <si>
    <t>F6BeamD12</t>
  </si>
  <si>
    <t>F6BeamD23</t>
  </si>
  <si>
    <t>F6BeamD34</t>
  </si>
  <si>
    <t>F6BeamAAb2</t>
  </si>
  <si>
    <t>F6BeamAbB2</t>
  </si>
  <si>
    <t>F6BeamAAb3</t>
  </si>
  <si>
    <t>F6BeamAbB3</t>
  </si>
  <si>
    <t>F6BeamCCb2</t>
  </si>
  <si>
    <t>F6BeamCbD2</t>
  </si>
  <si>
    <t>F6BeamCCb3</t>
  </si>
  <si>
    <t>F6BeamCbD3</t>
  </si>
  <si>
    <t>F7BeamA12</t>
  </si>
  <si>
    <t>F7BeamA34</t>
  </si>
  <si>
    <t>F7BeamA23</t>
  </si>
  <si>
    <t>F7BeamB12</t>
  </si>
  <si>
    <t>F7BeamB23</t>
  </si>
  <si>
    <t>F7BeamB34</t>
  </si>
  <si>
    <t>F7BeamC23</t>
  </si>
  <si>
    <t>F7BeamD12</t>
  </si>
  <si>
    <t>F7BeamD23</t>
  </si>
  <si>
    <t>F7BeamD34</t>
  </si>
  <si>
    <t>F7BeamAAb2</t>
  </si>
  <si>
    <t>F7BeamAbB2</t>
  </si>
  <si>
    <t>F7BeamAAb3</t>
  </si>
  <si>
    <t>F7BeamAbB3</t>
  </si>
  <si>
    <t>F7BeamCCb2</t>
  </si>
  <si>
    <t>F7BeamCbD2</t>
  </si>
  <si>
    <t>F7BeamCCb3</t>
  </si>
  <si>
    <t>F7BeamCbD3</t>
  </si>
  <si>
    <t>F8BeamA12</t>
  </si>
  <si>
    <t>F8BeamA34</t>
  </si>
  <si>
    <t>F8BeamA23</t>
  </si>
  <si>
    <t>F8BeamB12</t>
  </si>
  <si>
    <t>F8BeamB23</t>
  </si>
  <si>
    <t>F8BeamB34</t>
  </si>
  <si>
    <t>F8BeamC23</t>
  </si>
  <si>
    <t>F8BeamD12</t>
  </si>
  <si>
    <t>F8BeamD23</t>
  </si>
  <si>
    <t>F8BeamD34</t>
  </si>
  <si>
    <t>F8BeamAAb2</t>
  </si>
  <si>
    <t>F8BeamAbB2</t>
  </si>
  <si>
    <t>F8BeamAAb3</t>
  </si>
  <si>
    <t>F8BeamAbB3</t>
  </si>
  <si>
    <t>F8BeamCCb2</t>
  </si>
  <si>
    <t>F8BeamCbD2</t>
  </si>
  <si>
    <t>F8BeamCCb3</t>
  </si>
  <si>
    <t>F8BeamCbD3</t>
  </si>
  <si>
    <t>F9BeamA12</t>
  </si>
  <si>
    <t>F9BeamA34</t>
  </si>
  <si>
    <t>F9BeamA23</t>
  </si>
  <si>
    <t>F9BeamB12</t>
  </si>
  <si>
    <t>F9BeamB23</t>
  </si>
  <si>
    <t>F9BeamB34</t>
  </si>
  <si>
    <t>F9BeamC23</t>
  </si>
  <si>
    <t>F9BeamD12</t>
  </si>
  <si>
    <t>F9BeamD23</t>
  </si>
  <si>
    <t>F9BeamD34</t>
  </si>
  <si>
    <t>F9BeamAAb2</t>
  </si>
  <si>
    <t>F9BeamAbB2</t>
  </si>
  <si>
    <t>F9BeamAAb3</t>
  </si>
  <si>
    <t>F9BeamAbB3</t>
  </si>
  <si>
    <t>F9BeamCCb2</t>
  </si>
  <si>
    <t>F9BeamCbD2</t>
  </si>
  <si>
    <t>F9BeamCCb3</t>
  </si>
  <si>
    <t>F9BeamCbD3</t>
  </si>
  <si>
    <t>F10BeamA12</t>
  </si>
  <si>
    <t>F10BeamA34</t>
  </si>
  <si>
    <t>F10BeamA23</t>
  </si>
  <si>
    <t>F10BeamB12</t>
  </si>
  <si>
    <t>F10BeamB23</t>
  </si>
  <si>
    <t>F10BeamB34</t>
  </si>
  <si>
    <t>F10BeamC23</t>
  </si>
  <si>
    <t>F10BeamD12</t>
  </si>
  <si>
    <t>F10BeamD23</t>
  </si>
  <si>
    <t>F10BeamD34</t>
  </si>
  <si>
    <t>F10BeamAAb2</t>
  </si>
  <si>
    <t>F10BeamAbB2</t>
  </si>
  <si>
    <t>F10BeamAAb3</t>
  </si>
  <si>
    <t>F10BeamAbB3</t>
  </si>
  <si>
    <t>F10BeamCCb2</t>
  </si>
  <si>
    <t>F10BeamCbD2</t>
  </si>
  <si>
    <t>F10BeamCCb3</t>
  </si>
  <si>
    <t>F10BeamCbD3</t>
  </si>
  <si>
    <t>F11BeamA12</t>
  </si>
  <si>
    <t>F11BeamA34</t>
  </si>
  <si>
    <t>F11BeamA23</t>
  </si>
  <si>
    <t>F11BeamB12</t>
  </si>
  <si>
    <t>F11BeamB23</t>
  </si>
  <si>
    <t>F11BeamB34</t>
  </si>
  <si>
    <t>F11BeamC23</t>
  </si>
  <si>
    <t>F11BeamD12</t>
  </si>
  <si>
    <t>F11BeamD23</t>
  </si>
  <si>
    <t>F11BeamD34</t>
  </si>
  <si>
    <t>F11BeamAAb2</t>
  </si>
  <si>
    <t>F11BeamAbB2</t>
  </si>
  <si>
    <t>F11BeamAAb3</t>
  </si>
  <si>
    <t>F11BeamAbB3</t>
  </si>
  <si>
    <t>F11BeamCCb2</t>
  </si>
  <si>
    <t>F11BeamCbD2</t>
  </si>
  <si>
    <t>F11BeamCCb3</t>
  </si>
  <si>
    <t>F11BeamCbD3</t>
  </si>
  <si>
    <t>F2ColA2</t>
  </si>
  <si>
    <t>F2ColA3</t>
  </si>
  <si>
    <t>F2ColA4</t>
  </si>
  <si>
    <t>F2ColB1</t>
  </si>
  <si>
    <t>F2ColB2</t>
  </si>
  <si>
    <t>F2ColB3</t>
  </si>
  <si>
    <t>F2ColB4</t>
  </si>
  <si>
    <t>F2ColC2</t>
  </si>
  <si>
    <t>F2ColC3</t>
  </si>
  <si>
    <t>F2ColD1</t>
  </si>
  <si>
    <t>F2ColD2</t>
  </si>
  <si>
    <t>F2ColD3</t>
  </si>
  <si>
    <t>F2ColD4</t>
  </si>
  <si>
    <t>F2WallN</t>
  </si>
  <si>
    <t>F2WallS</t>
  </si>
  <si>
    <t>F2WallW</t>
  </si>
  <si>
    <t>F2WallE</t>
  </si>
  <si>
    <t>F3ColA1</t>
  </si>
  <si>
    <t>F3ColA2</t>
  </si>
  <si>
    <t>F3ColA3</t>
  </si>
  <si>
    <t>F3ColA4</t>
  </si>
  <si>
    <t>F3ColB1</t>
  </si>
  <si>
    <t>F3ColB2</t>
  </si>
  <si>
    <t>F3ColB3</t>
  </si>
  <si>
    <t>F3ColB4</t>
  </si>
  <si>
    <t>F3ColC2</t>
  </si>
  <si>
    <t>F3ColC3</t>
  </si>
  <si>
    <t>F3ColD1</t>
  </si>
  <si>
    <t>F3ColD2</t>
  </si>
  <si>
    <t>F3ColD3</t>
  </si>
  <si>
    <t>F3ColD4</t>
  </si>
  <si>
    <t>F3WallN</t>
  </si>
  <si>
    <t>F3WallS</t>
  </si>
  <si>
    <t>F3WallW</t>
  </si>
  <si>
    <t>F3WallE</t>
  </si>
  <si>
    <t>F4ColA1</t>
  </si>
  <si>
    <t>F4ColA2</t>
  </si>
  <si>
    <t>F4ColA3</t>
  </si>
  <si>
    <t>F4ColA4</t>
  </si>
  <si>
    <t>F4ColB1</t>
  </si>
  <si>
    <t>F4ColB2</t>
  </si>
  <si>
    <t>F4ColB3</t>
  </si>
  <si>
    <t>F4ColB4</t>
  </si>
  <si>
    <t>F4ColC2</t>
  </si>
  <si>
    <t>F4ColC3</t>
  </si>
  <si>
    <t>F4ColD1</t>
  </si>
  <si>
    <t>F4ColD2</t>
  </si>
  <si>
    <t>F4ColD3</t>
  </si>
  <si>
    <t>F4ColD4</t>
  </si>
  <si>
    <t>F4WallN</t>
  </si>
  <si>
    <t>F4WallS</t>
  </si>
  <si>
    <t>F4WallW</t>
  </si>
  <si>
    <t>F4WallE</t>
  </si>
  <si>
    <t>F5ColA1</t>
  </si>
  <si>
    <t>F5ColA2</t>
  </si>
  <si>
    <t>F5ColA3</t>
  </si>
  <si>
    <t>F5ColA4</t>
  </si>
  <si>
    <t>F5ColB1</t>
  </si>
  <si>
    <t>F5ColB2</t>
  </si>
  <si>
    <t>F5ColB3</t>
  </si>
  <si>
    <t>F5ColB4</t>
  </si>
  <si>
    <t>F5ColC2</t>
  </si>
  <si>
    <t>F5ColC3</t>
  </si>
  <si>
    <t>F5ColD1</t>
  </si>
  <si>
    <t>F5ColD2</t>
  </si>
  <si>
    <t>F5ColD3</t>
  </si>
  <si>
    <t>F5ColD4</t>
  </si>
  <si>
    <t>F5WallN</t>
  </si>
  <si>
    <t>F5WallS</t>
  </si>
  <si>
    <t>F5WallW</t>
  </si>
  <si>
    <t>F5WallE</t>
  </si>
  <si>
    <t>F6ColA1</t>
  </si>
  <si>
    <t>F6ColA2</t>
  </si>
  <si>
    <t>F6ColA3</t>
  </si>
  <si>
    <t>F6ColA4</t>
  </si>
  <si>
    <t>F6ColB1</t>
  </si>
  <si>
    <t>F6ColB2</t>
  </si>
  <si>
    <t>F6ColB3</t>
  </si>
  <si>
    <t>F6ColB4</t>
  </si>
  <si>
    <t>F6ColC2</t>
  </si>
  <si>
    <t>F6ColC3</t>
  </si>
  <si>
    <t>F6ColD1</t>
  </si>
  <si>
    <t>F6ColD2</t>
  </si>
  <si>
    <t>F6ColD3</t>
  </si>
  <si>
    <t>F6ColD4</t>
  </si>
  <si>
    <t>F6WallN</t>
  </si>
  <si>
    <t>F6WallS</t>
  </si>
  <si>
    <t>F6WallW</t>
  </si>
  <si>
    <t>F6WallE</t>
  </si>
  <si>
    <t>F7ColA1</t>
  </si>
  <si>
    <t>F7ColA2</t>
  </si>
  <si>
    <t>F7ColA3</t>
  </si>
  <si>
    <t>F7ColA4</t>
  </si>
  <si>
    <t>F7ColB1</t>
  </si>
  <si>
    <t>F7ColB2</t>
  </si>
  <si>
    <t>F7ColB3</t>
  </si>
  <si>
    <t>F7ColB4</t>
  </si>
  <si>
    <t>F7ColC2</t>
  </si>
  <si>
    <t>F7ColC3</t>
  </si>
  <si>
    <t>F7ColD1</t>
  </si>
  <si>
    <t>F7ColD2</t>
  </si>
  <si>
    <t>F7ColD3</t>
  </si>
  <si>
    <t>F7ColD4</t>
  </si>
  <si>
    <t>F7WallN</t>
  </si>
  <si>
    <t>F7WallS</t>
  </si>
  <si>
    <t>F7WallW</t>
  </si>
  <si>
    <t>F7WallE</t>
  </si>
  <si>
    <t>F8ColA1</t>
  </si>
  <si>
    <t>F8ColA2</t>
  </si>
  <si>
    <t>F8ColA3</t>
  </si>
  <si>
    <t>F8ColA4</t>
  </si>
  <si>
    <t>F8ColB1</t>
  </si>
  <si>
    <t>F8ColB2</t>
  </si>
  <si>
    <t>F8ColB3</t>
  </si>
  <si>
    <t>F8ColB4</t>
  </si>
  <si>
    <t>F8ColC2</t>
  </si>
  <si>
    <t>F8ColC3</t>
  </si>
  <si>
    <t>F8ColD1</t>
  </si>
  <si>
    <t>F8ColD2</t>
  </si>
  <si>
    <t>F8ColD3</t>
  </si>
  <si>
    <t>F8ColD4</t>
  </si>
  <si>
    <t>F8WallN</t>
  </si>
  <si>
    <t>F8WallS</t>
  </si>
  <si>
    <t>F8WallW</t>
  </si>
  <si>
    <t>F8WallE</t>
  </si>
  <si>
    <t>F9ColA1</t>
  </si>
  <si>
    <t>F9ColA2</t>
  </si>
  <si>
    <t>F9ColA3</t>
  </si>
  <si>
    <t>F9ColA4</t>
  </si>
  <si>
    <t>F9ColB1</t>
  </si>
  <si>
    <t>F9ColB2</t>
  </si>
  <si>
    <t>F9ColB3</t>
  </si>
  <si>
    <t>F9ColB4</t>
  </si>
  <si>
    <t>F9ColC2</t>
  </si>
  <si>
    <t>F9ColC3</t>
  </si>
  <si>
    <t>F9ColD1</t>
  </si>
  <si>
    <t>F9ColD2</t>
  </si>
  <si>
    <t>F9ColD3</t>
  </si>
  <si>
    <t>F9ColD4</t>
  </si>
  <si>
    <t>F9WallN</t>
  </si>
  <si>
    <t>F9WallS</t>
  </si>
  <si>
    <t>F9WallW</t>
  </si>
  <si>
    <t>F9WallE</t>
  </si>
  <si>
    <t>F10ColA1</t>
  </si>
  <si>
    <t>F10ColA2</t>
  </si>
  <si>
    <t>F10ColA3</t>
  </si>
  <si>
    <t>F10ColA4</t>
  </si>
  <si>
    <t>F10ColB1</t>
  </si>
  <si>
    <t>F10ColB2</t>
  </si>
  <si>
    <t>F10ColB3</t>
  </si>
  <si>
    <t>F10ColB4</t>
  </si>
  <si>
    <t>F10ColC2</t>
  </si>
  <si>
    <t>F10ColC3</t>
  </si>
  <si>
    <t>F10ColD1</t>
  </si>
  <si>
    <t>F10ColD2</t>
  </si>
  <si>
    <t>F10ColD3</t>
  </si>
  <si>
    <t>F10ColD4</t>
  </si>
  <si>
    <t>F10WallN</t>
  </si>
  <si>
    <t>F10WallS</t>
  </si>
  <si>
    <t>F10WallW</t>
  </si>
  <si>
    <t>F10WallE</t>
  </si>
  <si>
    <t>F11ColA1</t>
  </si>
  <si>
    <t>F11ColA2</t>
  </si>
  <si>
    <t>F11ColA3</t>
  </si>
  <si>
    <t>F11ColA4</t>
  </si>
  <si>
    <t>F11ColB1</t>
  </si>
  <si>
    <t>F11ColB2</t>
  </si>
  <si>
    <t>F11ColB3</t>
  </si>
  <si>
    <t>F11ColB4</t>
  </si>
  <si>
    <t>F11ColC2</t>
  </si>
  <si>
    <t>F11ColC3</t>
  </si>
  <si>
    <t>F11ColD1</t>
  </si>
  <si>
    <t>F11ColD2</t>
  </si>
  <si>
    <t>F11ColD3</t>
  </si>
  <si>
    <t>F11ColD4</t>
  </si>
  <si>
    <t>F11WallN</t>
  </si>
  <si>
    <t>F11WallS</t>
  </si>
  <si>
    <t>F11WallW</t>
  </si>
  <si>
    <t>F11WallE</t>
  </si>
  <si>
    <t>gravity</t>
  </si>
  <si>
    <t>N</t>
  </si>
  <si>
    <t>Run</t>
  </si>
  <si>
    <t>gm1</t>
  </si>
  <si>
    <t>floor mass;</t>
  </si>
  <si>
    <t>F2;</t>
  </si>
  <si>
    <t>F3;</t>
  </si>
  <si>
    <t>F4;</t>
  </si>
  <si>
    <t>F5;</t>
  </si>
  <si>
    <t>F6;</t>
  </si>
  <si>
    <t>F7;</t>
  </si>
  <si>
    <t>F8;</t>
  </si>
  <si>
    <t>F9;</t>
  </si>
  <si>
    <t>F10;</t>
  </si>
  <si>
    <t>F11;</t>
  </si>
  <si>
    <t>F1; main; column; base support;</t>
  </si>
  <si>
    <t>F1; main; wall; base support;</t>
  </si>
  <si>
    <t>F2; main; column;</t>
  </si>
  <si>
    <t>F2; main; wall;</t>
  </si>
  <si>
    <t>F3; main; column;</t>
  </si>
  <si>
    <t>F3; main; wall;</t>
  </si>
  <si>
    <t>F4; main; column;</t>
  </si>
  <si>
    <t>F4; main; wall;</t>
  </si>
  <si>
    <t>F5; main; column;</t>
  </si>
  <si>
    <t>F5; main; wall;</t>
  </si>
  <si>
    <t>F6; main; column;</t>
  </si>
  <si>
    <t>F6; main; wall;</t>
  </si>
  <si>
    <t>F7; main; column;</t>
  </si>
  <si>
    <t>F7; main; wall;</t>
  </si>
  <si>
    <t>F8; main; column;</t>
  </si>
  <si>
    <t>F8; main; wall;</t>
  </si>
  <si>
    <t>F9; main; column;</t>
  </si>
  <si>
    <t>F9; main; wall;</t>
  </si>
  <si>
    <t>F10; main; column;</t>
  </si>
  <si>
    <t>F10; main; wall;</t>
  </si>
  <si>
    <t>F11; main; column;</t>
  </si>
  <si>
    <t>F11; main; wall;</t>
  </si>
  <si>
    <t>node</t>
  </si>
  <si>
    <t>Recorder Arg</t>
  </si>
  <si>
    <t>Applies to</t>
  </si>
  <si>
    <t>disp</t>
  </si>
  <si>
    <t>vel</t>
  </si>
  <si>
    <t>accel</t>
  </si>
  <si>
    <t>incrDisp</t>
  </si>
  <si>
    <t>reaction</t>
  </si>
  <si>
    <t>eigen 1</t>
  </si>
  <si>
    <t>eigen 2</t>
  </si>
  <si>
    <t>eigen 3</t>
  </si>
  <si>
    <t>eigen 4</t>
  </si>
  <si>
    <t>eigen 5</t>
  </si>
  <si>
    <t>eigen 6</t>
  </si>
  <si>
    <t>eigen 7</t>
  </si>
  <si>
    <t>eigen 8</t>
  </si>
  <si>
    <t>eigen 9</t>
  </si>
  <si>
    <t>eigen 10</t>
  </si>
  <si>
    <t>eigen 11</t>
  </si>
  <si>
    <t>eigen 12</t>
  </si>
  <si>
    <t>eigen 13</t>
  </si>
  <si>
    <t>eigen 14</t>
  </si>
  <si>
    <t>eigen 15</t>
  </si>
  <si>
    <t>eigen 16</t>
  </si>
  <si>
    <t>eigen 17</t>
  </si>
  <si>
    <t>eigen 18</t>
  </si>
  <si>
    <t>eigen 19</t>
  </si>
  <si>
    <t>eigen 20</t>
  </si>
  <si>
    <t>FileName</t>
  </si>
  <si>
    <t>force</t>
  </si>
  <si>
    <t>localForce</t>
  </si>
  <si>
    <t>deformations</t>
  </si>
  <si>
    <t>chordRotation</t>
  </si>
  <si>
    <t>xaxis</t>
  </si>
  <si>
    <t>yaxis</t>
  </si>
  <si>
    <t>zaxis</t>
  </si>
  <si>
    <t>ele - Timoshenko</t>
  </si>
  <si>
    <t>Node DOF</t>
  </si>
  <si>
    <t>top_disp</t>
  </si>
  <si>
    <t>Case</t>
  </si>
  <si>
    <t>Envelope</t>
  </si>
  <si>
    <t>RespType</t>
  </si>
  <si>
    <t>lateralX</t>
  </si>
  <si>
    <t>lateralY</t>
  </si>
  <si>
    <t>dispX</t>
  </si>
  <si>
    <t>rayleighForces</t>
  </si>
  <si>
    <t>center_disp</t>
  </si>
  <si>
    <t>gm/RSN942_NORTHR_ALH090.txt</t>
  </si>
  <si>
    <t>F4BeamB34</t>
  </si>
  <si>
    <t>oneG</t>
  </si>
  <si>
    <t>UFPs</t>
  </si>
  <si>
    <t>Wall</t>
  </si>
  <si>
    <t>Elev</t>
  </si>
  <si>
    <t>UFP Upper</t>
  </si>
  <si>
    <t>UFP Lower</t>
  </si>
  <si>
    <t>Col1</t>
  </si>
  <si>
    <t>Col2</t>
  </si>
  <si>
    <t>UID</t>
  </si>
  <si>
    <t>F2WallN_UFP</t>
  </si>
  <si>
    <t>UFP;</t>
  </si>
  <si>
    <t>F2ColA2_UFP</t>
  </si>
  <si>
    <t>F2ColA3_UFP</t>
  </si>
  <si>
    <t>F3WallN_UFP</t>
  </si>
  <si>
    <t>F3ColA2_UFP</t>
  </si>
  <si>
    <t>F3ColA3_UFP</t>
  </si>
  <si>
    <t>F4WallN_UFP</t>
  </si>
  <si>
    <t>F4ColA2_UFP</t>
  </si>
  <si>
    <t>F4ColA3_UFP</t>
  </si>
  <si>
    <t>F5WallN_UFP</t>
  </si>
  <si>
    <t>F5ColA2_UFP</t>
  </si>
  <si>
    <t>F5ColA3_UFP</t>
  </si>
  <si>
    <t>F6WallN_UFP</t>
  </si>
  <si>
    <t>F6ColA2_UFP</t>
  </si>
  <si>
    <t>F6ColA3_UFP</t>
  </si>
  <si>
    <t>F7WallN_UFP</t>
  </si>
  <si>
    <t>F7ColA2_UFP</t>
  </si>
  <si>
    <t>F7ColA3_UFP</t>
  </si>
  <si>
    <t>F8WallN_UFP</t>
  </si>
  <si>
    <t>F8ColA2_UFP</t>
  </si>
  <si>
    <t>F8ColA3_UFP</t>
  </si>
  <si>
    <t>F9WallN_UFP</t>
  </si>
  <si>
    <t>F9ColA2_UFP</t>
  </si>
  <si>
    <t>F9ColA3_UFP</t>
  </si>
  <si>
    <t>F10WallN_UFP</t>
  </si>
  <si>
    <t>F10ColA2_UFP</t>
  </si>
  <si>
    <t>F10ColA3_UFP</t>
  </si>
  <si>
    <t>F11WallN_UFP</t>
  </si>
  <si>
    <t>F11ColA2_UFP</t>
  </si>
  <si>
    <t>F11ColA3_UFP</t>
  </si>
  <si>
    <t>F2WallS_UFP</t>
  </si>
  <si>
    <t>F2ColC2_UFP</t>
  </si>
  <si>
    <t>F2ColC3_UFP</t>
  </si>
  <si>
    <t>F3WallS_UFP</t>
  </si>
  <si>
    <t>F3ColC2_UFP</t>
  </si>
  <si>
    <t>F3ColC3_UFP</t>
  </si>
  <si>
    <t>F4WallS_UFP</t>
  </si>
  <si>
    <t>F4ColC2_UFP</t>
  </si>
  <si>
    <t>F4ColC3_UFP</t>
  </si>
  <si>
    <t>F5WallS_UFP</t>
  </si>
  <si>
    <t>F5ColC2_UFP</t>
  </si>
  <si>
    <t>F5ColC3_UFP</t>
  </si>
  <si>
    <t>F6WallS_UFP</t>
  </si>
  <si>
    <t>F6ColC2_UFP</t>
  </si>
  <si>
    <t>F6ColC3_UFP</t>
  </si>
  <si>
    <t>F7WallS_UFP</t>
  </si>
  <si>
    <t>F7ColC2_UFP</t>
  </si>
  <si>
    <t>F7ColC3_UFP</t>
  </si>
  <si>
    <t>F8WallS_UFP</t>
  </si>
  <si>
    <t>F8ColC2_UFP</t>
  </si>
  <si>
    <t>F8ColC3_UFP</t>
  </si>
  <si>
    <t>F9WallS_UFP</t>
  </si>
  <si>
    <t>F9ColC2_UFP</t>
  </si>
  <si>
    <t>F9ColC3_UFP</t>
  </si>
  <si>
    <t>F10WallS_UFP</t>
  </si>
  <si>
    <t>F10ColC2_UFP</t>
  </si>
  <si>
    <t>F10ColC3_UFP</t>
  </si>
  <si>
    <t>F11WallS_UFP</t>
  </si>
  <si>
    <t>F11ColC2_UFP</t>
  </si>
  <si>
    <t>F11ColC3_UFP</t>
  </si>
  <si>
    <t>F2WallW_UFP</t>
  </si>
  <si>
    <t>F2ColA1_UFP</t>
  </si>
  <si>
    <t>F2ColB1_UFP</t>
  </si>
  <si>
    <t>F3WallW_UFP</t>
  </si>
  <si>
    <t>F3ColA1_UFP</t>
  </si>
  <si>
    <t>F3ColB1_UFP</t>
  </si>
  <si>
    <t>F4WallW_UFP</t>
  </si>
  <si>
    <t>F4ColA1_UFP</t>
  </si>
  <si>
    <t>F4ColB1_UFP</t>
  </si>
  <si>
    <t>F5WallW_UFP</t>
  </si>
  <si>
    <t>F5ColA1_UFP</t>
  </si>
  <si>
    <t>F5ColB1_UFP</t>
  </si>
  <si>
    <t>F6WallW_UFP</t>
  </si>
  <si>
    <t>F6ColA1_UFP</t>
  </si>
  <si>
    <t>F6ColB1_UFP</t>
  </si>
  <si>
    <t>F7WallW_UFP</t>
  </si>
  <si>
    <t>F7ColA1_UFP</t>
  </si>
  <si>
    <t>F7ColB1_UFP</t>
  </si>
  <si>
    <t>F8WallW_UFP</t>
  </si>
  <si>
    <t>F8ColA1_UFP</t>
  </si>
  <si>
    <t>F8ColB1_UFP</t>
  </si>
  <si>
    <t>F9WallW_UFP</t>
  </si>
  <si>
    <t>F9ColA1_UFP</t>
  </si>
  <si>
    <t>F9ColB1_UFP</t>
  </si>
  <si>
    <t>F10WallW_UFP</t>
  </si>
  <si>
    <t>F10ColA1_UFP</t>
  </si>
  <si>
    <t>F10ColB1_UFP</t>
  </si>
  <si>
    <t>F11WallW_UFP</t>
  </si>
  <si>
    <t>F11ColA1_UFP</t>
  </si>
  <si>
    <t>F11ColB1_UFP</t>
  </si>
  <si>
    <t>F2WallE_UFP</t>
  </si>
  <si>
    <t>F2ColA4_UFP</t>
  </si>
  <si>
    <t>F2ColB4_UFP</t>
  </si>
  <si>
    <t>F3WallE_UFP</t>
  </si>
  <si>
    <t>F3ColA4_UFP</t>
  </si>
  <si>
    <t>F3ColB4_UFP</t>
  </si>
  <si>
    <t>F4WallE_UFP</t>
  </si>
  <si>
    <t>F4ColA4_UFP</t>
  </si>
  <si>
    <t>F4ColB4_UFP</t>
  </si>
  <si>
    <t>F5WallE_UFP</t>
  </si>
  <si>
    <t>F5ColA4_UFP</t>
  </si>
  <si>
    <t>F5ColB4_UFP</t>
  </si>
  <si>
    <t>F6WallE_UFP</t>
  </si>
  <si>
    <t>F6ColA4_UFP</t>
  </si>
  <si>
    <t>F6ColB4_UFP</t>
  </si>
  <si>
    <t>F7WallE_UFP</t>
  </si>
  <si>
    <t>F7ColA4_UFP</t>
  </si>
  <si>
    <t>F7ColB4_UFP</t>
  </si>
  <si>
    <t>F8WallE_UFP</t>
  </si>
  <si>
    <t>F8ColA4_UFP</t>
  </si>
  <si>
    <t>F8ColB4_UFP</t>
  </si>
  <si>
    <t>F9WallE_UFP</t>
  </si>
  <si>
    <t>F9ColA4_UFP</t>
  </si>
  <si>
    <t>F9ColB4_UFP</t>
  </si>
  <si>
    <t>F10WallE_UFP</t>
  </si>
  <si>
    <t>F10ColA4_UFP</t>
  </si>
  <si>
    <t>F10ColB4_UFP</t>
  </si>
  <si>
    <t>F11WallE_UFP</t>
  </si>
  <si>
    <t>F11ColA4_UFP</t>
  </si>
  <si>
    <t>F11ColB4_UFP</t>
  </si>
  <si>
    <t>Extend above roof?</t>
  </si>
  <si>
    <t>TopWallN</t>
  </si>
  <si>
    <t>TopACLT</t>
  </si>
  <si>
    <t>TopWallS</t>
  </si>
  <si>
    <t>TopCCLT</t>
  </si>
  <si>
    <t>TopWallW</t>
  </si>
  <si>
    <t>TopMPP1</t>
  </si>
  <si>
    <t>TopWallE</t>
  </si>
  <si>
    <t>TopMPP4</t>
  </si>
  <si>
    <t>main; wall;</t>
  </si>
  <si>
    <t>Property</t>
  </si>
  <si>
    <t>UFP_F2_N</t>
  </si>
  <si>
    <t>UFP_F3_N</t>
  </si>
  <si>
    <t>UFP_F4_N</t>
  </si>
  <si>
    <t>UFP_F5_N</t>
  </si>
  <si>
    <t>UFP_F6_N</t>
  </si>
  <si>
    <t>UFP_F7_N</t>
  </si>
  <si>
    <t>UFP_F8_N</t>
  </si>
  <si>
    <t>UFP_F9_N</t>
  </si>
  <si>
    <t>UFP_F10_N</t>
  </si>
  <si>
    <t>UFP_F11_N</t>
  </si>
  <si>
    <t>UFP_F2_S</t>
  </si>
  <si>
    <t>UFP_F3_S</t>
  </si>
  <si>
    <t>UFP_F4_S</t>
  </si>
  <si>
    <t>UFP_F5_S</t>
  </si>
  <si>
    <t>UFP_F6_S</t>
  </si>
  <si>
    <t>UFP_F7_S</t>
  </si>
  <si>
    <t>UFP_F8_S</t>
  </si>
  <si>
    <t>UFP_F9_S</t>
  </si>
  <si>
    <t>UFP_F10_S</t>
  </si>
  <si>
    <t>UFP_F11_S</t>
  </si>
  <si>
    <t>UFP_F2_W</t>
  </si>
  <si>
    <t>UFP_F3_W</t>
  </si>
  <si>
    <t>UFP_F4_W</t>
  </si>
  <si>
    <t>UFP_F5_W</t>
  </si>
  <si>
    <t>UFP_F6_W</t>
  </si>
  <si>
    <t>UFP_F7_W</t>
  </si>
  <si>
    <t>UFP_F8_W</t>
  </si>
  <si>
    <t>UFP_F9_W</t>
  </si>
  <si>
    <t>UFP_F10_W</t>
  </si>
  <si>
    <t>UFP_F11_W</t>
  </si>
  <si>
    <t>UFP_F2_E</t>
  </si>
  <si>
    <t>UFP_F3_E</t>
  </si>
  <si>
    <t>UFP_F4_E</t>
  </si>
  <si>
    <t>UFP_F5_E</t>
  </si>
  <si>
    <t>UFP_F6_E</t>
  </si>
  <si>
    <t>UFP_F7_E</t>
  </si>
  <si>
    <t>UFP_F8_E</t>
  </si>
  <si>
    <t>UFP_F9_E</t>
  </si>
  <si>
    <t>UFP_F10_E</t>
  </si>
  <si>
    <t>UFP_F11_E</t>
  </si>
  <si>
    <t>UFP</t>
  </si>
  <si>
    <t>rigidLink</t>
  </si>
  <si>
    <t>UFP_link;</t>
  </si>
  <si>
    <t>UFP_F2_N_L_1</t>
  </si>
  <si>
    <t>UFP_F2_N_L_2</t>
  </si>
  <si>
    <t>UFP_F2_N_L</t>
  </si>
  <si>
    <t>UFP_F2_N_L_link1</t>
  </si>
  <si>
    <t>UFP_F2_N_L_link2</t>
  </si>
  <si>
    <t>UFP_F2_N_R_1</t>
  </si>
  <si>
    <t>UFP_F2_N_R_2</t>
  </si>
  <si>
    <t>UFP_F2_N_R</t>
  </si>
  <si>
    <t>UFP_F2_N_R_link1</t>
  </si>
  <si>
    <t>UFP_F2_N_R_link2</t>
  </si>
  <si>
    <t>UFP_F3_N_L_1</t>
  </si>
  <si>
    <t>UFP_F3_N_L_2</t>
  </si>
  <si>
    <t>UFP_F3_N_L</t>
  </si>
  <si>
    <t>UFP_F3_N_L_link1</t>
  </si>
  <si>
    <t>UFP_F3_N_L_link2</t>
  </si>
  <si>
    <t>UFP_F3_N_R_1</t>
  </si>
  <si>
    <t>UFP_F3_N_R_2</t>
  </si>
  <si>
    <t>UFP_F3_N_R</t>
  </si>
  <si>
    <t>UFP_F3_N_R_link1</t>
  </si>
  <si>
    <t>UFP_F3_N_R_link2</t>
  </si>
  <si>
    <t>UFP_F4_N_L_1</t>
  </si>
  <si>
    <t>UFP_F4_N_L_2</t>
  </si>
  <si>
    <t>UFP_F4_N_L</t>
  </si>
  <si>
    <t>UFP_F4_N_L_link1</t>
  </si>
  <si>
    <t>UFP_F4_N_L_link2</t>
  </si>
  <si>
    <t>UFP_F4_N_R_1</t>
  </si>
  <si>
    <t>UFP_F4_N_R_2</t>
  </si>
  <si>
    <t>UFP_F4_N_R</t>
  </si>
  <si>
    <t>UFP_F4_N_R_link1</t>
  </si>
  <si>
    <t>UFP_F4_N_R_link2</t>
  </si>
  <si>
    <t>UFP_F5_N_L_1</t>
  </si>
  <si>
    <t>UFP_F5_N_L_2</t>
  </si>
  <si>
    <t>UFP_F5_N_L</t>
  </si>
  <si>
    <t>UFP_F5_N_L_link1</t>
  </si>
  <si>
    <t>UFP_F5_N_L_link2</t>
  </si>
  <si>
    <t>UFP_F5_N_R_1</t>
  </si>
  <si>
    <t>UFP_F5_N_R_2</t>
  </si>
  <si>
    <t>UFP_F5_N_R</t>
  </si>
  <si>
    <t>UFP_F5_N_R_link1</t>
  </si>
  <si>
    <t>UFP_F5_N_R_link2</t>
  </si>
  <si>
    <t>UFP_F6_N_L_1</t>
  </si>
  <si>
    <t>UFP_F6_N_L_2</t>
  </si>
  <si>
    <t>UFP_F6_N_L</t>
  </si>
  <si>
    <t>UFP_F6_N_L_link1</t>
  </si>
  <si>
    <t>UFP_F6_N_L_link2</t>
  </si>
  <si>
    <t>UFP_F6_N_R_1</t>
  </si>
  <si>
    <t>UFP_F6_N_R_2</t>
  </si>
  <si>
    <t>UFP_F6_N_R</t>
  </si>
  <si>
    <t>UFP_F6_N_R_link1</t>
  </si>
  <si>
    <t>UFP_F6_N_R_link2</t>
  </si>
  <si>
    <t>UFP_F7_N_L_1</t>
  </si>
  <si>
    <t>UFP_F7_N_L_2</t>
  </si>
  <si>
    <t>UFP_F7_N_L</t>
  </si>
  <si>
    <t>UFP_F7_N_L_link1</t>
  </si>
  <si>
    <t>UFP_F7_N_L_link2</t>
  </si>
  <si>
    <t>UFP_F7_N_R_1</t>
  </si>
  <si>
    <t>UFP_F7_N_R_2</t>
  </si>
  <si>
    <t>UFP_F7_N_R</t>
  </si>
  <si>
    <t>UFP_F7_N_R_link1</t>
  </si>
  <si>
    <t>UFP_F7_N_R_link2</t>
  </si>
  <si>
    <t>UFP_F8_N_L_1</t>
  </si>
  <si>
    <t>UFP_F8_N_L_2</t>
  </si>
  <si>
    <t>UFP_F8_N_L</t>
  </si>
  <si>
    <t>UFP_F8_N_L_link1</t>
  </si>
  <si>
    <t>UFP_F8_N_L_link2</t>
  </si>
  <si>
    <t>UFP_F8_N_R_1</t>
  </si>
  <si>
    <t>UFP_F8_N_R_2</t>
  </si>
  <si>
    <t>UFP_F8_N_R</t>
  </si>
  <si>
    <t>UFP_F8_N_R_link1</t>
  </si>
  <si>
    <t>UFP_F8_N_R_link2</t>
  </si>
  <si>
    <t>UFP_F9_N_L_1</t>
  </si>
  <si>
    <t>UFP_F9_N_L_2</t>
  </si>
  <si>
    <t>UFP_F9_N_L</t>
  </si>
  <si>
    <t>UFP_F9_N_L_link1</t>
  </si>
  <si>
    <t>UFP_F9_N_L_link2</t>
  </si>
  <si>
    <t>UFP_F9_N_R_1</t>
  </si>
  <si>
    <t>UFP_F9_N_R_2</t>
  </si>
  <si>
    <t>UFP_F9_N_R</t>
  </si>
  <si>
    <t>UFP_F9_N_R_link1</t>
  </si>
  <si>
    <t>UFP_F9_N_R_link2</t>
  </si>
  <si>
    <t>UFP_F10_N_L_1</t>
  </si>
  <si>
    <t>UFP_F10_N_L_2</t>
  </si>
  <si>
    <t>UFP_F10_N_L</t>
  </si>
  <si>
    <t>UFP_F10_N_L_link1</t>
  </si>
  <si>
    <t>UFP_F10_N_L_link2</t>
  </si>
  <si>
    <t>UFP_F10_N_R_1</t>
  </si>
  <si>
    <t>UFP_F10_N_R_2</t>
  </si>
  <si>
    <t>UFP_F10_N_R</t>
  </si>
  <si>
    <t>UFP_F10_N_R_link1</t>
  </si>
  <si>
    <t>UFP_F10_N_R_link2</t>
  </si>
  <si>
    <t>UFP_F11_N_L_1</t>
  </si>
  <si>
    <t>UFP_F11_N_L_2</t>
  </si>
  <si>
    <t>UFP_F11_N_L</t>
  </si>
  <si>
    <t>UFP_F11_N_L_link1</t>
  </si>
  <si>
    <t>UFP_F11_N_L_link2</t>
  </si>
  <si>
    <t>UFP_F11_N_R_1</t>
  </si>
  <si>
    <t>UFP_F11_N_R_2</t>
  </si>
  <si>
    <t>UFP_F11_N_R</t>
  </si>
  <si>
    <t>UFP_F11_N_R_link1</t>
  </si>
  <si>
    <t>UFP_F11_N_R_link2</t>
  </si>
  <si>
    <t>UFP_F2_S_L_1</t>
  </si>
  <si>
    <t>UFP_F2_S_L_2</t>
  </si>
  <si>
    <t>UFP_F2_S_L</t>
  </si>
  <si>
    <t>UFP_F2_S_L_link1</t>
  </si>
  <si>
    <t>UFP_F2_S_L_link2</t>
  </si>
  <si>
    <t>UFP_F2_S_R_1</t>
  </si>
  <si>
    <t>UFP_F2_S_R_2</t>
  </si>
  <si>
    <t>UFP_F2_S_R</t>
  </si>
  <si>
    <t>UFP_F2_S_R_link1</t>
  </si>
  <si>
    <t>UFP_F2_S_R_link2</t>
  </si>
  <si>
    <t>UFP_F3_S_L_1</t>
  </si>
  <si>
    <t>UFP_F3_S_L_2</t>
  </si>
  <si>
    <t>UFP_F3_S_L</t>
  </si>
  <si>
    <t>UFP_F3_S_L_link1</t>
  </si>
  <si>
    <t>UFP_F3_S_L_link2</t>
  </si>
  <si>
    <t>UFP_F3_S_R_1</t>
  </si>
  <si>
    <t>UFP_F3_S_R_2</t>
  </si>
  <si>
    <t>UFP_F3_S_R</t>
  </si>
  <si>
    <t>UFP_F3_S_R_link1</t>
  </si>
  <si>
    <t>UFP_F3_S_R_link2</t>
  </si>
  <si>
    <t>UFP_F4_S_L_1</t>
  </si>
  <si>
    <t>UFP_F4_S_L_2</t>
  </si>
  <si>
    <t>UFP_F4_S_L</t>
  </si>
  <si>
    <t>UFP_F4_S_L_link1</t>
  </si>
  <si>
    <t>UFP_F4_S_L_link2</t>
  </si>
  <si>
    <t>UFP_F4_S_R_1</t>
  </si>
  <si>
    <t>UFP_F4_S_R_2</t>
  </si>
  <si>
    <t>UFP_F4_S_R</t>
  </si>
  <si>
    <t>UFP_F4_S_R_link1</t>
  </si>
  <si>
    <t>UFP_F4_S_R_link2</t>
  </si>
  <si>
    <t>UFP_F5_S_L_1</t>
  </si>
  <si>
    <t>UFP_F5_S_L_2</t>
  </si>
  <si>
    <t>UFP_F5_S_L</t>
  </si>
  <si>
    <t>UFP_F5_S_L_link1</t>
  </si>
  <si>
    <t>UFP_F5_S_L_link2</t>
  </si>
  <si>
    <t>UFP_F5_S_R_1</t>
  </si>
  <si>
    <t>UFP_F5_S_R_2</t>
  </si>
  <si>
    <t>UFP_F5_S_R</t>
  </si>
  <si>
    <t>UFP_F5_S_R_link1</t>
  </si>
  <si>
    <t>UFP_F5_S_R_link2</t>
  </si>
  <si>
    <t>UFP_F6_S_L_1</t>
  </si>
  <si>
    <t>UFP_F6_S_L_2</t>
  </si>
  <si>
    <t>UFP_F6_S_L</t>
  </si>
  <si>
    <t>UFP_F6_S_L_link1</t>
  </si>
  <si>
    <t>UFP_F6_S_L_link2</t>
  </si>
  <si>
    <t>UFP_F6_S_R_1</t>
  </si>
  <si>
    <t>UFP_F6_S_R_2</t>
  </si>
  <si>
    <t>UFP_F6_S_R</t>
  </si>
  <si>
    <t>UFP_F6_S_R_link1</t>
  </si>
  <si>
    <t>UFP_F6_S_R_link2</t>
  </si>
  <si>
    <t>UFP_F7_S_L_1</t>
  </si>
  <si>
    <t>UFP_F7_S_L_2</t>
  </si>
  <si>
    <t>UFP_F7_S_L</t>
  </si>
  <si>
    <t>UFP_F7_S_L_link1</t>
  </si>
  <si>
    <t>UFP_F7_S_L_link2</t>
  </si>
  <si>
    <t>UFP_F7_S_R_1</t>
  </si>
  <si>
    <t>UFP_F7_S_R_2</t>
  </si>
  <si>
    <t>UFP_F7_S_R</t>
  </si>
  <si>
    <t>UFP_F7_S_R_link1</t>
  </si>
  <si>
    <t>UFP_F7_S_R_link2</t>
  </si>
  <si>
    <t>UFP_F8_S_L_1</t>
  </si>
  <si>
    <t>UFP_F8_S_L_2</t>
  </si>
  <si>
    <t>UFP_F8_S_L</t>
  </si>
  <si>
    <t>UFP_F8_S_L_link1</t>
  </si>
  <si>
    <t>UFP_F8_S_L_link2</t>
  </si>
  <si>
    <t>UFP_F8_S_R_1</t>
  </si>
  <si>
    <t>UFP_F8_S_R_2</t>
  </si>
  <si>
    <t>UFP_F8_S_R</t>
  </si>
  <si>
    <t>UFP_F8_S_R_link1</t>
  </si>
  <si>
    <t>UFP_F8_S_R_link2</t>
  </si>
  <si>
    <t>UFP_F9_S_L_1</t>
  </si>
  <si>
    <t>UFP_F9_S_L_2</t>
  </si>
  <si>
    <t>UFP_F9_S_L</t>
  </si>
  <si>
    <t>UFP_F9_S_L_link1</t>
  </si>
  <si>
    <t>UFP_F9_S_L_link2</t>
  </si>
  <si>
    <t>UFP_F9_S_R_1</t>
  </si>
  <si>
    <t>UFP_F9_S_R_2</t>
  </si>
  <si>
    <t>UFP_F9_S_R</t>
  </si>
  <si>
    <t>UFP_F9_S_R_link1</t>
  </si>
  <si>
    <t>UFP_F9_S_R_link2</t>
  </si>
  <si>
    <t>UFP_F10_S_L_1</t>
  </si>
  <si>
    <t>UFP_F10_S_L_2</t>
  </si>
  <si>
    <t>UFP_F10_S_L</t>
  </si>
  <si>
    <t>UFP_F10_S_L_link1</t>
  </si>
  <si>
    <t>UFP_F10_S_L_link2</t>
  </si>
  <si>
    <t>UFP_F10_S_R_1</t>
  </si>
  <si>
    <t>UFP_F10_S_R_2</t>
  </si>
  <si>
    <t>UFP_F10_S_R</t>
  </si>
  <si>
    <t>UFP_F10_S_R_link1</t>
  </si>
  <si>
    <t>UFP_F10_S_R_link2</t>
  </si>
  <si>
    <t>UFP_F11_S_L_1</t>
  </si>
  <si>
    <t>UFP_F11_S_L_2</t>
  </si>
  <si>
    <t>UFP_F11_S_L</t>
  </si>
  <si>
    <t>UFP_F11_S_L_link1</t>
  </si>
  <si>
    <t>UFP_F11_S_L_link2</t>
  </si>
  <si>
    <t>UFP_F11_S_R_1</t>
  </si>
  <si>
    <t>UFP_F11_S_R_2</t>
  </si>
  <si>
    <t>UFP_F11_S_R</t>
  </si>
  <si>
    <t>UFP_F11_S_R_link1</t>
  </si>
  <si>
    <t>UFP_F11_S_R_link2</t>
  </si>
  <si>
    <t>UFP_F2_W_L_1</t>
  </si>
  <si>
    <t>UFP_F2_W_L_2</t>
  </si>
  <si>
    <t>UFP_F2_W_L</t>
  </si>
  <si>
    <t>UFP_F2_W_L_link1</t>
  </si>
  <si>
    <t>UFP_F2_W_L_link2</t>
  </si>
  <si>
    <t>UFP_F2_W_R_1</t>
  </si>
  <si>
    <t>UFP_F2_W_R_2</t>
  </si>
  <si>
    <t>UFP_F2_W_R</t>
  </si>
  <si>
    <t>UFP_F2_W_R_link1</t>
  </si>
  <si>
    <t>UFP_F2_W_R_link2</t>
  </si>
  <si>
    <t>UFP_F3_W_L_1</t>
  </si>
  <si>
    <t>UFP_F3_W_L_2</t>
  </si>
  <si>
    <t>UFP_F3_W_L</t>
  </si>
  <si>
    <t>UFP_F3_W_L_link1</t>
  </si>
  <si>
    <t>UFP_F3_W_L_link2</t>
  </si>
  <si>
    <t>UFP_F3_W_R_1</t>
  </si>
  <si>
    <t>UFP_F3_W_R_2</t>
  </si>
  <si>
    <t>UFP_F3_W_R</t>
  </si>
  <si>
    <t>UFP_F3_W_R_link1</t>
  </si>
  <si>
    <t>UFP_F3_W_R_link2</t>
  </si>
  <si>
    <t>UFP_F4_W_L_1</t>
  </si>
  <si>
    <t>UFP_F4_W_L_2</t>
  </si>
  <si>
    <t>UFP_F4_W_L</t>
  </si>
  <si>
    <t>UFP_F4_W_L_link1</t>
  </si>
  <si>
    <t>UFP_F4_W_L_link2</t>
  </si>
  <si>
    <t>UFP_F4_W_R_1</t>
  </si>
  <si>
    <t>UFP_F4_W_R_2</t>
  </si>
  <si>
    <t>UFP_F4_W_R</t>
  </si>
  <si>
    <t>UFP_F4_W_R_link1</t>
  </si>
  <si>
    <t>UFP_F4_W_R_link2</t>
  </si>
  <si>
    <t>UFP_F5_W_L_1</t>
  </si>
  <si>
    <t>UFP_F5_W_L_2</t>
  </si>
  <si>
    <t>UFP_F5_W_L</t>
  </si>
  <si>
    <t>UFP_F5_W_L_link1</t>
  </si>
  <si>
    <t>UFP_F5_W_L_link2</t>
  </si>
  <si>
    <t>UFP_F5_W_R_1</t>
  </si>
  <si>
    <t>UFP_F5_W_R_2</t>
  </si>
  <si>
    <t>UFP_F5_W_R</t>
  </si>
  <si>
    <t>UFP_F5_W_R_link1</t>
  </si>
  <si>
    <t>UFP_F5_W_R_link2</t>
  </si>
  <si>
    <t>UFP_F6_W_L_1</t>
  </si>
  <si>
    <t>UFP_F6_W_L_2</t>
  </si>
  <si>
    <t>UFP_F6_W_L</t>
  </si>
  <si>
    <t>UFP_F6_W_L_link1</t>
  </si>
  <si>
    <t>UFP_F6_W_L_link2</t>
  </si>
  <si>
    <t>UFP_F6_W_R_1</t>
  </si>
  <si>
    <t>UFP_F6_W_R_2</t>
  </si>
  <si>
    <t>UFP_F6_W_R</t>
  </si>
  <si>
    <t>UFP_F6_W_R_link1</t>
  </si>
  <si>
    <t>UFP_F6_W_R_link2</t>
  </si>
  <si>
    <t>UFP_F7_W_L_1</t>
  </si>
  <si>
    <t>UFP_F7_W_L_2</t>
  </si>
  <si>
    <t>UFP_F7_W_L</t>
  </si>
  <si>
    <t>UFP_F7_W_L_link1</t>
  </si>
  <si>
    <t>UFP_F7_W_L_link2</t>
  </si>
  <si>
    <t>UFP_F7_W_R_1</t>
  </si>
  <si>
    <t>UFP_F7_W_R_2</t>
  </si>
  <si>
    <t>UFP_F7_W_R</t>
  </si>
  <si>
    <t>UFP_F7_W_R_link1</t>
  </si>
  <si>
    <t>UFP_F7_W_R_link2</t>
  </si>
  <si>
    <t>UFP_F8_W_L_1</t>
  </si>
  <si>
    <t>UFP_F8_W_L_2</t>
  </si>
  <si>
    <t>UFP_F8_W_L</t>
  </si>
  <si>
    <t>UFP_F8_W_L_link1</t>
  </si>
  <si>
    <t>UFP_F8_W_L_link2</t>
  </si>
  <si>
    <t>UFP_F8_W_R_1</t>
  </si>
  <si>
    <t>UFP_F8_W_R_2</t>
  </si>
  <si>
    <t>UFP_F8_W_R</t>
  </si>
  <si>
    <t>UFP_F8_W_R_link1</t>
  </si>
  <si>
    <t>UFP_F8_W_R_link2</t>
  </si>
  <si>
    <t>UFP_F9_W_L_1</t>
  </si>
  <si>
    <t>UFP_F9_W_L_2</t>
  </si>
  <si>
    <t>UFP_F9_W_L</t>
  </si>
  <si>
    <t>UFP_F9_W_L_link1</t>
  </si>
  <si>
    <t>UFP_F9_W_L_link2</t>
  </si>
  <si>
    <t>UFP_F9_W_R_1</t>
  </si>
  <si>
    <t>UFP_F9_W_R_2</t>
  </si>
  <si>
    <t>UFP_F9_W_R</t>
  </si>
  <si>
    <t>UFP_F9_W_R_link1</t>
  </si>
  <si>
    <t>UFP_F9_W_R_link2</t>
  </si>
  <si>
    <t>UFP_F10_W_L_1</t>
  </si>
  <si>
    <t>UFP_F10_W_L_2</t>
  </si>
  <si>
    <t>UFP_F10_W_L</t>
  </si>
  <si>
    <t>UFP_F10_W_L_link1</t>
  </si>
  <si>
    <t>UFP_F10_W_L_link2</t>
  </si>
  <si>
    <t>UFP_F10_W_R_1</t>
  </si>
  <si>
    <t>UFP_F10_W_R_2</t>
  </si>
  <si>
    <t>UFP_F10_W_R</t>
  </si>
  <si>
    <t>UFP_F10_W_R_link1</t>
  </si>
  <si>
    <t>UFP_F10_W_R_link2</t>
  </si>
  <si>
    <t>UFP_F11_W_L_1</t>
  </si>
  <si>
    <t>UFP_F11_W_L_2</t>
  </si>
  <si>
    <t>UFP_F11_W_L</t>
  </si>
  <si>
    <t>UFP_F11_W_L_link1</t>
  </si>
  <si>
    <t>UFP_F11_W_L_link2</t>
  </si>
  <si>
    <t>UFP_F11_W_R_1</t>
  </si>
  <si>
    <t>UFP_F11_W_R_2</t>
  </si>
  <si>
    <t>UFP_F11_W_R</t>
  </si>
  <si>
    <t>UFP_F11_W_R_link1</t>
  </si>
  <si>
    <t>UFP_F11_W_R_link2</t>
  </si>
  <si>
    <t>UFP_F2_E_L_1</t>
  </si>
  <si>
    <t>UFP_F2_E_L_2</t>
  </si>
  <si>
    <t>UFP_F2_E_L</t>
  </si>
  <si>
    <t>UFP_F2_E_L_link1</t>
  </si>
  <si>
    <t>UFP_F2_E_L_link2</t>
  </si>
  <si>
    <t>UFP_F2_E_R_1</t>
  </si>
  <si>
    <t>UFP_F2_E_R_2</t>
  </si>
  <si>
    <t>UFP_F2_E_R</t>
  </si>
  <si>
    <t>UFP_F2_E_R_link1</t>
  </si>
  <si>
    <t>UFP_F2_E_R_link2</t>
  </si>
  <si>
    <t>UFP_F3_E_L_1</t>
  </si>
  <si>
    <t>UFP_F3_E_L_2</t>
  </si>
  <si>
    <t>UFP_F3_E_L</t>
  </si>
  <si>
    <t>UFP_F3_E_L_link1</t>
  </si>
  <si>
    <t>UFP_F3_E_L_link2</t>
  </si>
  <si>
    <t>UFP_F3_E_R_1</t>
  </si>
  <si>
    <t>UFP_F3_E_R_2</t>
  </si>
  <si>
    <t>UFP_F3_E_R</t>
  </si>
  <si>
    <t>UFP_F3_E_R_link1</t>
  </si>
  <si>
    <t>UFP_F3_E_R_link2</t>
  </si>
  <si>
    <t>UFP_F4_E_L_1</t>
  </si>
  <si>
    <t>UFP_F4_E_L_2</t>
  </si>
  <si>
    <t>UFP_F4_E_L</t>
  </si>
  <si>
    <t>UFP_F4_E_L_link1</t>
  </si>
  <si>
    <t>UFP_F4_E_L_link2</t>
  </si>
  <si>
    <t>UFP_F4_E_R_1</t>
  </si>
  <si>
    <t>UFP_F4_E_R_2</t>
  </si>
  <si>
    <t>UFP_F4_E_R</t>
  </si>
  <si>
    <t>UFP_F4_E_R_link1</t>
  </si>
  <si>
    <t>UFP_F4_E_R_link2</t>
  </si>
  <si>
    <t>UFP_F5_E_L_1</t>
  </si>
  <si>
    <t>UFP_F5_E_L_2</t>
  </si>
  <si>
    <t>UFP_F5_E_L</t>
  </si>
  <si>
    <t>UFP_F5_E_L_link1</t>
  </si>
  <si>
    <t>UFP_F5_E_L_link2</t>
  </si>
  <si>
    <t>UFP_F5_E_R_1</t>
  </si>
  <si>
    <t>UFP_F5_E_R_2</t>
  </si>
  <si>
    <t>UFP_F5_E_R</t>
  </si>
  <si>
    <t>UFP_F5_E_R_link1</t>
  </si>
  <si>
    <t>UFP_F5_E_R_link2</t>
  </si>
  <si>
    <t>UFP_F6_E_L_1</t>
  </si>
  <si>
    <t>UFP_F6_E_L_2</t>
  </si>
  <si>
    <t>UFP_F6_E_L</t>
  </si>
  <si>
    <t>UFP_F6_E_L_link1</t>
  </si>
  <si>
    <t>UFP_F6_E_L_link2</t>
  </si>
  <si>
    <t>UFP_F6_E_R_1</t>
  </si>
  <si>
    <t>UFP_F6_E_R_2</t>
  </si>
  <si>
    <t>UFP_F6_E_R</t>
  </si>
  <si>
    <t>UFP_F6_E_R_link1</t>
  </si>
  <si>
    <t>UFP_F6_E_R_link2</t>
  </si>
  <si>
    <t>UFP_F7_E_L_1</t>
  </si>
  <si>
    <t>UFP_F7_E_L_2</t>
  </si>
  <si>
    <t>UFP_F7_E_L</t>
  </si>
  <si>
    <t>UFP_F7_E_L_link1</t>
  </si>
  <si>
    <t>UFP_F7_E_L_link2</t>
  </si>
  <si>
    <t>UFP_F7_E_R_1</t>
  </si>
  <si>
    <t>UFP_F7_E_R_2</t>
  </si>
  <si>
    <t>UFP_F7_E_R</t>
  </si>
  <si>
    <t>UFP_F7_E_R_link1</t>
  </si>
  <si>
    <t>UFP_F7_E_R_link2</t>
  </si>
  <si>
    <t>UFP_F8_E_L_1</t>
  </si>
  <si>
    <t>UFP_F8_E_L_2</t>
  </si>
  <si>
    <t>UFP_F8_E_L</t>
  </si>
  <si>
    <t>UFP_F8_E_L_link1</t>
  </si>
  <si>
    <t>UFP_F8_E_L_link2</t>
  </si>
  <si>
    <t>UFP_F8_E_R_1</t>
  </si>
  <si>
    <t>UFP_F8_E_R_2</t>
  </si>
  <si>
    <t>UFP_F8_E_R</t>
  </si>
  <si>
    <t>UFP_F8_E_R_link1</t>
  </si>
  <si>
    <t>UFP_F8_E_R_link2</t>
  </si>
  <si>
    <t>UFP_F9_E_L_1</t>
  </si>
  <si>
    <t>UFP_F9_E_L_2</t>
  </si>
  <si>
    <t>UFP_F9_E_L</t>
  </si>
  <si>
    <t>UFP_F9_E_L_link1</t>
  </si>
  <si>
    <t>UFP_F9_E_L_link2</t>
  </si>
  <si>
    <t>UFP_F9_E_R_1</t>
  </si>
  <si>
    <t>UFP_F9_E_R_2</t>
  </si>
  <si>
    <t>UFP_F9_E_R</t>
  </si>
  <si>
    <t>UFP_F9_E_R_link1</t>
  </si>
  <si>
    <t>UFP_F9_E_R_link2</t>
  </si>
  <si>
    <t>UFP_F10_E_L_1</t>
  </si>
  <si>
    <t>UFP_F10_E_L_2</t>
  </si>
  <si>
    <t>UFP_F10_E_L</t>
  </si>
  <si>
    <t>UFP_F10_E_L_link1</t>
  </si>
  <si>
    <t>UFP_F10_E_L_link2</t>
  </si>
  <si>
    <t>UFP_F10_E_R_1</t>
  </si>
  <si>
    <t>UFP_F10_E_R_2</t>
  </si>
  <si>
    <t>UFP_F10_E_R</t>
  </si>
  <si>
    <t>UFP_F10_E_R_link1</t>
  </si>
  <si>
    <t>UFP_F10_E_R_link2</t>
  </si>
  <si>
    <t>UFP_F11_E_L_1</t>
  </si>
  <si>
    <t>UFP_F11_E_L_2</t>
  </si>
  <si>
    <t>UFP_F11_E_L</t>
  </si>
  <si>
    <t>UFP_F11_E_L_link1</t>
  </si>
  <si>
    <t>UFP_F11_E_L_link2</t>
  </si>
  <si>
    <t>UFP_F11_E_R_1</t>
  </si>
  <si>
    <t>UFP_F11_E_R_2</t>
  </si>
  <si>
    <t>UFP_F11_E_R</t>
  </si>
  <si>
    <t>UFP_F11_E_R_link1</t>
  </si>
  <si>
    <t>UFP_F11_E_R_link2</t>
  </si>
  <si>
    <t>Arguments</t>
  </si>
  <si>
    <t>GRP:F11</t>
  </si>
  <si>
    <t>GRP:floor mass</t>
  </si>
  <si>
    <t>basicStiffness</t>
  </si>
  <si>
    <t>deformationsANDforces</t>
  </si>
  <si>
    <t>dampingForces</t>
  </si>
  <si>
    <t>ele - zeroLength</t>
  </si>
  <si>
    <t>ele - corotTruss</t>
  </si>
  <si>
    <t>axialForce</t>
  </si>
  <si>
    <t>wallY</t>
  </si>
  <si>
    <t>reactions</t>
  </si>
  <si>
    <t>F2ColA1</t>
  </si>
  <si>
    <t>beam</t>
  </si>
  <si>
    <t>beam; A</t>
  </si>
  <si>
    <t>beam; B</t>
  </si>
  <si>
    <t>beam; 3</t>
  </si>
  <si>
    <t>beam; 2</t>
  </si>
  <si>
    <t>beam; D</t>
  </si>
  <si>
    <t>wall; CLT; wallN</t>
  </si>
  <si>
    <t>wall; MPP; wallE</t>
  </si>
  <si>
    <t>wall; CLT; wallS</t>
  </si>
  <si>
    <t>wall; MPP; wallW</t>
  </si>
  <si>
    <t>column; A1; wallW</t>
  </si>
  <si>
    <t>column; B1; wallW</t>
  </si>
  <si>
    <t>column; A2; wallN</t>
  </si>
  <si>
    <t>column; A3; wallN</t>
  </si>
  <si>
    <t>column; A4; wallE</t>
  </si>
  <si>
    <t>column; B2</t>
  </si>
  <si>
    <t>column; B3</t>
  </si>
  <si>
    <t>column; B4; wallE</t>
  </si>
  <si>
    <t>column; C2; wallS</t>
  </si>
  <si>
    <t>column; C3; wallS</t>
  </si>
  <si>
    <t>column; D1</t>
  </si>
  <si>
    <t>column; D2</t>
  </si>
  <si>
    <t>column; D3</t>
  </si>
  <si>
    <t>column; D4</t>
  </si>
  <si>
    <t>beam; A;</t>
  </si>
  <si>
    <t>beam; B;</t>
  </si>
  <si>
    <t>beam;</t>
  </si>
  <si>
    <t>beam; D;</t>
  </si>
  <si>
    <t>beam; 2;</t>
  </si>
  <si>
    <t>beam; 3;</t>
  </si>
  <si>
    <t>column; A1; wallW;</t>
  </si>
  <si>
    <t>column; A2; wallN;</t>
  </si>
  <si>
    <t>column; A3; wallN;</t>
  </si>
  <si>
    <t>column; A4; wallE;</t>
  </si>
  <si>
    <t>column; B1; wallW;</t>
  </si>
  <si>
    <t>column; B2;</t>
  </si>
  <si>
    <t>column; B3;</t>
  </si>
  <si>
    <t>column; B4; wallE;</t>
  </si>
  <si>
    <t>column; C2; wallS;</t>
  </si>
  <si>
    <t>column; C3; wallS;</t>
  </si>
  <si>
    <t>column; D1;</t>
  </si>
  <si>
    <t>column; D2;</t>
  </si>
  <si>
    <t>column; D3;</t>
  </si>
  <si>
    <t>column; D4;</t>
  </si>
  <si>
    <t>wall; CLT; wallN;</t>
  </si>
  <si>
    <t>wall; CLT; wallS;</t>
  </si>
  <si>
    <t>wall; MPP; wallW;</t>
  </si>
  <si>
    <t>wall; MPP; wallE;</t>
  </si>
  <si>
    <t>ele - elasticBeamColumn</t>
  </si>
  <si>
    <t>ele - General</t>
  </si>
  <si>
    <t>GRP:wallW</t>
  </si>
  <si>
    <t>wallW_forces</t>
  </si>
  <si>
    <t>GRP:wallE</t>
  </si>
  <si>
    <t>wallE_forces</t>
  </si>
  <si>
    <t>1,2,6</t>
  </si>
  <si>
    <t>wallYrev</t>
  </si>
  <si>
    <t>releasey</t>
  </si>
  <si>
    <t>releasez</t>
  </si>
  <si>
    <t>IJ</t>
  </si>
  <si>
    <t>LVL Beam I</t>
  </si>
  <si>
    <t>LVL Beam J</t>
  </si>
  <si>
    <t>LVL Beam IJ</t>
  </si>
  <si>
    <t>xBeam</t>
  </si>
  <si>
    <t>Beam_A12</t>
  </si>
  <si>
    <t>Beam_A34</t>
  </si>
  <si>
    <t>Beam_B12</t>
  </si>
  <si>
    <t>Beam_B34</t>
  </si>
  <si>
    <t>yBeam_short</t>
  </si>
  <si>
    <t>yBeam_long</t>
  </si>
  <si>
    <t>PT200</t>
  </si>
  <si>
    <t>Ref Node</t>
  </si>
  <si>
    <t>dX</t>
  </si>
  <si>
    <t>dY</t>
  </si>
  <si>
    <t>Split?</t>
  </si>
  <si>
    <t>h cut</t>
  </si>
  <si>
    <t>ACLT_PT_NW</t>
  </si>
  <si>
    <t>CCLT_PT_NW</t>
  </si>
  <si>
    <t>MPP1_PT_NW</t>
  </si>
  <si>
    <t>MPP4_PT_NW</t>
  </si>
  <si>
    <t>ACLT_PT_NE</t>
  </si>
  <si>
    <t>ACLT_PT_SE</t>
  </si>
  <si>
    <t>ACLT_PT_SW</t>
  </si>
  <si>
    <t>CCLT_PT_NE</t>
  </si>
  <si>
    <t>CCLT_PT_SE</t>
  </si>
  <si>
    <t>CCLT_PT_SW</t>
  </si>
  <si>
    <t>MPP1_PT_NE</t>
  </si>
  <si>
    <t>MPP1_PT_SE</t>
  </si>
  <si>
    <t>MPP1_PT_SW</t>
  </si>
  <si>
    <t>MPP4_PT_NE</t>
  </si>
  <si>
    <t>MPP4_PT_SE</t>
  </si>
  <si>
    <t>MPP4_PT_SW</t>
  </si>
  <si>
    <t>dZ top</t>
  </si>
  <si>
    <t>Z bottom</t>
  </si>
  <si>
    <t>Truss</t>
  </si>
  <si>
    <t>ACLT_PT_NE_top</t>
  </si>
  <si>
    <t>PT;</t>
  </si>
  <si>
    <t>ACLT_PT_NE_base</t>
  </si>
  <si>
    <t>ACLT_PT_NE_link</t>
  </si>
  <si>
    <t>PT_link;</t>
  </si>
  <si>
    <t>ACLT_PT_SE_top</t>
  </si>
  <si>
    <t>ACLT_PT_SE_base</t>
  </si>
  <si>
    <t>ACLT_PT_SE_link</t>
  </si>
  <si>
    <t>ACLT_PT_SW_top</t>
  </si>
  <si>
    <t>ACLT_PT_SW_base</t>
  </si>
  <si>
    <t>ACLT_PT_SW_link</t>
  </si>
  <si>
    <t>ACLT_PT_NW_top</t>
  </si>
  <si>
    <t>ACLT_PT_NW_base</t>
  </si>
  <si>
    <t>ACLT_PT_NW_link</t>
  </si>
  <si>
    <t>CCLT_PT_NE_top</t>
  </si>
  <si>
    <t>CCLT_PT_NE_base</t>
  </si>
  <si>
    <t>CCLT_PT_NE_link</t>
  </si>
  <si>
    <t>CCLT_PT_SE_top</t>
  </si>
  <si>
    <t>CCLT_PT_SE_base</t>
  </si>
  <si>
    <t>CCLT_PT_SE_link</t>
  </si>
  <si>
    <t>CCLT_PT_SW_top</t>
  </si>
  <si>
    <t>CCLT_PT_SW_base</t>
  </si>
  <si>
    <t>CCLT_PT_SW_link</t>
  </si>
  <si>
    <t>CCLT_PT_NW_top</t>
  </si>
  <si>
    <t>CCLT_PT_NW_base</t>
  </si>
  <si>
    <t>CCLT_PT_NW_link</t>
  </si>
  <si>
    <t>MPP1_PT_NE_top</t>
  </si>
  <si>
    <t>MPP1_PT_NE_base</t>
  </si>
  <si>
    <t>MPP1_PT_NE_link</t>
  </si>
  <si>
    <t>MPP1_PT_SE_top</t>
  </si>
  <si>
    <t>MPP1_PT_SE_base</t>
  </si>
  <si>
    <t>MPP1_PT_SE_link</t>
  </si>
  <si>
    <t>MPP1_PT_SW_top</t>
  </si>
  <si>
    <t>MPP1_PT_SW_base</t>
  </si>
  <si>
    <t>MPP1_PT_SW_link</t>
  </si>
  <si>
    <t>MPP1_PT_NW_top</t>
  </si>
  <si>
    <t>MPP1_PT_NW_base</t>
  </si>
  <si>
    <t>MPP1_PT_NW_link</t>
  </si>
  <si>
    <t>MPP4_PT_NE_top</t>
  </si>
  <si>
    <t>MPP4_PT_NE_base</t>
  </si>
  <si>
    <t>MPP4_PT_NE_link</t>
  </si>
  <si>
    <t>MPP4_PT_SE_top</t>
  </si>
  <si>
    <t>MPP4_PT_SE_base</t>
  </si>
  <si>
    <t>MPP4_PT_SE_link</t>
  </si>
  <si>
    <t>MPP4_PT_SW_top</t>
  </si>
  <si>
    <t>MPP4_PT_SW_base</t>
  </si>
  <si>
    <t>MPP4_PT_SW_link</t>
  </si>
  <si>
    <t>MPP4_PT_NW_top</t>
  </si>
  <si>
    <t>MPP4_PT_NW_base</t>
  </si>
  <si>
    <t>MPP4_PT_NW_link</t>
  </si>
  <si>
    <t>MultiSpring</t>
  </si>
  <si>
    <t>Base Node</t>
  </si>
  <si>
    <t>X dim</t>
  </si>
  <si>
    <t>Y dim</t>
  </si>
  <si>
    <t>Ny</t>
  </si>
  <si>
    <t>Nx</t>
  </si>
  <si>
    <t>Leff</t>
  </si>
  <si>
    <t>Value</t>
  </si>
  <si>
    <t>Parameter</t>
  </si>
  <si>
    <t>General</t>
  </si>
  <si>
    <t>blank</t>
  </si>
  <si>
    <t>Multispring</t>
  </si>
  <si>
    <t>Include Multispring?</t>
  </si>
  <si>
    <t>If true, selected base nodes will be replaced with multisprings.</t>
  </si>
  <si>
    <t>Base_ACLT</t>
  </si>
  <si>
    <t>Base_MPP1</t>
  </si>
  <si>
    <t>Base_MPP4</t>
  </si>
  <si>
    <t>Base_CCLT</t>
  </si>
  <si>
    <t>Area</t>
  </si>
  <si>
    <t>ms CLT</t>
  </si>
  <si>
    <t>ms MPP</t>
  </si>
  <si>
    <t>This sheet does not do anythin yet.</t>
  </si>
  <si>
    <t>Properties</t>
  </si>
  <si>
    <t>ElementUID</t>
  </si>
  <si>
    <t>Base_ACLT_1_1_fixed</t>
  </si>
  <si>
    <t>base;</t>
  </si>
  <si>
    <t>Base_ACLT_1_1_free</t>
  </si>
  <si>
    <t>Base_ACLT_1_1</t>
  </si>
  <si>
    <t>base_link;</t>
  </si>
  <si>
    <t>Base_MPP1_1_1_fixed</t>
  </si>
  <si>
    <t>Base_MPP1_1_1_free</t>
  </si>
  <si>
    <t>Base_MPP1_1_1</t>
  </si>
  <si>
    <t>Base_MPP4_1_1_fixed</t>
  </si>
  <si>
    <t>Base_MPP4_1_1_free</t>
  </si>
  <si>
    <t>Base_MPP4_1_1</t>
  </si>
  <si>
    <t>Base_CCLT_1_1_fixed</t>
  </si>
  <si>
    <t>Base_CCLT_1_1_free</t>
  </si>
  <si>
    <t>Base_CCLT_1_1</t>
  </si>
  <si>
    <t>Base_ACLT_1_2_fixed</t>
  </si>
  <si>
    <t>Base_ACLT_1_2_free</t>
  </si>
  <si>
    <t>Base_ACLT_1_2</t>
  </si>
  <si>
    <t>Base_ACLT_1_3_fixed</t>
  </si>
  <si>
    <t>Base_ACLT_1_3_free</t>
  </si>
  <si>
    <t>Base_ACLT_1_3</t>
  </si>
  <si>
    <t>Base_ACLT_2_1_fixed</t>
  </si>
  <si>
    <t>Base_ACLT_2_1_free</t>
  </si>
  <si>
    <t>Base_ACLT_2_1</t>
  </si>
  <si>
    <t>Base_ACLT_2_2_fixed</t>
  </si>
  <si>
    <t>Base_ACLT_2_2_free</t>
  </si>
  <si>
    <t>Base_ACLT_2_2</t>
  </si>
  <si>
    <t>Base_ACLT_2_3_fixed</t>
  </si>
  <si>
    <t>Base_ACLT_2_3_free</t>
  </si>
  <si>
    <t>Base_ACLT_2_3</t>
  </si>
  <si>
    <t>Base_ACLT_3_1_fixed</t>
  </si>
  <si>
    <t>Base_ACLT_3_1_free</t>
  </si>
  <si>
    <t>Base_ACLT_3_1</t>
  </si>
  <si>
    <t>Base_ACLT_3_2_fixed</t>
  </si>
  <si>
    <t>Base_ACLT_3_2_free</t>
  </si>
  <si>
    <t>Base_ACLT_3_2</t>
  </si>
  <si>
    <t>Base_ACLT_3_3_fixed</t>
  </si>
  <si>
    <t>Base_ACLT_3_3_free</t>
  </si>
  <si>
    <t>Base_ACLT_3_3</t>
  </si>
  <si>
    <t>Base_ACLT_4_1_fixed</t>
  </si>
  <si>
    <t>Base_ACLT_4_1_free</t>
  </si>
  <si>
    <t>Base_ACLT_4_1</t>
  </si>
  <si>
    <t>Base_ACLT_4_2_fixed</t>
  </si>
  <si>
    <t>Base_ACLT_4_2_free</t>
  </si>
  <si>
    <t>Base_ACLT_4_2</t>
  </si>
  <si>
    <t>Base_ACLT_4_3_fixed</t>
  </si>
  <si>
    <t>Base_ACLT_4_3_free</t>
  </si>
  <si>
    <t>Base_ACLT_4_3</t>
  </si>
  <si>
    <t>Base_ACLT_5_1_fixed</t>
  </si>
  <si>
    <t>Base_ACLT_5_1_free</t>
  </si>
  <si>
    <t>Base_ACLT_5_1</t>
  </si>
  <si>
    <t>Base_ACLT_5_2_fixed</t>
  </si>
  <si>
    <t>Base_ACLT_5_2_free</t>
  </si>
  <si>
    <t>Base_ACLT_5_2</t>
  </si>
  <si>
    <t>Base_ACLT_5_3_fixed</t>
  </si>
  <si>
    <t>Base_ACLT_5_3_free</t>
  </si>
  <si>
    <t>Base_ACLT_5_3</t>
  </si>
  <si>
    <t>Base_ACLT_6_1_fixed</t>
  </si>
  <si>
    <t>Base_ACLT_6_1_free</t>
  </si>
  <si>
    <t>Base_ACLT_6_1</t>
  </si>
  <si>
    <t>Base_ACLT_6_2_fixed</t>
  </si>
  <si>
    <t>Base_ACLT_6_2_free</t>
  </si>
  <si>
    <t>Base_ACLT_6_2</t>
  </si>
  <si>
    <t>Base_ACLT_6_3_fixed</t>
  </si>
  <si>
    <t>Base_ACLT_6_3_free</t>
  </si>
  <si>
    <t>Base_ACLT_6_3</t>
  </si>
  <si>
    <t>Base_ACLT_7_1_fixed</t>
  </si>
  <si>
    <t>Base_ACLT_7_1_free</t>
  </si>
  <si>
    <t>Base_ACLT_7_1</t>
  </si>
  <si>
    <t>Base_ACLT_7_2_fixed</t>
  </si>
  <si>
    <t>Base_ACLT_7_2_free</t>
  </si>
  <si>
    <t>Base_ACLT_7_2</t>
  </si>
  <si>
    <t>Base_ACLT_7_3_fixed</t>
  </si>
  <si>
    <t>Base_ACLT_7_3_free</t>
  </si>
  <si>
    <t>Base_ACLT_7_3</t>
  </si>
  <si>
    <t>Base_ACLT_8_1_fixed</t>
  </si>
  <si>
    <t>Base_ACLT_8_1_free</t>
  </si>
  <si>
    <t>Base_ACLT_8_1</t>
  </si>
  <si>
    <t>Base_ACLT_8_2_fixed</t>
  </si>
  <si>
    <t>Base_ACLT_8_2_free</t>
  </si>
  <si>
    <t>Base_ACLT_8_2</t>
  </si>
  <si>
    <t>Base_ACLT_8_3_fixed</t>
  </si>
  <si>
    <t>Base_ACLT_8_3_free</t>
  </si>
  <si>
    <t>Base_ACLT_8_3</t>
  </si>
  <si>
    <t>Base_ACLT_9_1_fixed</t>
  </si>
  <si>
    <t>Base_ACLT_9_1_free</t>
  </si>
  <si>
    <t>Base_ACLT_9_1</t>
  </si>
  <si>
    <t>Base_ACLT_9_2_fixed</t>
  </si>
  <si>
    <t>Base_ACLT_9_2_free</t>
  </si>
  <si>
    <t>Base_ACLT_9_2</t>
  </si>
  <si>
    <t>Base_ACLT_9_3_fixed</t>
  </si>
  <si>
    <t>Base_ACLT_9_3_free</t>
  </si>
  <si>
    <t>Base_ACLT_9_3</t>
  </si>
  <si>
    <t>Base_ACLT_10_1_fixed</t>
  </si>
  <si>
    <t>Base_ACLT_10_1_free</t>
  </si>
  <si>
    <t>Base_ACLT_10_1</t>
  </si>
  <si>
    <t>Base_ACLT_10_2_fixed</t>
  </si>
  <si>
    <t>Base_ACLT_10_2_free</t>
  </si>
  <si>
    <t>Base_ACLT_10_2</t>
  </si>
  <si>
    <t>Base_ACLT_10_3_fixed</t>
  </si>
  <si>
    <t>Base_ACLT_10_3_free</t>
  </si>
  <si>
    <t>Base_ACLT_10_3</t>
  </si>
  <si>
    <t>Base_ACLT_11_1_fixed</t>
  </si>
  <si>
    <t>Base_ACLT_11_1_free</t>
  </si>
  <si>
    <t>Base_ACLT_11_1</t>
  </si>
  <si>
    <t>Base_ACLT_11_2_fixed</t>
  </si>
  <si>
    <t>Base_ACLT_11_2</t>
  </si>
  <si>
    <t>Base_ACLT_11_3_fixed</t>
  </si>
  <si>
    <t>Base_ACLT_11_3_free</t>
  </si>
  <si>
    <t>Base_ACLT_11_3</t>
  </si>
  <si>
    <t>Base_ACLT_12_1_fixed</t>
  </si>
  <si>
    <t>Base_ACLT_12_1_free</t>
  </si>
  <si>
    <t>Base_ACLT_12_1</t>
  </si>
  <si>
    <t>Base_ACLT_12_2_fixed</t>
  </si>
  <si>
    <t>Base_ACLT_12_2_free</t>
  </si>
  <si>
    <t>Base_ACLT_12_2</t>
  </si>
  <si>
    <t>Base_ACLT_12_3_fixed</t>
  </si>
  <si>
    <t>Base_ACLT_12_3_free</t>
  </si>
  <si>
    <t>Base_ACLT_12_3</t>
  </si>
  <si>
    <t>Base_ACLT_13_1_fixed</t>
  </si>
  <si>
    <t>Base_ACLT_13_1_free</t>
  </si>
  <si>
    <t>Base_ACLT_13_1</t>
  </si>
  <si>
    <t>Base_ACLT_13_2_fixed</t>
  </si>
  <si>
    <t>Base_ACLT_13_2_free</t>
  </si>
  <si>
    <t>Base_ACLT_13_2</t>
  </si>
  <si>
    <t>Base_ACLT_13_3_fixed</t>
  </si>
  <si>
    <t>Base_ACLT_13_3_free</t>
  </si>
  <si>
    <t>Base_ACLT_13_3</t>
  </si>
  <si>
    <t>Base_ACLT_14_1_fixed</t>
  </si>
  <si>
    <t>Base_ACLT_14_1_free</t>
  </si>
  <si>
    <t>Base_ACLT_14_1</t>
  </si>
  <si>
    <t>Base_ACLT_14_2_fixed</t>
  </si>
  <si>
    <t>Base_ACLT_14_2_free</t>
  </si>
  <si>
    <t>Base_ACLT_14_2</t>
  </si>
  <si>
    <t>Base_ACLT_14_3_fixed</t>
  </si>
  <si>
    <t>Base_ACLT_14_3_free</t>
  </si>
  <si>
    <t>Base_ACLT_14_3</t>
  </si>
  <si>
    <t>Base_ACLT_15_1_fixed</t>
  </si>
  <si>
    <t>Base_ACLT_15_1_free</t>
  </si>
  <si>
    <t>Base_ACLT_15_1</t>
  </si>
  <si>
    <t>Base_ACLT_15_2_fixed</t>
  </si>
  <si>
    <t>Base_ACLT_15_2_free</t>
  </si>
  <si>
    <t>Base_ACLT_15_2</t>
  </si>
  <si>
    <t>Base_ACLT_15_3_fixed</t>
  </si>
  <si>
    <t>Base_ACLT_15_3_free</t>
  </si>
  <si>
    <t>Base_ACLT_15_3</t>
  </si>
  <si>
    <t>Base_ACLT_16_1_fixed</t>
  </si>
  <si>
    <t>Base_ACLT_16_1_free</t>
  </si>
  <si>
    <t>Base_ACLT_16_1</t>
  </si>
  <si>
    <t>Base_ACLT_16_2_fixed</t>
  </si>
  <si>
    <t>Base_ACLT_16_2_free</t>
  </si>
  <si>
    <t>Base_ACLT_16_2</t>
  </si>
  <si>
    <t>Base_ACLT_16_3_fixed</t>
  </si>
  <si>
    <t>Base_ACLT_16_3_free</t>
  </si>
  <si>
    <t>Base_ACLT_16_3</t>
  </si>
  <si>
    <t>Base_ACLT_17_1_fixed</t>
  </si>
  <si>
    <t>Base_ACLT_17_1_free</t>
  </si>
  <si>
    <t>Base_ACLT_17_1</t>
  </si>
  <si>
    <t>Base_ACLT_17_2_fixed</t>
  </si>
  <si>
    <t>Base_ACLT_17_2_free</t>
  </si>
  <si>
    <t>Base_ACLT_17_2</t>
  </si>
  <si>
    <t>Base_ACLT_17_3_fixed</t>
  </si>
  <si>
    <t>Base_ACLT_17_3_free</t>
  </si>
  <si>
    <t>Base_ACLT_17_3</t>
  </si>
  <si>
    <t>Base_ACLT_18_1_fixed</t>
  </si>
  <si>
    <t>Base_ACLT_18_1_free</t>
  </si>
  <si>
    <t>Base_ACLT_18_1</t>
  </si>
  <si>
    <t>Base_ACLT_18_2_fixed</t>
  </si>
  <si>
    <t>Base_ACLT_18_2_free</t>
  </si>
  <si>
    <t>Base_ACLT_18_2</t>
  </si>
  <si>
    <t>Base_ACLT_18_3_fixed</t>
  </si>
  <si>
    <t>Base_ACLT_18_3_free</t>
  </si>
  <si>
    <t>Base_ACLT_18_3</t>
  </si>
  <si>
    <t>Base_ACLT_19_1_fixed</t>
  </si>
  <si>
    <t>Base_ACLT_19_1_free</t>
  </si>
  <si>
    <t>Base_ACLT_19_1</t>
  </si>
  <si>
    <t>Base_ACLT_19_2_fixed</t>
  </si>
  <si>
    <t>Base_ACLT_19_2_free</t>
  </si>
  <si>
    <t>Base_ACLT_19_2</t>
  </si>
  <si>
    <t>Base_ACLT_19_3_fixed</t>
  </si>
  <si>
    <t>Base_ACLT_19_3_free</t>
  </si>
  <si>
    <t>Base_ACLT_19_3</t>
  </si>
  <si>
    <t>Base_ACLT_20_1_fixed</t>
  </si>
  <si>
    <t>Base_ACLT_20_1_free</t>
  </si>
  <si>
    <t>Base_ACLT_20_1</t>
  </si>
  <si>
    <t>Base_ACLT_20_2_fixed</t>
  </si>
  <si>
    <t>Base_ACLT_20_2_free</t>
  </si>
  <si>
    <t>Base_ACLT_20_2</t>
  </si>
  <si>
    <t>Base_ACLT_20_3_fixed</t>
  </si>
  <si>
    <t>Base_ACLT_20_3_free</t>
  </si>
  <si>
    <t>Base_ACLT_20_3</t>
  </si>
  <si>
    <t>Base_ACLT_21_1_fixed</t>
  </si>
  <si>
    <t>Base_ACLT_21_1_free</t>
  </si>
  <si>
    <t>Base_ACLT_21_1</t>
  </si>
  <si>
    <t>Base_ACLT_21_2_fixed</t>
  </si>
  <si>
    <t>Base_ACLT_21_2_free</t>
  </si>
  <si>
    <t>Base_ACLT_21_2</t>
  </si>
  <si>
    <t>Base_ACLT_21_3_fixed</t>
  </si>
  <si>
    <t>Base_ACLT_21_3_free</t>
  </si>
  <si>
    <t>Base_ACLT_21_3</t>
  </si>
  <si>
    <t>Base_MPP1_1_2_fixed</t>
  </si>
  <si>
    <t>Base_MPP1_1_2_free</t>
  </si>
  <si>
    <t>Base_MPP1_1_2</t>
  </si>
  <si>
    <t>Base_MPP1_1_3_fixed</t>
  </si>
  <si>
    <t>Base_MPP1_1_3_free</t>
  </si>
  <si>
    <t>Base_MPP1_1_3</t>
  </si>
  <si>
    <t>Base_MPP1_1_4_fixed</t>
  </si>
  <si>
    <t>Base_MPP1_1_4_free</t>
  </si>
  <si>
    <t>Base_MPP1_1_4</t>
  </si>
  <si>
    <t>Base_MPP1_1_5_fixed</t>
  </si>
  <si>
    <t>Base_MPP1_1_5_free</t>
  </si>
  <si>
    <t>Base_MPP1_1_5</t>
  </si>
  <si>
    <t>Base_MPP1_1_6_fixed</t>
  </si>
  <si>
    <t>Base_MPP1_1_6_free</t>
  </si>
  <si>
    <t>Base_MPP1_1_6</t>
  </si>
  <si>
    <t>Base_MPP1_1_7_fixed</t>
  </si>
  <si>
    <t>Base_MPP1_1_7_free</t>
  </si>
  <si>
    <t>Base_MPP1_1_7</t>
  </si>
  <si>
    <t>Base_MPP1_1_8_fixed</t>
  </si>
  <si>
    <t>Base_MPP1_1_8_free</t>
  </si>
  <si>
    <t>Base_MPP1_1_8</t>
  </si>
  <si>
    <t>Base_MPP1_1_9_fixed</t>
  </si>
  <si>
    <t>Base_MPP1_1_9_free</t>
  </si>
  <si>
    <t>Base_MPP1_1_9</t>
  </si>
  <si>
    <t>Base_MPP1_1_10_fixed</t>
  </si>
  <si>
    <t>Base_MPP1_1_10_free</t>
  </si>
  <si>
    <t>Base_MPP1_1_10</t>
  </si>
  <si>
    <t>Base_MPP1_1_11_fixed</t>
  </si>
  <si>
    <t>Base_MPP1_1_11_free</t>
  </si>
  <si>
    <t>Base_MPP1_1_11</t>
  </si>
  <si>
    <t>Base_MPP1_1_12_fixed</t>
  </si>
  <si>
    <t>Base_MPP1_1_12_free</t>
  </si>
  <si>
    <t>Base_MPP1_1_12</t>
  </si>
  <si>
    <t>Base_MPP1_1_13_fixed</t>
  </si>
  <si>
    <t>Base_MPP1_1_13_free</t>
  </si>
  <si>
    <t>Base_MPP1_1_13</t>
  </si>
  <si>
    <t>Base_MPP1_1_14_fixed</t>
  </si>
  <si>
    <t>Base_MPP1_1_14_free</t>
  </si>
  <si>
    <t>Base_MPP1_1_14</t>
  </si>
  <si>
    <t>Base_MPP1_1_15_fixed</t>
  </si>
  <si>
    <t>Base_MPP1_1_15_free</t>
  </si>
  <si>
    <t>Base_MPP1_1_15</t>
  </si>
  <si>
    <t>Base_MPP1_1_16_fixed</t>
  </si>
  <si>
    <t>Base_MPP1_1_16_free</t>
  </si>
  <si>
    <t>Base_MPP1_1_16</t>
  </si>
  <si>
    <t>Base_MPP1_1_17_fixed</t>
  </si>
  <si>
    <t>Base_MPP1_1_17_free</t>
  </si>
  <si>
    <t>Base_MPP1_1_17</t>
  </si>
  <si>
    <t>Base_MPP1_1_18_fixed</t>
  </si>
  <si>
    <t>Base_MPP1_1_18_free</t>
  </si>
  <si>
    <t>Base_MPP1_1_18</t>
  </si>
  <si>
    <t>Base_MPP1_1_19_fixed</t>
  </si>
  <si>
    <t>Base_MPP1_1_19_free</t>
  </si>
  <si>
    <t>Base_MPP1_1_19</t>
  </si>
  <si>
    <t>Base_MPP1_1_20_fixed</t>
  </si>
  <si>
    <t>Base_MPP1_1_20_free</t>
  </si>
  <si>
    <t>Base_MPP1_1_20</t>
  </si>
  <si>
    <t>Base_MPP1_1_21_fixed</t>
  </si>
  <si>
    <t>Base_MPP1_1_21_free</t>
  </si>
  <si>
    <t>Base_MPP1_1_21</t>
  </si>
  <si>
    <t>Base_MPP1_2_1_fixed</t>
  </si>
  <si>
    <t>Base_MPP1_2_1_free</t>
  </si>
  <si>
    <t>Base_MPP1_2_1</t>
  </si>
  <si>
    <t>Base_MPP1_2_2_fixed</t>
  </si>
  <si>
    <t>Base_MPP1_2_2_free</t>
  </si>
  <si>
    <t>Base_MPP1_2_2</t>
  </si>
  <si>
    <t>Base_MPP1_2_3_fixed</t>
  </si>
  <si>
    <t>Base_MPP1_2_3_free</t>
  </si>
  <si>
    <t>Base_MPP1_2_3</t>
  </si>
  <si>
    <t>Base_MPP1_2_4_fixed</t>
  </si>
  <si>
    <t>Base_MPP1_2_4_free</t>
  </si>
  <si>
    <t>Base_MPP1_2_4</t>
  </si>
  <si>
    <t>Base_MPP1_2_5_fixed</t>
  </si>
  <si>
    <t>Base_MPP1_2_5_free</t>
  </si>
  <si>
    <t>Base_MPP1_2_5</t>
  </si>
  <si>
    <t>Base_MPP1_2_6_fixed</t>
  </si>
  <si>
    <t>Base_MPP1_2_6_free</t>
  </si>
  <si>
    <t>Base_MPP1_2_6</t>
  </si>
  <si>
    <t>Base_MPP1_2_7_fixed</t>
  </si>
  <si>
    <t>Base_MPP1_2_7_free</t>
  </si>
  <si>
    <t>Base_MPP1_2_7</t>
  </si>
  <si>
    <t>Base_MPP1_2_8_fixed</t>
  </si>
  <si>
    <t>Base_MPP1_2_8_free</t>
  </si>
  <si>
    <t>Base_MPP1_2_8</t>
  </si>
  <si>
    <t>Base_MPP1_2_9_fixed</t>
  </si>
  <si>
    <t>Base_MPP1_2_9_free</t>
  </si>
  <si>
    <t>Base_MPP1_2_9</t>
  </si>
  <si>
    <t>Base_MPP1_2_10_fixed</t>
  </si>
  <si>
    <t>Base_MPP1_2_10_free</t>
  </si>
  <si>
    <t>Base_MPP1_2_10</t>
  </si>
  <si>
    <t>Base_MPP1_2_11_fixed</t>
  </si>
  <si>
    <t>Base_MPP1_2_11</t>
  </si>
  <si>
    <t>Base_MPP1_2_12_fixed</t>
  </si>
  <si>
    <t>Base_MPP1_2_12_free</t>
  </si>
  <si>
    <t>Base_MPP1_2_12</t>
  </si>
  <si>
    <t>Base_MPP1_2_13_fixed</t>
  </si>
  <si>
    <t>Base_MPP1_2_13_free</t>
  </si>
  <si>
    <t>Base_MPP1_2_13</t>
  </si>
  <si>
    <t>Base_MPP1_2_14_fixed</t>
  </si>
  <si>
    <t>Base_MPP1_2_14_free</t>
  </si>
  <si>
    <t>Base_MPP1_2_14</t>
  </si>
  <si>
    <t>Base_MPP1_2_15_fixed</t>
  </si>
  <si>
    <t>Base_MPP1_2_15_free</t>
  </si>
  <si>
    <t>Base_MPP1_2_15</t>
  </si>
  <si>
    <t>Base_MPP1_2_16_fixed</t>
  </si>
  <si>
    <t>Base_MPP1_2_16_free</t>
  </si>
  <si>
    <t>Base_MPP1_2_16</t>
  </si>
  <si>
    <t>Base_MPP1_2_17_fixed</t>
  </si>
  <si>
    <t>Base_MPP1_2_17_free</t>
  </si>
  <si>
    <t>Base_MPP1_2_17</t>
  </si>
  <si>
    <t>Base_MPP1_2_18_fixed</t>
  </si>
  <si>
    <t>Base_MPP1_2_18_free</t>
  </si>
  <si>
    <t>Base_MPP1_2_18</t>
  </si>
  <si>
    <t>Base_MPP1_2_19_fixed</t>
  </si>
  <si>
    <t>Base_MPP1_2_19_free</t>
  </si>
  <si>
    <t>Base_MPP1_2_19</t>
  </si>
  <si>
    <t>Base_MPP1_2_20_fixed</t>
  </si>
  <si>
    <t>Base_MPP1_2_20_free</t>
  </si>
  <si>
    <t>Base_MPP1_2_20</t>
  </si>
  <si>
    <t>Base_MPP1_2_21_fixed</t>
  </si>
  <si>
    <t>Base_MPP1_2_21_free</t>
  </si>
  <si>
    <t>Base_MPP1_2_21</t>
  </si>
  <si>
    <t>Base_MPP1_3_1_fixed</t>
  </si>
  <si>
    <t>Base_MPP1_3_1_free</t>
  </si>
  <si>
    <t>Base_MPP1_3_1</t>
  </si>
  <si>
    <t>Base_MPP1_3_2_fixed</t>
  </si>
  <si>
    <t>Base_MPP1_3_2_free</t>
  </si>
  <si>
    <t>Base_MPP1_3_2</t>
  </si>
  <si>
    <t>Base_MPP1_3_3_fixed</t>
  </si>
  <si>
    <t>Base_MPP1_3_3_free</t>
  </si>
  <si>
    <t>Base_MPP1_3_3</t>
  </si>
  <si>
    <t>Base_MPP1_3_4_fixed</t>
  </si>
  <si>
    <t>Base_MPP1_3_4_free</t>
  </si>
  <si>
    <t>Base_MPP1_3_4</t>
  </si>
  <si>
    <t>Base_MPP1_3_5_fixed</t>
  </si>
  <si>
    <t>Base_MPP1_3_5_free</t>
  </si>
  <si>
    <t>Base_MPP1_3_5</t>
  </si>
  <si>
    <t>Base_MPP1_3_6_fixed</t>
  </si>
  <si>
    <t>Base_MPP1_3_6_free</t>
  </si>
  <si>
    <t>Base_MPP1_3_6</t>
  </si>
  <si>
    <t>Base_MPP1_3_7_fixed</t>
  </si>
  <si>
    <t>Base_MPP1_3_7_free</t>
  </si>
  <si>
    <t>Base_MPP1_3_7</t>
  </si>
  <si>
    <t>Base_MPP1_3_8_fixed</t>
  </si>
  <si>
    <t>Base_MPP1_3_8_free</t>
  </si>
  <si>
    <t>Base_MPP1_3_8</t>
  </si>
  <si>
    <t>Base_MPP1_3_9_fixed</t>
  </si>
  <si>
    <t>Base_MPP1_3_9_free</t>
  </si>
  <si>
    <t>Base_MPP1_3_9</t>
  </si>
  <si>
    <t>Base_MPP1_3_10_fixed</t>
  </si>
  <si>
    <t>Base_MPP1_3_10_free</t>
  </si>
  <si>
    <t>Base_MPP1_3_10</t>
  </si>
  <si>
    <t>Base_MPP1_3_11_fixed</t>
  </si>
  <si>
    <t>Base_MPP1_3_11_free</t>
  </si>
  <si>
    <t>Base_MPP1_3_11</t>
  </si>
  <si>
    <t>Base_MPP1_3_12_fixed</t>
  </si>
  <si>
    <t>Base_MPP1_3_12_free</t>
  </si>
  <si>
    <t>Base_MPP1_3_12</t>
  </si>
  <si>
    <t>Base_MPP1_3_13_fixed</t>
  </si>
  <si>
    <t>Base_MPP1_3_13_free</t>
  </si>
  <si>
    <t>Base_MPP1_3_13</t>
  </si>
  <si>
    <t>Base_MPP1_3_14_fixed</t>
  </si>
  <si>
    <t>Base_MPP1_3_14_free</t>
  </si>
  <si>
    <t>Base_MPP1_3_14</t>
  </si>
  <si>
    <t>Base_MPP1_3_15_fixed</t>
  </si>
  <si>
    <t>Base_MPP1_3_15_free</t>
  </si>
  <si>
    <t>Base_MPP1_3_15</t>
  </si>
  <si>
    <t>Base_MPP1_3_16_fixed</t>
  </si>
  <si>
    <t>Base_MPP1_3_16_free</t>
  </si>
  <si>
    <t>Base_MPP1_3_16</t>
  </si>
  <si>
    <t>Base_MPP1_3_17_fixed</t>
  </si>
  <si>
    <t>Base_MPP1_3_17_free</t>
  </si>
  <si>
    <t>Base_MPP1_3_17</t>
  </si>
  <si>
    <t>Base_MPP1_3_18_fixed</t>
  </si>
  <si>
    <t>Base_MPP1_3_18_free</t>
  </si>
  <si>
    <t>Base_MPP1_3_18</t>
  </si>
  <si>
    <t>Base_MPP1_3_19_fixed</t>
  </si>
  <si>
    <t>Base_MPP1_3_19_free</t>
  </si>
  <si>
    <t>Base_MPP1_3_19</t>
  </si>
  <si>
    <t>Base_MPP1_3_20_fixed</t>
  </si>
  <si>
    <t>Base_MPP1_3_20_free</t>
  </si>
  <si>
    <t>Base_MPP1_3_20</t>
  </si>
  <si>
    <t>Base_MPP1_3_21_fixed</t>
  </si>
  <si>
    <t>Base_MPP1_3_21_free</t>
  </si>
  <si>
    <t>Base_MPP1_3_21</t>
  </si>
  <si>
    <t>Base_MPP4_1_2_fixed</t>
  </si>
  <si>
    <t>Base_MPP4_1_2_free</t>
  </si>
  <si>
    <t>Base_MPP4_1_2</t>
  </si>
  <si>
    <t>Base_MPP4_1_3_fixed</t>
  </si>
  <si>
    <t>Base_MPP4_1_3_free</t>
  </si>
  <si>
    <t>Base_MPP4_1_3</t>
  </si>
  <si>
    <t>Base_MPP4_1_4_fixed</t>
  </si>
  <si>
    <t>Base_MPP4_1_4_free</t>
  </si>
  <si>
    <t>Base_MPP4_1_4</t>
  </si>
  <si>
    <t>Base_MPP4_1_5_fixed</t>
  </si>
  <si>
    <t>Base_MPP4_1_5_free</t>
  </si>
  <si>
    <t>Base_MPP4_1_5</t>
  </si>
  <si>
    <t>Base_MPP4_1_6_fixed</t>
  </si>
  <si>
    <t>Base_MPP4_1_6_free</t>
  </si>
  <si>
    <t>Base_MPP4_1_6</t>
  </si>
  <si>
    <t>Base_MPP4_1_7_fixed</t>
  </si>
  <si>
    <t>Base_MPP4_1_7_free</t>
  </si>
  <si>
    <t>Base_MPP4_1_7</t>
  </si>
  <si>
    <t>Base_MPP4_1_8_fixed</t>
  </si>
  <si>
    <t>Base_MPP4_1_8_free</t>
  </si>
  <si>
    <t>Base_MPP4_1_8</t>
  </si>
  <si>
    <t>Base_MPP4_1_9_fixed</t>
  </si>
  <si>
    <t>Base_MPP4_1_9_free</t>
  </si>
  <si>
    <t>Base_MPP4_1_9</t>
  </si>
  <si>
    <t>Base_MPP4_1_10_fixed</t>
  </si>
  <si>
    <t>Base_MPP4_1_10_free</t>
  </si>
  <si>
    <t>Base_MPP4_1_10</t>
  </si>
  <si>
    <t>Base_MPP4_1_11_fixed</t>
  </si>
  <si>
    <t>Base_MPP4_1_11_free</t>
  </si>
  <si>
    <t>Base_MPP4_1_11</t>
  </si>
  <si>
    <t>Base_MPP4_1_12_fixed</t>
  </si>
  <si>
    <t>Base_MPP4_1_12_free</t>
  </si>
  <si>
    <t>Base_MPP4_1_12</t>
  </si>
  <si>
    <t>Base_MPP4_1_13_fixed</t>
  </si>
  <si>
    <t>Base_MPP4_1_13_free</t>
  </si>
  <si>
    <t>Base_MPP4_1_13</t>
  </si>
  <si>
    <t>Base_MPP4_1_14_fixed</t>
  </si>
  <si>
    <t>Base_MPP4_1_14_free</t>
  </si>
  <si>
    <t>Base_MPP4_1_14</t>
  </si>
  <si>
    <t>Base_MPP4_1_15_fixed</t>
  </si>
  <si>
    <t>Base_MPP4_1_15_free</t>
  </si>
  <si>
    <t>Base_MPP4_1_15</t>
  </si>
  <si>
    <t>Base_MPP4_1_16_fixed</t>
  </si>
  <si>
    <t>Base_MPP4_1_16_free</t>
  </si>
  <si>
    <t>Base_MPP4_1_16</t>
  </si>
  <si>
    <t>Base_MPP4_1_17_fixed</t>
  </si>
  <si>
    <t>Base_MPP4_1_17_free</t>
  </si>
  <si>
    <t>Base_MPP4_1_17</t>
  </si>
  <si>
    <t>Base_MPP4_1_18_fixed</t>
  </si>
  <si>
    <t>Base_MPP4_1_18_free</t>
  </si>
  <si>
    <t>Base_MPP4_1_18</t>
  </si>
  <si>
    <t>Base_MPP4_1_19_fixed</t>
  </si>
  <si>
    <t>Base_MPP4_1_19_free</t>
  </si>
  <si>
    <t>Base_MPP4_1_19</t>
  </si>
  <si>
    <t>Base_MPP4_1_20_fixed</t>
  </si>
  <si>
    <t>Base_MPP4_1_20_free</t>
  </si>
  <si>
    <t>Base_MPP4_1_20</t>
  </si>
  <si>
    <t>Base_MPP4_1_21_fixed</t>
  </si>
  <si>
    <t>Base_MPP4_1_21_free</t>
  </si>
  <si>
    <t>Base_MPP4_1_21</t>
  </si>
  <si>
    <t>Base_MPP4_2_1_fixed</t>
  </si>
  <si>
    <t>Base_MPP4_2_1_free</t>
  </si>
  <si>
    <t>Base_MPP4_2_1</t>
  </si>
  <si>
    <t>Base_MPP4_2_2_fixed</t>
  </si>
  <si>
    <t>Base_MPP4_2_2_free</t>
  </si>
  <si>
    <t>Base_MPP4_2_2</t>
  </si>
  <si>
    <t>Base_MPP4_2_3_fixed</t>
  </si>
  <si>
    <t>Base_MPP4_2_3_free</t>
  </si>
  <si>
    <t>Base_MPP4_2_3</t>
  </si>
  <si>
    <t>Base_MPP4_2_4_fixed</t>
  </si>
  <si>
    <t>Base_MPP4_2_4_free</t>
  </si>
  <si>
    <t>Base_MPP4_2_4</t>
  </si>
  <si>
    <t>Base_MPP4_2_5_fixed</t>
  </si>
  <si>
    <t>Base_MPP4_2_5_free</t>
  </si>
  <si>
    <t>Base_MPP4_2_5</t>
  </si>
  <si>
    <t>Base_MPP4_2_6_fixed</t>
  </si>
  <si>
    <t>Base_MPP4_2_6_free</t>
  </si>
  <si>
    <t>Base_MPP4_2_6</t>
  </si>
  <si>
    <t>Base_MPP4_2_7_fixed</t>
  </si>
  <si>
    <t>Base_MPP4_2_7_free</t>
  </si>
  <si>
    <t>Base_MPP4_2_7</t>
  </si>
  <si>
    <t>Base_MPP4_2_8_fixed</t>
  </si>
  <si>
    <t>Base_MPP4_2_8_free</t>
  </si>
  <si>
    <t>Base_MPP4_2_8</t>
  </si>
  <si>
    <t>Base_MPP4_2_9_fixed</t>
  </si>
  <si>
    <t>Base_MPP4_2_9_free</t>
  </si>
  <si>
    <t>Base_MPP4_2_9</t>
  </si>
  <si>
    <t>Base_MPP4_2_10_fixed</t>
  </si>
  <si>
    <t>Base_MPP4_2_10_free</t>
  </si>
  <si>
    <t>Base_MPP4_2_10</t>
  </si>
  <si>
    <t>Base_MPP4_2_11_fixed</t>
  </si>
  <si>
    <t>Base_MPP4_2_11</t>
  </si>
  <si>
    <t>Base_MPP4_2_12_fixed</t>
  </si>
  <si>
    <t>Base_MPP4_2_12_free</t>
  </si>
  <si>
    <t>Base_MPP4_2_12</t>
  </si>
  <si>
    <t>Base_MPP4_2_13_fixed</t>
  </si>
  <si>
    <t>Base_MPP4_2_13_free</t>
  </si>
  <si>
    <t>Base_MPP4_2_13</t>
  </si>
  <si>
    <t>Base_MPP4_2_14_fixed</t>
  </si>
  <si>
    <t>Base_MPP4_2_14_free</t>
  </si>
  <si>
    <t>Base_MPP4_2_14</t>
  </si>
  <si>
    <t>Base_MPP4_2_15_fixed</t>
  </si>
  <si>
    <t>Base_MPP4_2_15_free</t>
  </si>
  <si>
    <t>Base_MPP4_2_15</t>
  </si>
  <si>
    <t>Base_MPP4_2_16_fixed</t>
  </si>
  <si>
    <t>Base_MPP4_2_16_free</t>
  </si>
  <si>
    <t>Base_MPP4_2_16</t>
  </si>
  <si>
    <t>Base_MPP4_2_17_fixed</t>
  </si>
  <si>
    <t>Base_MPP4_2_17_free</t>
  </si>
  <si>
    <t>Base_MPP4_2_17</t>
  </si>
  <si>
    <t>Base_MPP4_2_18_fixed</t>
  </si>
  <si>
    <t>Base_MPP4_2_18_free</t>
  </si>
  <si>
    <t>Base_MPP4_2_18</t>
  </si>
  <si>
    <t>Base_MPP4_2_19_fixed</t>
  </si>
  <si>
    <t>Base_MPP4_2_19_free</t>
  </si>
  <si>
    <t>Base_MPP4_2_19</t>
  </si>
  <si>
    <t>Base_MPP4_2_20_fixed</t>
  </si>
  <si>
    <t>Base_MPP4_2_20_free</t>
  </si>
  <si>
    <t>Base_MPP4_2_20</t>
  </si>
  <si>
    <t>Base_MPP4_2_21_fixed</t>
  </si>
  <si>
    <t>Base_MPP4_2_21_free</t>
  </si>
  <si>
    <t>Base_MPP4_2_21</t>
  </si>
  <si>
    <t>Base_MPP4_3_1_fixed</t>
  </si>
  <si>
    <t>Base_MPP4_3_1_free</t>
  </si>
  <si>
    <t>Base_MPP4_3_1</t>
  </si>
  <si>
    <t>Base_MPP4_3_2_fixed</t>
  </si>
  <si>
    <t>Base_MPP4_3_2_free</t>
  </si>
  <si>
    <t>Base_MPP4_3_2</t>
  </si>
  <si>
    <t>Base_MPP4_3_3_fixed</t>
  </si>
  <si>
    <t>Base_MPP4_3_3_free</t>
  </si>
  <si>
    <t>Base_MPP4_3_3</t>
  </si>
  <si>
    <t>Base_MPP4_3_4_fixed</t>
  </si>
  <si>
    <t>Base_MPP4_3_4_free</t>
  </si>
  <si>
    <t>Base_MPP4_3_4</t>
  </si>
  <si>
    <t>Base_MPP4_3_5_fixed</t>
  </si>
  <si>
    <t>Base_MPP4_3_5_free</t>
  </si>
  <si>
    <t>Base_MPP4_3_5</t>
  </si>
  <si>
    <t>Base_MPP4_3_6_fixed</t>
  </si>
  <si>
    <t>Base_MPP4_3_6_free</t>
  </si>
  <si>
    <t>Base_MPP4_3_6</t>
  </si>
  <si>
    <t>Base_MPP4_3_7_fixed</t>
  </si>
  <si>
    <t>Base_MPP4_3_7_free</t>
  </si>
  <si>
    <t>Base_MPP4_3_7</t>
  </si>
  <si>
    <t>Base_MPP4_3_8_fixed</t>
  </si>
  <si>
    <t>Base_MPP4_3_8_free</t>
  </si>
  <si>
    <t>Base_MPP4_3_8</t>
  </si>
  <si>
    <t>Base_MPP4_3_9_fixed</t>
  </si>
  <si>
    <t>Base_MPP4_3_9_free</t>
  </si>
  <si>
    <t>Base_MPP4_3_9</t>
  </si>
  <si>
    <t>Base_MPP4_3_10_fixed</t>
  </si>
  <si>
    <t>Base_MPP4_3_10_free</t>
  </si>
  <si>
    <t>Base_MPP4_3_10</t>
  </si>
  <si>
    <t>Base_MPP4_3_11_fixed</t>
  </si>
  <si>
    <t>Base_MPP4_3_11_free</t>
  </si>
  <si>
    <t>Base_MPP4_3_11</t>
  </si>
  <si>
    <t>Base_MPP4_3_12_fixed</t>
  </si>
  <si>
    <t>Base_MPP4_3_12_free</t>
  </si>
  <si>
    <t>Base_MPP4_3_12</t>
  </si>
  <si>
    <t>Base_MPP4_3_13_fixed</t>
  </si>
  <si>
    <t>Base_MPP4_3_13_free</t>
  </si>
  <si>
    <t>Base_MPP4_3_13</t>
  </si>
  <si>
    <t>Base_MPP4_3_14_fixed</t>
  </si>
  <si>
    <t>Base_MPP4_3_14_free</t>
  </si>
  <si>
    <t>Base_MPP4_3_14</t>
  </si>
  <si>
    <t>Base_MPP4_3_15_fixed</t>
  </si>
  <si>
    <t>Base_MPP4_3_15_free</t>
  </si>
  <si>
    <t>Base_MPP4_3_15</t>
  </si>
  <si>
    <t>Base_MPP4_3_16_fixed</t>
  </si>
  <si>
    <t>Base_MPP4_3_16_free</t>
  </si>
  <si>
    <t>Base_MPP4_3_16</t>
  </si>
  <si>
    <t>Base_MPP4_3_17_fixed</t>
  </si>
  <si>
    <t>Base_MPP4_3_17_free</t>
  </si>
  <si>
    <t>Base_MPP4_3_17</t>
  </si>
  <si>
    <t>Base_MPP4_3_18_fixed</t>
  </si>
  <si>
    <t>Base_MPP4_3_18_free</t>
  </si>
  <si>
    <t>Base_MPP4_3_18</t>
  </si>
  <si>
    <t>Base_MPP4_3_19_fixed</t>
  </si>
  <si>
    <t>Base_MPP4_3_19_free</t>
  </si>
  <si>
    <t>Base_MPP4_3_19</t>
  </si>
  <si>
    <t>Base_MPP4_3_20_fixed</t>
  </si>
  <si>
    <t>Base_MPP4_3_20_free</t>
  </si>
  <si>
    <t>Base_MPP4_3_20</t>
  </si>
  <si>
    <t>Base_MPP4_3_21_fixed</t>
  </si>
  <si>
    <t>Base_MPP4_3_21_free</t>
  </si>
  <si>
    <t>Base_MPP4_3_21</t>
  </si>
  <si>
    <t>Base_CCLT_1_2_fixed</t>
  </si>
  <si>
    <t>Base_CCLT_1_2_free</t>
  </si>
  <si>
    <t>Base_CCLT_1_2</t>
  </si>
  <si>
    <t>Base_CCLT_1_3_fixed</t>
  </si>
  <si>
    <t>Base_CCLT_1_3_free</t>
  </si>
  <si>
    <t>Base_CCLT_1_3</t>
  </si>
  <si>
    <t>Base_CCLT_2_1_fixed</t>
  </si>
  <si>
    <t>Base_CCLT_2_1_free</t>
  </si>
  <si>
    <t>Base_CCLT_2_1</t>
  </si>
  <si>
    <t>Base_CCLT_2_2_fixed</t>
  </si>
  <si>
    <t>Base_CCLT_2_2_free</t>
  </si>
  <si>
    <t>Base_CCLT_2_2</t>
  </si>
  <si>
    <t>Base_CCLT_2_3_fixed</t>
  </si>
  <si>
    <t>Base_CCLT_2_3_free</t>
  </si>
  <si>
    <t>Base_CCLT_2_3</t>
  </si>
  <si>
    <t>Base_CCLT_3_1_fixed</t>
  </si>
  <si>
    <t>Base_CCLT_3_1_free</t>
  </si>
  <si>
    <t>Base_CCLT_3_1</t>
  </si>
  <si>
    <t>Base_CCLT_3_2_fixed</t>
  </si>
  <si>
    <t>Base_CCLT_3_2_free</t>
  </si>
  <si>
    <t>Base_CCLT_3_2</t>
  </si>
  <si>
    <t>Base_CCLT_3_3_fixed</t>
  </si>
  <si>
    <t>Base_CCLT_3_3_free</t>
  </si>
  <si>
    <t>Base_CCLT_3_3</t>
  </si>
  <si>
    <t>Base_CCLT_4_1_fixed</t>
  </si>
  <si>
    <t>Base_CCLT_4_1_free</t>
  </si>
  <si>
    <t>Base_CCLT_4_1</t>
  </si>
  <si>
    <t>Base_CCLT_4_2_fixed</t>
  </si>
  <si>
    <t>Base_CCLT_4_2_free</t>
  </si>
  <si>
    <t>Base_CCLT_4_2</t>
  </si>
  <si>
    <t>Base_CCLT_4_3_fixed</t>
  </si>
  <si>
    <t>Base_CCLT_4_3_free</t>
  </si>
  <si>
    <t>Base_CCLT_4_3</t>
  </si>
  <si>
    <t>Base_CCLT_5_1_fixed</t>
  </si>
  <si>
    <t>Base_CCLT_5_1_free</t>
  </si>
  <si>
    <t>Base_CCLT_5_1</t>
  </si>
  <si>
    <t>Base_CCLT_5_2_fixed</t>
  </si>
  <si>
    <t>Base_CCLT_5_2_free</t>
  </si>
  <si>
    <t>Base_CCLT_5_2</t>
  </si>
  <si>
    <t>Base_CCLT_5_3_fixed</t>
  </si>
  <si>
    <t>Base_CCLT_5_3_free</t>
  </si>
  <si>
    <t>Base_CCLT_5_3</t>
  </si>
  <si>
    <t>Base_CCLT_6_1_fixed</t>
  </si>
  <si>
    <t>Base_CCLT_6_1_free</t>
  </si>
  <si>
    <t>Base_CCLT_6_1</t>
  </si>
  <si>
    <t>Base_CCLT_6_2_fixed</t>
  </si>
  <si>
    <t>Base_CCLT_6_2_free</t>
  </si>
  <si>
    <t>Base_CCLT_6_2</t>
  </si>
  <si>
    <t>Base_CCLT_6_3_fixed</t>
  </si>
  <si>
    <t>Base_CCLT_6_3_free</t>
  </si>
  <si>
    <t>Base_CCLT_6_3</t>
  </si>
  <si>
    <t>Base_CCLT_7_1_fixed</t>
  </si>
  <si>
    <t>Base_CCLT_7_1_free</t>
  </si>
  <si>
    <t>Base_CCLT_7_1</t>
  </si>
  <si>
    <t>Base_CCLT_7_2_fixed</t>
  </si>
  <si>
    <t>Base_CCLT_7_2_free</t>
  </si>
  <si>
    <t>Base_CCLT_7_2</t>
  </si>
  <si>
    <t>Base_CCLT_7_3_fixed</t>
  </si>
  <si>
    <t>Base_CCLT_7_3_free</t>
  </si>
  <si>
    <t>Base_CCLT_7_3</t>
  </si>
  <si>
    <t>Base_CCLT_8_1_fixed</t>
  </si>
  <si>
    <t>Base_CCLT_8_1_free</t>
  </si>
  <si>
    <t>Base_CCLT_8_1</t>
  </si>
  <si>
    <t>Base_CCLT_8_2_fixed</t>
  </si>
  <si>
    <t>Base_CCLT_8_2_free</t>
  </si>
  <si>
    <t>Base_CCLT_8_2</t>
  </si>
  <si>
    <t>Base_CCLT_8_3_fixed</t>
  </si>
  <si>
    <t>Base_CCLT_8_3_free</t>
  </si>
  <si>
    <t>Base_CCLT_8_3</t>
  </si>
  <si>
    <t>Base_CCLT_9_1_fixed</t>
  </si>
  <si>
    <t>Base_CCLT_9_1_free</t>
  </si>
  <si>
    <t>Base_CCLT_9_1</t>
  </si>
  <si>
    <t>Base_CCLT_9_2_fixed</t>
  </si>
  <si>
    <t>Base_CCLT_9_2_free</t>
  </si>
  <si>
    <t>Base_CCLT_9_2</t>
  </si>
  <si>
    <t>Base_CCLT_9_3_fixed</t>
  </si>
  <si>
    <t>Base_CCLT_9_3_free</t>
  </si>
  <si>
    <t>Base_CCLT_9_3</t>
  </si>
  <si>
    <t>Base_CCLT_10_1_fixed</t>
  </si>
  <si>
    <t>Base_CCLT_10_1_free</t>
  </si>
  <si>
    <t>Base_CCLT_10_1</t>
  </si>
  <si>
    <t>Base_CCLT_10_2_fixed</t>
  </si>
  <si>
    <t>Base_CCLT_10_2_free</t>
  </si>
  <si>
    <t>Base_CCLT_10_2</t>
  </si>
  <si>
    <t>Base_CCLT_10_3_fixed</t>
  </si>
  <si>
    <t>Base_CCLT_10_3_free</t>
  </si>
  <si>
    <t>Base_CCLT_10_3</t>
  </si>
  <si>
    <t>Base_CCLT_11_1_fixed</t>
  </si>
  <si>
    <t>Base_CCLT_11_1_free</t>
  </si>
  <si>
    <t>Base_CCLT_11_1</t>
  </si>
  <si>
    <t>Base_CCLT_11_2_fixed</t>
  </si>
  <si>
    <t>Base_CCLT_11_2</t>
  </si>
  <si>
    <t>Base_CCLT_11_3_fixed</t>
  </si>
  <si>
    <t>Base_CCLT_11_3_free</t>
  </si>
  <si>
    <t>Base_CCLT_11_3</t>
  </si>
  <si>
    <t>Base_CCLT_12_1_fixed</t>
  </si>
  <si>
    <t>Base_CCLT_12_1_free</t>
  </si>
  <si>
    <t>Base_CCLT_12_1</t>
  </si>
  <si>
    <t>Base_CCLT_12_2_fixed</t>
  </si>
  <si>
    <t>Base_CCLT_12_2_free</t>
  </si>
  <si>
    <t>Base_CCLT_12_2</t>
  </si>
  <si>
    <t>Base_CCLT_12_3_fixed</t>
  </si>
  <si>
    <t>Base_CCLT_12_3_free</t>
  </si>
  <si>
    <t>Base_CCLT_12_3</t>
  </si>
  <si>
    <t>Base_CCLT_13_1_fixed</t>
  </si>
  <si>
    <t>Base_CCLT_13_1_free</t>
  </si>
  <si>
    <t>Base_CCLT_13_1</t>
  </si>
  <si>
    <t>Base_CCLT_13_2_fixed</t>
  </si>
  <si>
    <t>Base_CCLT_13_2_free</t>
  </si>
  <si>
    <t>Base_CCLT_13_2</t>
  </si>
  <si>
    <t>Base_CCLT_13_3_fixed</t>
  </si>
  <si>
    <t>Base_CCLT_13_3_free</t>
  </si>
  <si>
    <t>Base_CCLT_13_3</t>
  </si>
  <si>
    <t>Base_CCLT_14_1_fixed</t>
  </si>
  <si>
    <t>Base_CCLT_14_1_free</t>
  </si>
  <si>
    <t>Base_CCLT_14_1</t>
  </si>
  <si>
    <t>Base_CCLT_14_2_fixed</t>
  </si>
  <si>
    <t>Base_CCLT_14_2_free</t>
  </si>
  <si>
    <t>Base_CCLT_14_2</t>
  </si>
  <si>
    <t>Base_CCLT_14_3_fixed</t>
  </si>
  <si>
    <t>Base_CCLT_14_3_free</t>
  </si>
  <si>
    <t>Base_CCLT_14_3</t>
  </si>
  <si>
    <t>Base_CCLT_15_1_fixed</t>
  </si>
  <si>
    <t>Base_CCLT_15_1_free</t>
  </si>
  <si>
    <t>Base_CCLT_15_1</t>
  </si>
  <si>
    <t>Base_CCLT_15_2_fixed</t>
  </si>
  <si>
    <t>Base_CCLT_15_2_free</t>
  </si>
  <si>
    <t>Base_CCLT_15_2</t>
  </si>
  <si>
    <t>Base_CCLT_15_3_fixed</t>
  </si>
  <si>
    <t>Base_CCLT_15_3_free</t>
  </si>
  <si>
    <t>Base_CCLT_15_3</t>
  </si>
  <si>
    <t>Base_CCLT_16_1_fixed</t>
  </si>
  <si>
    <t>Base_CCLT_16_1_free</t>
  </si>
  <si>
    <t>Base_CCLT_16_1</t>
  </si>
  <si>
    <t>Base_CCLT_16_2_fixed</t>
  </si>
  <si>
    <t>Base_CCLT_16_2_free</t>
  </si>
  <si>
    <t>Base_CCLT_16_2</t>
  </si>
  <si>
    <t>Base_CCLT_16_3_fixed</t>
  </si>
  <si>
    <t>Base_CCLT_16_3_free</t>
  </si>
  <si>
    <t>Base_CCLT_16_3</t>
  </si>
  <si>
    <t>Base_CCLT_17_1_fixed</t>
  </si>
  <si>
    <t>Base_CCLT_17_1_free</t>
  </si>
  <si>
    <t>Base_CCLT_17_1</t>
  </si>
  <si>
    <t>Base_CCLT_17_2_fixed</t>
  </si>
  <si>
    <t>Base_CCLT_17_2_free</t>
  </si>
  <si>
    <t>Base_CCLT_17_2</t>
  </si>
  <si>
    <t>Base_CCLT_17_3_fixed</t>
  </si>
  <si>
    <t>Base_CCLT_17_3_free</t>
  </si>
  <si>
    <t>Base_CCLT_17_3</t>
  </si>
  <si>
    <t>Base_CCLT_18_1_fixed</t>
  </si>
  <si>
    <t>Base_CCLT_18_1_free</t>
  </si>
  <si>
    <t>Base_CCLT_18_1</t>
  </si>
  <si>
    <t>Base_CCLT_18_2_fixed</t>
  </si>
  <si>
    <t>Base_CCLT_18_2_free</t>
  </si>
  <si>
    <t>Base_CCLT_18_2</t>
  </si>
  <si>
    <t>Base_CCLT_18_3_fixed</t>
  </si>
  <si>
    <t>Base_CCLT_18_3_free</t>
  </si>
  <si>
    <t>Base_CCLT_18_3</t>
  </si>
  <si>
    <t>Base_CCLT_19_1_fixed</t>
  </si>
  <si>
    <t>Base_CCLT_19_1_free</t>
  </si>
  <si>
    <t>Base_CCLT_19_1</t>
  </si>
  <si>
    <t>Base_CCLT_19_2_fixed</t>
  </si>
  <si>
    <t>Base_CCLT_19_2_free</t>
  </si>
  <si>
    <t>Base_CCLT_19_2</t>
  </si>
  <si>
    <t>Base_CCLT_19_3_fixed</t>
  </si>
  <si>
    <t>Base_CCLT_19_3_free</t>
  </si>
  <si>
    <t>Base_CCLT_19_3</t>
  </si>
  <si>
    <t>Base_CCLT_20_1_fixed</t>
  </si>
  <si>
    <t>Base_CCLT_20_1_free</t>
  </si>
  <si>
    <t>Base_CCLT_20_1</t>
  </si>
  <si>
    <t>Base_CCLT_20_2_fixed</t>
  </si>
  <si>
    <t>Base_CCLT_20_2_free</t>
  </si>
  <si>
    <t>Base_CCLT_20_2</t>
  </si>
  <si>
    <t>Base_CCLT_20_3_fixed</t>
  </si>
  <si>
    <t>Base_CCLT_20_3_free</t>
  </si>
  <si>
    <t>Base_CCLT_20_3</t>
  </si>
  <si>
    <t>Base_CCLT_21_1_fixed</t>
  </si>
  <si>
    <t>Base_CCLT_21_1_free</t>
  </si>
  <si>
    <t>Base_CCLT_21_1</t>
  </si>
  <si>
    <t>Base_CCLT_21_2_fixed</t>
  </si>
  <si>
    <t>Base_CCLT_21_2_free</t>
  </si>
  <si>
    <t>Base_CCLT_21_2</t>
  </si>
  <si>
    <t>Base_CCLT_21_3_fixed</t>
  </si>
  <si>
    <t>Base_CCLT_21_3_free</t>
  </si>
  <si>
    <t>Base_CCLT_21_3</t>
  </si>
  <si>
    <t>Base_ACLT_1_1_link</t>
  </si>
  <si>
    <t>Base_ACLT_1_2_link</t>
  </si>
  <si>
    <t>Base_ACLT_1_3_link</t>
  </si>
  <si>
    <t>Base_ACLT_2_1_link</t>
  </si>
  <si>
    <t>Base_ACLT_2_2_link</t>
  </si>
  <si>
    <t>Base_ACLT_2_3_link</t>
  </si>
  <si>
    <t>Base_ACLT_3_1_link</t>
  </si>
  <si>
    <t>Base_ACLT_3_2_link</t>
  </si>
  <si>
    <t>Base_ACLT_3_3_link</t>
  </si>
  <si>
    <t>Base_ACLT_4_1_link</t>
  </si>
  <si>
    <t>Base_ACLT_4_2_link</t>
  </si>
  <si>
    <t>Base_ACLT_4_3_link</t>
  </si>
  <si>
    <t>Base_ACLT_5_1_link</t>
  </si>
  <si>
    <t>Base_ACLT_5_2_link</t>
  </si>
  <si>
    <t>Base_ACLT_5_3_link</t>
  </si>
  <si>
    <t>Base_ACLT_6_1_link</t>
  </si>
  <si>
    <t>Base_ACLT_6_2_link</t>
  </si>
  <si>
    <t>Base_ACLT_6_3_link</t>
  </si>
  <si>
    <t>Base_ACLT_7_1_link</t>
  </si>
  <si>
    <t>Base_ACLT_7_2_link</t>
  </si>
  <si>
    <t>Base_ACLT_7_3_link</t>
  </si>
  <si>
    <t>Base_ACLT_8_1_link</t>
  </si>
  <si>
    <t>Base_ACLT_8_2_link</t>
  </si>
  <si>
    <t>Base_ACLT_8_3_link</t>
  </si>
  <si>
    <t>Base_ACLT_9_1_link</t>
  </si>
  <si>
    <t>Base_ACLT_9_2_link</t>
  </si>
  <si>
    <t>Base_ACLT_9_3_link</t>
  </si>
  <si>
    <t>Base_ACLT_10_1_link</t>
  </si>
  <si>
    <t>Base_ACLT_10_2_link</t>
  </si>
  <si>
    <t>Base_ACLT_10_3_link</t>
  </si>
  <si>
    <t>Base_ACLT_11_1_link</t>
  </si>
  <si>
    <t>Base_ACLT_11_3_link</t>
  </si>
  <si>
    <t>Base_ACLT_12_1_link</t>
  </si>
  <si>
    <t>Base_ACLT_12_2_link</t>
  </si>
  <si>
    <t>Base_ACLT_12_3_link</t>
  </si>
  <si>
    <t>Base_ACLT_13_1_link</t>
  </si>
  <si>
    <t>Base_ACLT_13_2_link</t>
  </si>
  <si>
    <t>Base_ACLT_13_3_link</t>
  </si>
  <si>
    <t>Base_ACLT_14_1_link</t>
  </si>
  <si>
    <t>Base_ACLT_14_2_link</t>
  </si>
  <si>
    <t>Base_ACLT_14_3_link</t>
  </si>
  <si>
    <t>Base_ACLT_15_1_link</t>
  </si>
  <si>
    <t>Base_ACLT_15_2_link</t>
  </si>
  <si>
    <t>Base_ACLT_15_3_link</t>
  </si>
  <si>
    <t>Base_ACLT_16_1_link</t>
  </si>
  <si>
    <t>Base_ACLT_16_2_link</t>
  </si>
  <si>
    <t>Base_ACLT_16_3_link</t>
  </si>
  <si>
    <t>Base_ACLT_17_1_link</t>
  </si>
  <si>
    <t>Base_ACLT_17_2_link</t>
  </si>
  <si>
    <t>Base_ACLT_17_3_link</t>
  </si>
  <si>
    <t>Base_ACLT_18_1_link</t>
  </si>
  <si>
    <t>Base_ACLT_18_2_link</t>
  </si>
  <si>
    <t>Base_ACLT_18_3_link</t>
  </si>
  <si>
    <t>Base_ACLT_19_1_link</t>
  </si>
  <si>
    <t>Base_ACLT_19_2_link</t>
  </si>
  <si>
    <t>Base_ACLT_19_3_link</t>
  </si>
  <si>
    <t>Base_ACLT_20_1_link</t>
  </si>
  <si>
    <t>Base_ACLT_20_2_link</t>
  </si>
  <si>
    <t>Base_ACLT_20_3_link</t>
  </si>
  <si>
    <t>Base_ACLT_21_1_link</t>
  </si>
  <si>
    <t>Base_ACLT_21_2_link</t>
  </si>
  <si>
    <t>Base_ACLT_21_3_link</t>
  </si>
  <si>
    <t>Base_MPP1_1_1_link</t>
  </si>
  <si>
    <t>Base_MPP1_1_2_link</t>
  </si>
  <si>
    <t>Base_MPP1_1_3_link</t>
  </si>
  <si>
    <t>Base_MPP1_1_4_link</t>
  </si>
  <si>
    <t>Base_MPP1_1_5_link</t>
  </si>
  <si>
    <t>Base_MPP1_1_6_link</t>
  </si>
  <si>
    <t>Base_MPP1_1_7_link</t>
  </si>
  <si>
    <t>Base_MPP1_1_8_link</t>
  </si>
  <si>
    <t>Base_MPP1_1_9_link</t>
  </si>
  <si>
    <t>Base_MPP1_1_10_link</t>
  </si>
  <si>
    <t>Base_MPP1_1_11_link</t>
  </si>
  <si>
    <t>Base_MPP1_1_12_link</t>
  </si>
  <si>
    <t>Base_MPP1_1_13_link</t>
  </si>
  <si>
    <t>Base_MPP1_1_14_link</t>
  </si>
  <si>
    <t>Base_MPP1_1_15_link</t>
  </si>
  <si>
    <t>Base_MPP1_1_16_link</t>
  </si>
  <si>
    <t>Base_MPP1_1_17_link</t>
  </si>
  <si>
    <t>Base_MPP1_1_18_link</t>
  </si>
  <si>
    <t>Base_MPP1_1_19_link</t>
  </si>
  <si>
    <t>Base_MPP1_1_20_link</t>
  </si>
  <si>
    <t>Base_MPP1_1_21_link</t>
  </si>
  <si>
    <t>Base_MPP1_2_1_link</t>
  </si>
  <si>
    <t>Base_MPP1_2_2_link</t>
  </si>
  <si>
    <t>Base_MPP1_2_3_link</t>
  </si>
  <si>
    <t>Base_MPP1_2_4_link</t>
  </si>
  <si>
    <t>Base_MPP1_2_5_link</t>
  </si>
  <si>
    <t>Base_MPP1_2_6_link</t>
  </si>
  <si>
    <t>Base_MPP1_2_7_link</t>
  </si>
  <si>
    <t>Base_MPP1_2_8_link</t>
  </si>
  <si>
    <t>Base_MPP1_2_9_link</t>
  </si>
  <si>
    <t>Base_MPP1_2_10_link</t>
  </si>
  <si>
    <t>Base_MPP1_2_12_link</t>
  </si>
  <si>
    <t>Base_MPP1_2_13_link</t>
  </si>
  <si>
    <t>Base_MPP1_2_14_link</t>
  </si>
  <si>
    <t>Base_MPP1_2_15_link</t>
  </si>
  <si>
    <t>Base_MPP1_2_16_link</t>
  </si>
  <si>
    <t>Base_MPP1_2_17_link</t>
  </si>
  <si>
    <t>Base_MPP1_2_18_link</t>
  </si>
  <si>
    <t>Base_MPP1_2_19_link</t>
  </si>
  <si>
    <t>Base_MPP1_2_20_link</t>
  </si>
  <si>
    <t>Base_MPP1_2_21_link</t>
  </si>
  <si>
    <t>Base_MPP1_3_1_link</t>
  </si>
  <si>
    <t>Base_MPP1_3_2_link</t>
  </si>
  <si>
    <t>Base_MPP1_3_3_link</t>
  </si>
  <si>
    <t>Base_MPP1_3_4_link</t>
  </si>
  <si>
    <t>Base_MPP1_3_5_link</t>
  </si>
  <si>
    <t>Base_MPP1_3_6_link</t>
  </si>
  <si>
    <t>Base_MPP1_3_7_link</t>
  </si>
  <si>
    <t>Base_MPP1_3_8_link</t>
  </si>
  <si>
    <t>Base_MPP1_3_9_link</t>
  </si>
  <si>
    <t>Base_MPP1_3_10_link</t>
  </si>
  <si>
    <t>Base_MPP1_3_11_link</t>
  </si>
  <si>
    <t>Base_MPP1_3_12_link</t>
  </si>
  <si>
    <t>Base_MPP1_3_13_link</t>
  </si>
  <si>
    <t>Base_MPP1_3_14_link</t>
  </si>
  <si>
    <t>Base_MPP1_3_15_link</t>
  </si>
  <si>
    <t>Base_MPP1_3_16_link</t>
  </si>
  <si>
    <t>Base_MPP1_3_17_link</t>
  </si>
  <si>
    <t>Base_MPP1_3_18_link</t>
  </si>
  <si>
    <t>Base_MPP1_3_19_link</t>
  </si>
  <si>
    <t>Base_MPP1_3_20_link</t>
  </si>
  <si>
    <t>Base_MPP1_3_21_link</t>
  </si>
  <si>
    <t>Base_MPP4_1_1_link</t>
  </si>
  <si>
    <t>Base_MPP4_1_2_link</t>
  </si>
  <si>
    <t>Base_MPP4_1_3_link</t>
  </si>
  <si>
    <t>Base_MPP4_1_4_link</t>
  </si>
  <si>
    <t>Base_MPP4_1_5_link</t>
  </si>
  <si>
    <t>Base_MPP4_1_6_link</t>
  </si>
  <si>
    <t>Base_MPP4_1_7_link</t>
  </si>
  <si>
    <t>Base_MPP4_1_8_link</t>
  </si>
  <si>
    <t>Base_MPP4_1_9_link</t>
  </si>
  <si>
    <t>Base_MPP4_1_10_link</t>
  </si>
  <si>
    <t>Base_MPP4_1_11_link</t>
  </si>
  <si>
    <t>Base_MPP4_1_12_link</t>
  </si>
  <si>
    <t>Base_MPP4_1_13_link</t>
  </si>
  <si>
    <t>Base_MPP4_1_14_link</t>
  </si>
  <si>
    <t>Base_MPP4_1_15_link</t>
  </si>
  <si>
    <t>Base_MPP4_1_16_link</t>
  </si>
  <si>
    <t>Base_MPP4_1_17_link</t>
  </si>
  <si>
    <t>Base_MPP4_1_18_link</t>
  </si>
  <si>
    <t>Base_MPP4_1_19_link</t>
  </si>
  <si>
    <t>Base_MPP4_1_20_link</t>
  </si>
  <si>
    <t>Base_MPP4_1_21_link</t>
  </si>
  <si>
    <t>Base_MPP4_2_1_link</t>
  </si>
  <si>
    <t>Base_MPP4_2_2_link</t>
  </si>
  <si>
    <t>Base_MPP4_2_3_link</t>
  </si>
  <si>
    <t>Base_MPP4_2_4_link</t>
  </si>
  <si>
    <t>Base_MPP4_2_5_link</t>
  </si>
  <si>
    <t>Base_MPP4_2_6_link</t>
  </si>
  <si>
    <t>Base_MPP4_2_7_link</t>
  </si>
  <si>
    <t>Base_MPP4_2_8_link</t>
  </si>
  <si>
    <t>Base_MPP4_2_9_link</t>
  </si>
  <si>
    <t>Base_MPP4_2_10_link</t>
  </si>
  <si>
    <t>Base_MPP4_2_12_link</t>
  </si>
  <si>
    <t>Base_MPP4_2_13_link</t>
  </si>
  <si>
    <t>Base_MPP4_2_14_link</t>
  </si>
  <si>
    <t>Base_MPP4_2_15_link</t>
  </si>
  <si>
    <t>Base_MPP4_2_16_link</t>
  </si>
  <si>
    <t>Base_MPP4_2_17_link</t>
  </si>
  <si>
    <t>Base_MPP4_2_18_link</t>
  </si>
  <si>
    <t>Base_MPP4_2_19_link</t>
  </si>
  <si>
    <t>Base_MPP4_2_20_link</t>
  </si>
  <si>
    <t>Base_MPP4_2_21_link</t>
  </si>
  <si>
    <t>Base_MPP4_3_1_link</t>
  </si>
  <si>
    <t>Base_MPP4_3_2_link</t>
  </si>
  <si>
    <t>Base_MPP4_3_3_link</t>
  </si>
  <si>
    <t>Base_MPP4_3_4_link</t>
  </si>
  <si>
    <t>Base_MPP4_3_5_link</t>
  </si>
  <si>
    <t>Base_MPP4_3_6_link</t>
  </si>
  <si>
    <t>Base_MPP4_3_7_link</t>
  </si>
  <si>
    <t>Base_MPP4_3_8_link</t>
  </si>
  <si>
    <t>Base_MPP4_3_9_link</t>
  </si>
  <si>
    <t>Base_MPP4_3_10_link</t>
  </si>
  <si>
    <t>Base_MPP4_3_11_link</t>
  </si>
  <si>
    <t>Base_MPP4_3_12_link</t>
  </si>
  <si>
    <t>Base_MPP4_3_13_link</t>
  </si>
  <si>
    <t>Base_MPP4_3_14_link</t>
  </si>
  <si>
    <t>Base_MPP4_3_15_link</t>
  </si>
  <si>
    <t>Base_MPP4_3_16_link</t>
  </si>
  <si>
    <t>Base_MPP4_3_17_link</t>
  </si>
  <si>
    <t>Base_MPP4_3_18_link</t>
  </si>
  <si>
    <t>Base_MPP4_3_19_link</t>
  </si>
  <si>
    <t>Base_MPP4_3_20_link</t>
  </si>
  <si>
    <t>Base_MPP4_3_21_link</t>
  </si>
  <si>
    <t>Base_CCLT_1_1_link</t>
  </si>
  <si>
    <t>Base_CCLT_1_2_link</t>
  </si>
  <si>
    <t>Base_CCLT_1_3_link</t>
  </si>
  <si>
    <t>Base_CCLT_2_1_link</t>
  </si>
  <si>
    <t>Base_CCLT_2_2_link</t>
  </si>
  <si>
    <t>Base_CCLT_2_3_link</t>
  </si>
  <si>
    <t>Base_CCLT_3_1_link</t>
  </si>
  <si>
    <t>Base_CCLT_3_2_link</t>
  </si>
  <si>
    <t>Base_CCLT_3_3_link</t>
  </si>
  <si>
    <t>Base_CCLT_4_1_link</t>
  </si>
  <si>
    <t>Base_CCLT_4_2_link</t>
  </si>
  <si>
    <t>Base_CCLT_4_3_link</t>
  </si>
  <si>
    <t>Base_CCLT_5_1_link</t>
  </si>
  <si>
    <t>Base_CCLT_5_2_link</t>
  </si>
  <si>
    <t>Base_CCLT_5_3_link</t>
  </si>
  <si>
    <t>Base_CCLT_6_1_link</t>
  </si>
  <si>
    <t>Base_CCLT_6_2_link</t>
  </si>
  <si>
    <t>Base_CCLT_6_3_link</t>
  </si>
  <si>
    <t>Base_CCLT_7_1_link</t>
  </si>
  <si>
    <t>Base_CCLT_7_2_link</t>
  </si>
  <si>
    <t>Base_CCLT_7_3_link</t>
  </si>
  <si>
    <t>Base_CCLT_8_1_link</t>
  </si>
  <si>
    <t>Base_CCLT_8_2_link</t>
  </si>
  <si>
    <t>Base_CCLT_8_3_link</t>
  </si>
  <si>
    <t>Base_CCLT_9_1_link</t>
  </si>
  <si>
    <t>Base_CCLT_9_2_link</t>
  </si>
  <si>
    <t>Base_CCLT_9_3_link</t>
  </si>
  <si>
    <t>Base_CCLT_10_1_link</t>
  </si>
  <si>
    <t>Base_CCLT_10_2_link</t>
  </si>
  <si>
    <t>Base_CCLT_10_3_link</t>
  </si>
  <si>
    <t>Base_CCLT_11_1_link</t>
  </si>
  <si>
    <t>Base_CCLT_11_3_link</t>
  </si>
  <si>
    <t>Base_CCLT_12_1_link</t>
  </si>
  <si>
    <t>Base_CCLT_12_2_link</t>
  </si>
  <si>
    <t>Base_CCLT_12_3_link</t>
  </si>
  <si>
    <t>Base_CCLT_13_1_link</t>
  </si>
  <si>
    <t>Base_CCLT_13_2_link</t>
  </si>
  <si>
    <t>Base_CCLT_13_3_link</t>
  </si>
  <si>
    <t>Base_CCLT_14_1_link</t>
  </si>
  <si>
    <t>Base_CCLT_14_2_link</t>
  </si>
  <si>
    <t>Base_CCLT_14_3_link</t>
  </si>
  <si>
    <t>Base_CCLT_15_1_link</t>
  </si>
  <si>
    <t>Base_CCLT_15_2_link</t>
  </si>
  <si>
    <t>Base_CCLT_15_3_link</t>
  </si>
  <si>
    <t>Base_CCLT_16_1_link</t>
  </si>
  <si>
    <t>Base_CCLT_16_2_link</t>
  </si>
  <si>
    <t>Base_CCLT_16_3_link</t>
  </si>
  <si>
    <t>Base_CCLT_17_1_link</t>
  </si>
  <si>
    <t>Base_CCLT_17_2_link</t>
  </si>
  <si>
    <t>Base_CCLT_17_3_link</t>
  </si>
  <si>
    <t>Base_CCLT_18_1_link</t>
  </si>
  <si>
    <t>Base_CCLT_18_2_link</t>
  </si>
  <si>
    <t>Base_CCLT_18_3_link</t>
  </si>
  <si>
    <t>Base_CCLT_19_1_link</t>
  </si>
  <si>
    <t>Base_CCLT_19_2_link</t>
  </si>
  <si>
    <t>Base_CCLT_19_3_link</t>
  </si>
  <si>
    <t>Base_CCLT_20_1_link</t>
  </si>
  <si>
    <t>Base_CCLT_20_2_link</t>
  </si>
  <si>
    <t>Base_CCLT_20_3_link</t>
  </si>
  <si>
    <t>Base_CCLT_21_1_link</t>
  </si>
  <si>
    <t>Base_CCLT_21_2_link</t>
  </si>
  <si>
    <t>Base_CCLT_21_3_link</t>
  </si>
  <si>
    <t>multiSpring</t>
  </si>
  <si>
    <t>K</t>
  </si>
  <si>
    <t>init_force</t>
  </si>
  <si>
    <t>PT125 CLT</t>
  </si>
  <si>
    <t>PT200 CLT</t>
  </si>
  <si>
    <t>PT125 MPP</t>
  </si>
  <si>
    <t>PT200 MPP</t>
  </si>
  <si>
    <t>PTeff CLT</t>
  </si>
  <si>
    <t>PTeff MPP</t>
  </si>
  <si>
    <t>eleMass</t>
  </si>
  <si>
    <t>GRP:wallN</t>
  </si>
  <si>
    <t>GRP:wallS</t>
  </si>
  <si>
    <t>wX</t>
  </si>
  <si>
    <t>% Gravity Load</t>
  </si>
  <si>
    <t>Command</t>
  </si>
  <si>
    <t>eigen01</t>
  </si>
  <si>
    <t>eigen</t>
  </si>
  <si>
    <t>GRP:wall</t>
  </si>
  <si>
    <t>1,2,3</t>
  </si>
  <si>
    <t>eigen02</t>
  </si>
  <si>
    <t>eigen03</t>
  </si>
  <si>
    <t>eigen04</t>
  </si>
  <si>
    <t>eigen05</t>
  </si>
  <si>
    <t>eigen06</t>
  </si>
  <si>
    <t>eigen07</t>
  </si>
  <si>
    <t>eigen08</t>
  </si>
  <si>
    <t>eigen09</t>
  </si>
  <si>
    <t>WallBase</t>
  </si>
  <si>
    <t>GRP:base support</t>
  </si>
  <si>
    <t>ramp_loadcontrol</t>
  </si>
  <si>
    <t>ramp_dispcontrol</t>
  </si>
  <si>
    <t>ASCE_X</t>
  </si>
  <si>
    <t>ASCE_Y</t>
  </si>
  <si>
    <t>GRP:wall; GRP:base support</t>
  </si>
  <si>
    <t>base_rotation</t>
  </si>
  <si>
    <t>base_moment</t>
  </si>
  <si>
    <t>wall_disp</t>
  </si>
  <si>
    <t>GRP:base</t>
  </si>
  <si>
    <t>multispring_force</t>
  </si>
  <si>
    <t>hystX</t>
  </si>
  <si>
    <t>hystY</t>
  </si>
  <si>
    <t>hysteresis</t>
  </si>
  <si>
    <t>F11_center, Y, 2;4;6;10;15;20;25;30, ASCE_Y</t>
  </si>
  <si>
    <t>wallN_forces</t>
  </si>
  <si>
    <t>wallS_forces</t>
  </si>
  <si>
    <t>CONT:F2Wall; HASNT:_UFP</t>
  </si>
  <si>
    <t>wall_base_forces</t>
  </si>
  <si>
    <t>GRP:UFP</t>
  </si>
  <si>
    <t>defo</t>
  </si>
  <si>
    <t>defoANDforce</t>
  </si>
  <si>
    <t>UFP_force</t>
  </si>
  <si>
    <t>UFP_deformations</t>
  </si>
  <si>
    <t>UFP_FD</t>
  </si>
  <si>
    <t>GRP:PT</t>
  </si>
  <si>
    <t>PT_force</t>
  </si>
  <si>
    <t>PT_globalforces</t>
  </si>
  <si>
    <t>PT_defo</t>
  </si>
  <si>
    <t>F11_center, Y, 100, 0.1, ASCE_Y</t>
  </si>
  <si>
    <t>basicForce</t>
  </si>
  <si>
    <t>initial_stiffness</t>
  </si>
  <si>
    <t>stiffX1</t>
  </si>
  <si>
    <t>stiffY1</t>
  </si>
  <si>
    <t>stiffX2</t>
  </si>
  <si>
    <t>stiffY2</t>
  </si>
  <si>
    <t>X, ASCE_X</t>
  </si>
  <si>
    <t>X, lateralX</t>
  </si>
  <si>
    <t>Y, lateralY</t>
  </si>
  <si>
    <t>Y, ASCE_Y</t>
  </si>
  <si>
    <t>lateralXY</t>
  </si>
  <si>
    <t>base_spring_FD</t>
  </si>
  <si>
    <t>8, 0.2, ASCE_X</t>
  </si>
  <si>
    <t>8, 0.2, ASCE_Y</t>
  </si>
  <si>
    <t>8, 0.25, ASCE_X, ASCE_Y</t>
  </si>
  <si>
    <t>center_accel</t>
  </si>
  <si>
    <t>01 TallWoodEqs</t>
  </si>
  <si>
    <t>subRSN2000890</t>
  </si>
  <si>
    <t>CHB0121103111526</t>
  </si>
  <si>
    <t>subRSN2000905</t>
  </si>
  <si>
    <t>CHBH041103111446</t>
  </si>
  <si>
    <t>HKD1310309260450</t>
  </si>
  <si>
    <t>HKD1270309260450</t>
  </si>
  <si>
    <t>10 TallWoodEqs</t>
  </si>
  <si>
    <t>11 TallWoodEqs</t>
  </si>
  <si>
    <t>12 TallWoodEqs</t>
  </si>
  <si>
    <t>13 TallWoodEqs</t>
  </si>
  <si>
    <t>14 TallWoodEqs</t>
  </si>
  <si>
    <t>15 TallWoodEqs</t>
  </si>
  <si>
    <t>16 TallWoodEqs</t>
  </si>
  <si>
    <t>19 TallWoodEqs</t>
  </si>
  <si>
    <t>20 TallWoodEqs</t>
  </si>
  <si>
    <t>21 TallWoodEqs</t>
  </si>
  <si>
    <t>22 TallWoodEqs</t>
  </si>
  <si>
    <t>23 TallWoodEqs</t>
  </si>
  <si>
    <t>24 TallWoodEqs</t>
  </si>
  <si>
    <t>25 TallWoodEqs</t>
  </si>
  <si>
    <t>26 TallWoodEqs</t>
  </si>
  <si>
    <t>MCE</t>
  </si>
  <si>
    <t>27 TallWoodEqs</t>
  </si>
  <si>
    <t>28 TallWoodEqs</t>
  </si>
  <si>
    <t>SuperstitionHills</t>
  </si>
  <si>
    <t>Northridge</t>
  </si>
  <si>
    <t>eq3DOF</t>
  </si>
  <si>
    <t>02 TallWoodEqs</t>
  </si>
  <si>
    <t>03 TallWoodEqs</t>
  </si>
  <si>
    <t>04 TallWoodEqs</t>
  </si>
  <si>
    <t>05 TallWoodEqs</t>
  </si>
  <si>
    <t>06 TallWoodEqs</t>
  </si>
  <si>
    <t>07 TallWoodEqs</t>
  </si>
  <si>
    <t>08 TallWoodEqs</t>
  </si>
  <si>
    <t>09 TallWoodEqs</t>
  </si>
  <si>
    <t>column_forces</t>
  </si>
  <si>
    <t>GRP:column</t>
  </si>
  <si>
    <t>basic_wall</t>
  </si>
  <si>
    <t>basic_column</t>
  </si>
  <si>
    <t>T</t>
  </si>
  <si>
    <t>FerndaleA</t>
  </si>
  <si>
    <t>ChiChiA</t>
  </si>
  <si>
    <t>TohokuAftershock</t>
  </si>
  <si>
    <t>SanSimeon</t>
  </si>
  <si>
    <t>FerndaleB</t>
  </si>
  <si>
    <t>Tohoku</t>
  </si>
  <si>
    <t>Niigata</t>
  </si>
  <si>
    <t>Tocachi</t>
  </si>
  <si>
    <t>Ferndale</t>
  </si>
  <si>
    <t>ChiChiB</t>
  </si>
  <si>
    <t>ChiChi</t>
  </si>
  <si>
    <t>Tokachi</t>
  </si>
  <si>
    <t>Victoria</t>
  </si>
  <si>
    <t>LomaPrieta</t>
  </si>
  <si>
    <t>Size</t>
  </si>
  <si>
    <t>Runtime</t>
  </si>
  <si>
    <t>Steps/Min</t>
  </si>
  <si>
    <t>Gb/10k steps</t>
  </si>
  <si>
    <t>Sarah len()</t>
  </si>
  <si>
    <t>F11_center, X, 2;4;6;10;12;15;17.5;20;22.5;25;30;50;70, ASCE_X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</si>
</sst>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"/>
    <numFmt numFmtId="166" formatCode="0.0000"/>
    <numFmt numFmtId="167" formatCode="0.0%"/>
  </numFmts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ourier Std"/>
      <family val="3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7CE"/>
      </patternFill>
    </fill>
    <fill>
      <patternFill patternType="solid">
        <fgColor rgb="FFF2F2F2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7" fillId="4" borderId="0" applyNumberFormat="0" applyBorder="0" applyAlignment="0" applyProtection="0"/>
    <xf numFmtId="0" fontId="8" fillId="5" borderId="0" applyNumberFormat="0" applyAlignment="0" applyProtection="0"/>
    <xf numFmtId="9" fontId="9" fillId="0" borderId="0" applyFon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0" fontId="0" fillId="2" borderId="0" xfId="0" applyFill="1"/>
    <xf numFmtId="49" fontId="0" fillId="0" borderId="0" xfId="0" quotePrefix="1" applyNumberFormat="1"/>
    <xf numFmtId="0" fontId="0" fillId="0" borderId="0" xfId="0" applyAlignment="1">
      <alignment horizontal="left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/>
    <xf numFmtId="0" fontId="0" fillId="3" borderId="0" xfId="0" applyFill="1"/>
    <xf numFmtId="1" fontId="0" fillId="0" borderId="0" xfId="0" applyNumberFormat="1"/>
    <xf numFmtId="1" fontId="0" fillId="3" borderId="0" xfId="0" applyNumberFormat="1" applyFill="1"/>
    <xf numFmtId="11" fontId="0" fillId="0" borderId="0" xfId="0" applyNumberFormat="1"/>
    <xf numFmtId="165" fontId="8" fillId="5" borderId="0" xfId="2" applyNumberFormat="1"/>
    <xf numFmtId="165" fontId="0" fillId="0" borderId="0" xfId="0" applyNumberFormat="1"/>
    <xf numFmtId="2" fontId="0" fillId="0" borderId="0" xfId="0" applyNumberFormat="1"/>
    <xf numFmtId="166" fontId="0" fillId="0" borderId="0" xfId="0" applyNumberFormat="1"/>
    <xf numFmtId="1" fontId="8" fillId="5" borderId="0" xfId="2" applyNumberFormat="1"/>
    <xf numFmtId="0" fontId="7" fillId="4" borderId="0" xfId="1"/>
    <xf numFmtId="167" fontId="0" fillId="0" borderId="0" xfId="3" applyNumberFormat="1" applyFont="1"/>
    <xf numFmtId="21" fontId="0" fillId="0" borderId="0" xfId="0" applyNumberFormat="1"/>
    <xf numFmtId="20" fontId="0" fillId="0" borderId="0" xfId="0" applyNumberFormat="1"/>
    <xf numFmtId="0" fontId="0" fillId="0" borderId="0" xfId="0"/>
    <xf numFmtId="0" fontId="0" fillId="0" borderId="0" xfId="0" applyAlignment="1">
      <alignment horizontal="left"/>
    </xf>
  </cellXfs>
  <cellStyles count="4">
    <cellStyle name="Bad" xfId="1" builtinId="27"/>
    <cellStyle name="Calculation" xfId="2" builtinId="22" customBuiltin="1"/>
    <cellStyle name="Normal" xfId="0" builtinId="0"/>
    <cellStyle name="Percent" xfId="3" builtinId="5"/>
  </cellStyles>
  <dxfs count="15">
    <dxf>
      <font>
        <strike/>
      </font>
      <fill>
        <patternFill patternType="solid"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2</xdr:row>
          <xdr:rowOff>57150</xdr:rowOff>
        </xdr:from>
        <xdr:to>
          <xdr:col>5</xdr:col>
          <xdr:colOff>104775</xdr:colOff>
          <xdr:row>4</xdr:row>
          <xdr:rowOff>180975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7</xdr:row>
          <xdr:rowOff>57150</xdr:rowOff>
        </xdr:from>
        <xdr:to>
          <xdr:col>5</xdr:col>
          <xdr:colOff>104775</xdr:colOff>
          <xdr:row>9</xdr:row>
          <xdr:rowOff>180975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Create Basic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11</xdr:row>
          <xdr:rowOff>57150</xdr:rowOff>
        </xdr:from>
        <xdr:to>
          <xdr:col>5</xdr:col>
          <xdr:colOff>104775</xdr:colOff>
          <xdr:row>13</xdr:row>
          <xdr:rowOff>180975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Add UFPs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7</xdr:row>
          <xdr:rowOff>66675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15</xdr:row>
          <xdr:rowOff>57150</xdr:rowOff>
        </xdr:from>
        <xdr:to>
          <xdr:col>5</xdr:col>
          <xdr:colOff>104775</xdr:colOff>
          <xdr:row>17</xdr:row>
          <xdr:rowOff>180975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3 - Add PT bars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19</xdr:row>
          <xdr:rowOff>57150</xdr:rowOff>
        </xdr:from>
        <xdr:to>
          <xdr:col>5</xdr:col>
          <xdr:colOff>104775</xdr:colOff>
          <xdr:row>21</xdr:row>
          <xdr:rowOff>180975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4 - Add base springs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ocs/Stiffness%20Chec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leProperties"/>
      <sheetName val="Sheet1"/>
    </sheetNames>
    <sheetDataSet>
      <sheetData sheetId="0"/>
      <sheetData sheetId="1">
        <row r="37">
          <cell r="C37">
            <v>97635757.401887834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0607E-643F-4877-8D16-7B0763DB90D0}">
  <sheetPr codeName="Sheet11">
    <tabColor rgb="FF92D050"/>
  </sheetPr>
  <dimension ref="A1"/>
  <sheetViews>
    <sheetView workbookViewId="0">
      <selection activeCell="I21" sqref="I21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Main">
                <anchor moveWithCells="1" sizeWithCells="1">
                  <from>
                    <xdr:col>1</xdr:col>
                    <xdr:colOff>133350</xdr:colOff>
                    <xdr:row>2</xdr:row>
                    <xdr:rowOff>57150</xdr:rowOff>
                  </from>
                  <to>
                    <xdr:col>5</xdr:col>
                    <xdr:colOff>104775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5" name="Button 3">
              <controlPr defaultSize="0" print="0" autoFill="0" autoPict="0" macro="[0]!Floors_and_Columns">
                <anchor moveWithCells="1" sizeWithCells="1">
                  <from>
                    <xdr:col>1</xdr:col>
                    <xdr:colOff>133350</xdr:colOff>
                    <xdr:row>7</xdr:row>
                    <xdr:rowOff>57150</xdr:rowOff>
                  </from>
                  <to>
                    <xdr:col>5</xdr:col>
                    <xdr:colOff>104775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6" name="Button 4">
              <controlPr defaultSize="0" print="0" autoFill="0" autoPict="0" macro="[0]!UFPs">
                <anchor moveWithCells="1" sizeWithCells="1">
                  <from>
                    <xdr:col>1</xdr:col>
                    <xdr:colOff>133350</xdr:colOff>
                    <xdr:row>11</xdr:row>
                    <xdr:rowOff>57150</xdr:rowOff>
                  </from>
                  <to>
                    <xdr:col>5</xdr:col>
                    <xdr:colOff>104775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7" name="Button 5">
              <controlPr defaultSize="0" print="0" autoFill="0" autoPict="0" macro="[0]!Formatting">
                <anchor moveWithCells="1" sizeWithCells="1">
                  <from>
                    <xdr:col>6</xdr:col>
                    <xdr:colOff>28575</xdr:colOff>
                    <xdr:row>7</xdr:row>
                    <xdr:rowOff>66675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8" name="Button 6">
              <controlPr defaultSize="0" print="0" autoFill="0" autoPict="0" macro="[0]!PTs">
                <anchor moveWithCells="1" sizeWithCells="1">
                  <from>
                    <xdr:col>1</xdr:col>
                    <xdr:colOff>133350</xdr:colOff>
                    <xdr:row>15</xdr:row>
                    <xdr:rowOff>57150</xdr:rowOff>
                  </from>
                  <to>
                    <xdr:col>5</xdr:col>
                    <xdr:colOff>104775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9" name="Button 7">
              <controlPr defaultSize="0" print="0" autoFill="0" autoPict="0" macro="[0]!MultiSpring">
                <anchor moveWithCells="1" sizeWithCells="1">
                  <from>
                    <xdr:col>1</xdr:col>
                    <xdr:colOff>133350</xdr:colOff>
                    <xdr:row>19</xdr:row>
                    <xdr:rowOff>57150</xdr:rowOff>
                  </from>
                  <to>
                    <xdr:col>5</xdr:col>
                    <xdr:colOff>104775</xdr:colOff>
                    <xdr:row>21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FC35E-CFCB-4F80-9639-AE43431B6B1C}">
  <sheetPr codeName="FloorPlan">
    <tabColor rgb="FF92D050"/>
  </sheetPr>
  <dimension ref="A1:AE24"/>
  <sheetViews>
    <sheetView workbookViewId="0">
      <selection activeCell="E15" sqref="E15"/>
    </sheetView>
  </sheetViews>
  <sheetFormatPr defaultColWidth="0" defaultRowHeight="15" x14ac:dyDescent="0.25"/>
  <cols>
    <col min="1" max="1" width="11.42578125" customWidth="1"/>
    <col min="2" max="6" width="9.140625" customWidth="1"/>
    <col min="7" max="7" width="3" style="3" customWidth="1"/>
    <col min="8" max="8" width="14.140625" customWidth="1"/>
    <col min="9" max="9" width="9.140625" style="2" customWidth="1"/>
    <col min="10" max="10" width="9.140625" customWidth="1"/>
    <col min="11" max="13" width="16.140625" customWidth="1"/>
    <col min="14" max="14" width="15.7109375" customWidth="1"/>
    <col min="15" max="15" width="3" style="3" customWidth="1"/>
    <col min="16" max="16" width="12.140625" customWidth="1"/>
    <col min="17" max="17" width="14.5703125" customWidth="1"/>
    <col min="18" max="18" width="13.28515625" customWidth="1"/>
    <col min="19" max="19" width="14.5703125" customWidth="1"/>
    <col min="20" max="20" width="15.28515625" customWidth="1"/>
    <col min="21" max="22" width="25.5703125" customWidth="1"/>
    <col min="23" max="23" width="3" style="3" customWidth="1"/>
    <col min="24" max="24" width="9.140625" customWidth="1"/>
    <col min="25" max="25" width="15.42578125" customWidth="1"/>
    <col min="26" max="26" width="9.140625" customWidth="1"/>
    <col min="27" max="27" width="21.28515625" customWidth="1"/>
    <col min="28" max="28" width="16.42578125" customWidth="1"/>
    <col min="29" max="29" width="24" customWidth="1"/>
    <col min="30" max="30" width="19" customWidth="1"/>
    <col min="31" max="31" width="0" hidden="1" customWidth="1"/>
    <col min="32" max="16384" width="9.140625" hidden="1"/>
  </cols>
  <sheetData>
    <row r="1" spans="1:30" x14ac:dyDescent="0.25">
      <c r="A1" s="22" t="s">
        <v>67</v>
      </c>
      <c r="B1" s="22"/>
      <c r="C1" s="22"/>
      <c r="D1" s="22"/>
      <c r="E1" s="22"/>
      <c r="F1" s="22"/>
      <c r="H1" s="22" t="s">
        <v>154</v>
      </c>
      <c r="I1" s="22"/>
      <c r="J1" s="22"/>
      <c r="K1" s="22"/>
      <c r="L1" s="22"/>
      <c r="M1" s="22"/>
      <c r="N1" s="22"/>
      <c r="P1" s="22" t="s">
        <v>74</v>
      </c>
      <c r="Q1" s="22"/>
      <c r="R1" s="22"/>
      <c r="S1" s="22"/>
      <c r="T1" s="22"/>
      <c r="U1" s="22"/>
      <c r="V1" s="22"/>
      <c r="X1" s="22" t="s">
        <v>73</v>
      </c>
      <c r="Y1" s="22"/>
      <c r="Z1" s="22"/>
      <c r="AA1" s="22"/>
      <c r="AB1" s="22"/>
      <c r="AC1" s="22"/>
      <c r="AD1" s="22"/>
    </row>
    <row r="2" spans="1:30" x14ac:dyDescent="0.25">
      <c r="A2" t="s">
        <v>151</v>
      </c>
      <c r="B2" t="s">
        <v>68</v>
      </c>
      <c r="C2" t="s">
        <v>69</v>
      </c>
      <c r="D2" t="s">
        <v>70</v>
      </c>
      <c r="E2" t="s">
        <v>71</v>
      </c>
      <c r="F2" t="s">
        <v>72</v>
      </c>
      <c r="H2" t="s">
        <v>17</v>
      </c>
      <c r="I2" s="2" t="s">
        <v>18</v>
      </c>
      <c r="J2" t="s">
        <v>19</v>
      </c>
      <c r="K2" t="s">
        <v>155</v>
      </c>
      <c r="L2" t="s">
        <v>80</v>
      </c>
      <c r="M2" t="s">
        <v>174</v>
      </c>
      <c r="N2" t="s">
        <v>2654</v>
      </c>
      <c r="P2" t="s">
        <v>0</v>
      </c>
      <c r="Q2" t="s">
        <v>1</v>
      </c>
      <c r="R2" t="s">
        <v>2</v>
      </c>
      <c r="S2" t="s">
        <v>3</v>
      </c>
      <c r="T2" t="s">
        <v>10</v>
      </c>
      <c r="U2" t="s">
        <v>26</v>
      </c>
      <c r="V2" t="s">
        <v>39</v>
      </c>
      <c r="X2" t="s">
        <v>0</v>
      </c>
      <c r="Y2" t="s">
        <v>1</v>
      </c>
      <c r="Z2" t="s">
        <v>41</v>
      </c>
      <c r="AA2" t="s">
        <v>10</v>
      </c>
      <c r="AB2" t="s">
        <v>26</v>
      </c>
      <c r="AC2" t="s">
        <v>39</v>
      </c>
      <c r="AD2" t="s">
        <v>1005</v>
      </c>
    </row>
    <row r="3" spans="1:30" x14ac:dyDescent="0.25">
      <c r="A3" t="s">
        <v>162</v>
      </c>
      <c r="B3" t="s">
        <v>55</v>
      </c>
      <c r="C3" t="e">
        <f>NA()</f>
        <v>#N/A</v>
      </c>
      <c r="D3" t="e">
        <f>NA()</f>
        <v>#N/A</v>
      </c>
      <c r="E3" t="e">
        <f>NA()</f>
        <v>#N/A</v>
      </c>
      <c r="F3" t="e">
        <f>NA()</f>
        <v>#N/A</v>
      </c>
      <c r="H3" t="str">
        <f>J3&amp;I3</f>
        <v>A1</v>
      </c>
      <c r="I3" s="2" t="s">
        <v>75</v>
      </c>
      <c r="J3" t="s">
        <v>8</v>
      </c>
      <c r="K3" t="b">
        <v>1</v>
      </c>
      <c r="L3" t="s">
        <v>81</v>
      </c>
      <c r="M3" t="s">
        <v>175</v>
      </c>
      <c r="N3" s="19">
        <v>6.0999999999999999E-2</v>
      </c>
      <c r="P3" t="s">
        <v>83</v>
      </c>
      <c r="Q3" t="s">
        <v>5</v>
      </c>
      <c r="R3" t="s">
        <v>86</v>
      </c>
      <c r="S3" t="s">
        <v>87</v>
      </c>
      <c r="T3" t="s">
        <v>1532</v>
      </c>
      <c r="U3" t="s">
        <v>150</v>
      </c>
      <c r="V3" t="s">
        <v>1472</v>
      </c>
      <c r="X3" t="s">
        <v>121</v>
      </c>
      <c r="Y3" t="s">
        <v>5</v>
      </c>
      <c r="Z3" t="s">
        <v>86</v>
      </c>
      <c r="AA3" t="s">
        <v>146</v>
      </c>
      <c r="AB3" t="s">
        <v>32</v>
      </c>
      <c r="AC3" t="s">
        <v>1481</v>
      </c>
      <c r="AD3" t="b">
        <v>0</v>
      </c>
    </row>
    <row r="4" spans="1:30" x14ac:dyDescent="0.25">
      <c r="A4" t="s">
        <v>152</v>
      </c>
      <c r="B4" t="s">
        <v>56</v>
      </c>
      <c r="C4">
        <v>189.7</v>
      </c>
      <c r="D4">
        <v>-115.9</v>
      </c>
      <c r="E4" s="6">
        <f>71.7/32.2/12</f>
        <v>0.18555900621118013</v>
      </c>
      <c r="F4" s="6">
        <f>5944/32.2/12</f>
        <v>15.383022774327122</v>
      </c>
      <c r="H4" t="str">
        <f t="shared" ref="H4:H24" si="0">J4&amp;I4</f>
        <v>A2</v>
      </c>
      <c r="I4" s="2" t="s">
        <v>76</v>
      </c>
      <c r="J4" t="s">
        <v>8</v>
      </c>
      <c r="K4" t="b">
        <v>1</v>
      </c>
      <c r="L4" t="s">
        <v>81</v>
      </c>
      <c r="M4" t="s">
        <v>175</v>
      </c>
      <c r="N4" s="19">
        <v>8.4000000000000005E-2</v>
      </c>
      <c r="P4" t="s">
        <v>84</v>
      </c>
      <c r="Q4" t="s">
        <v>5</v>
      </c>
      <c r="R4" t="s">
        <v>88</v>
      </c>
      <c r="S4" t="s">
        <v>89</v>
      </c>
      <c r="T4" t="s">
        <v>1532</v>
      </c>
      <c r="U4" t="s">
        <v>150</v>
      </c>
      <c r="V4" t="s">
        <v>1472</v>
      </c>
      <c r="X4" t="s">
        <v>122</v>
      </c>
      <c r="Y4" t="s">
        <v>5</v>
      </c>
      <c r="Z4" t="s">
        <v>87</v>
      </c>
      <c r="AA4" t="s">
        <v>146</v>
      </c>
      <c r="AB4" t="s">
        <v>32</v>
      </c>
      <c r="AC4" t="s">
        <v>1483</v>
      </c>
      <c r="AD4" t="b">
        <v>0</v>
      </c>
    </row>
    <row r="5" spans="1:30" x14ac:dyDescent="0.25">
      <c r="A5" t="s">
        <v>153</v>
      </c>
      <c r="B5" t="s">
        <v>57</v>
      </c>
      <c r="C5">
        <v>194.3</v>
      </c>
      <c r="D5">
        <v>-123.9</v>
      </c>
      <c r="E5" s="6">
        <f>67.6/32.2/12</f>
        <v>0.17494824016563146</v>
      </c>
      <c r="F5" s="6">
        <f>5305/32.2/12</f>
        <v>13.729296066252587</v>
      </c>
      <c r="H5" t="str">
        <f t="shared" si="0"/>
        <v>A3</v>
      </c>
      <c r="I5" s="2" t="s">
        <v>77</v>
      </c>
      <c r="J5" t="s">
        <v>8</v>
      </c>
      <c r="K5" t="b">
        <v>1</v>
      </c>
      <c r="L5" t="s">
        <v>81</v>
      </c>
      <c r="M5" t="s">
        <v>175</v>
      </c>
      <c r="N5" s="19">
        <v>8.4000000000000005E-2</v>
      </c>
      <c r="P5" t="s">
        <v>85</v>
      </c>
      <c r="Q5" t="s">
        <v>5</v>
      </c>
      <c r="R5" t="s">
        <v>111</v>
      </c>
      <c r="S5" t="s">
        <v>112</v>
      </c>
      <c r="T5" t="s">
        <v>1532</v>
      </c>
      <c r="U5" t="s">
        <v>150</v>
      </c>
      <c r="V5" t="s">
        <v>1472</v>
      </c>
      <c r="X5" t="s">
        <v>123</v>
      </c>
      <c r="Y5" t="s">
        <v>5</v>
      </c>
      <c r="Z5" t="s">
        <v>88</v>
      </c>
      <c r="AA5" t="s">
        <v>146</v>
      </c>
      <c r="AB5" t="s">
        <v>32</v>
      </c>
      <c r="AC5" t="s">
        <v>1484</v>
      </c>
      <c r="AD5" t="b">
        <v>0</v>
      </c>
    </row>
    <row r="6" spans="1:30" x14ac:dyDescent="0.25">
      <c r="A6" t="s">
        <v>166</v>
      </c>
      <c r="B6" t="s">
        <v>58</v>
      </c>
      <c r="C6">
        <v>197.3</v>
      </c>
      <c r="D6">
        <v>-128.1</v>
      </c>
      <c r="E6" s="6">
        <f>58.8/32.2/12</f>
        <v>0.15217391304347824</v>
      </c>
      <c r="F6" s="6">
        <f>4137/32.2/12</f>
        <v>10.706521739130435</v>
      </c>
      <c r="H6" t="str">
        <f t="shared" si="0"/>
        <v>A4</v>
      </c>
      <c r="I6" s="2" t="s">
        <v>78</v>
      </c>
      <c r="J6" t="s">
        <v>8</v>
      </c>
      <c r="K6" t="b">
        <v>1</v>
      </c>
      <c r="L6" t="s">
        <v>81</v>
      </c>
      <c r="M6" t="s">
        <v>175</v>
      </c>
      <c r="N6" s="19">
        <v>6.0999999999999999E-2</v>
      </c>
      <c r="P6" t="s">
        <v>94</v>
      </c>
      <c r="Q6" t="s">
        <v>5</v>
      </c>
      <c r="R6" t="s">
        <v>90</v>
      </c>
      <c r="S6" t="s">
        <v>91</v>
      </c>
      <c r="T6" t="s">
        <v>1532</v>
      </c>
      <c r="U6" t="s">
        <v>150</v>
      </c>
      <c r="V6" t="s">
        <v>1473</v>
      </c>
      <c r="X6" t="s">
        <v>124</v>
      </c>
      <c r="Y6" t="s">
        <v>5</v>
      </c>
      <c r="Z6" t="s">
        <v>89</v>
      </c>
      <c r="AA6" t="s">
        <v>146</v>
      </c>
      <c r="AB6" t="s">
        <v>32</v>
      </c>
      <c r="AC6" t="s">
        <v>1485</v>
      </c>
      <c r="AD6" t="b">
        <v>0</v>
      </c>
    </row>
    <row r="7" spans="1:30" x14ac:dyDescent="0.25">
      <c r="A7" t="s">
        <v>167</v>
      </c>
      <c r="B7" t="s">
        <v>59</v>
      </c>
      <c r="C7">
        <v>191.7</v>
      </c>
      <c r="D7">
        <v>-124.3</v>
      </c>
      <c r="E7" s="6">
        <f>56.1/32.2/12</f>
        <v>0.14518633540372669</v>
      </c>
      <c r="F7" s="6">
        <f>3490/32.2/12</f>
        <v>9.0320910973084878</v>
      </c>
      <c r="H7" t="str">
        <f t="shared" si="0"/>
        <v>ACLT</v>
      </c>
      <c r="I7" s="2" t="s">
        <v>139</v>
      </c>
      <c r="J7" t="s">
        <v>8</v>
      </c>
      <c r="K7" t="b">
        <v>1</v>
      </c>
      <c r="L7" t="s">
        <v>25</v>
      </c>
      <c r="M7" t="s">
        <v>176</v>
      </c>
      <c r="N7" s="19">
        <v>0</v>
      </c>
      <c r="P7" t="s">
        <v>95</v>
      </c>
      <c r="Q7" t="s">
        <v>5</v>
      </c>
      <c r="R7" t="s">
        <v>91</v>
      </c>
      <c r="S7" t="s">
        <v>92</v>
      </c>
      <c r="T7" t="s">
        <v>1532</v>
      </c>
      <c r="U7" t="s">
        <v>150</v>
      </c>
      <c r="V7" t="s">
        <v>1473</v>
      </c>
      <c r="X7" t="s">
        <v>125</v>
      </c>
      <c r="Y7" t="s">
        <v>5</v>
      </c>
      <c r="Z7" t="s">
        <v>90</v>
      </c>
      <c r="AA7" t="s">
        <v>146</v>
      </c>
      <c r="AB7" t="s">
        <v>32</v>
      </c>
      <c r="AC7" t="s">
        <v>1482</v>
      </c>
      <c r="AD7" t="b">
        <v>0</v>
      </c>
    </row>
    <row r="8" spans="1:30" x14ac:dyDescent="0.25">
      <c r="A8" t="s">
        <v>168</v>
      </c>
      <c r="B8" t="s">
        <v>60</v>
      </c>
      <c r="C8">
        <v>191.8</v>
      </c>
      <c r="D8">
        <v>-129.1</v>
      </c>
      <c r="E8" s="6">
        <f>61.5/32.2/12</f>
        <v>0.15916149068322979</v>
      </c>
      <c r="F8" s="6">
        <f>3604/32.2/12</f>
        <v>9.3271221532091086</v>
      </c>
      <c r="H8" t="str">
        <f t="shared" si="0"/>
        <v>Ab2</v>
      </c>
      <c r="I8" s="2" t="s">
        <v>76</v>
      </c>
      <c r="J8" t="s">
        <v>102</v>
      </c>
      <c r="K8" t="b">
        <v>0</v>
      </c>
      <c r="L8" t="s">
        <v>82</v>
      </c>
      <c r="N8" s="19">
        <v>0</v>
      </c>
      <c r="P8" t="s">
        <v>96</v>
      </c>
      <c r="Q8" t="s">
        <v>5</v>
      </c>
      <c r="R8" t="s">
        <v>92</v>
      </c>
      <c r="S8" t="s">
        <v>93</v>
      </c>
      <c r="T8" t="s">
        <v>1532</v>
      </c>
      <c r="U8" t="s">
        <v>150</v>
      </c>
      <c r="V8" t="s">
        <v>1473</v>
      </c>
      <c r="X8" t="s">
        <v>126</v>
      </c>
      <c r="Y8" t="s">
        <v>5</v>
      </c>
      <c r="Z8" t="s">
        <v>91</v>
      </c>
      <c r="AA8" t="s">
        <v>147</v>
      </c>
      <c r="AB8" t="s">
        <v>32</v>
      </c>
      <c r="AC8" t="s">
        <v>1486</v>
      </c>
      <c r="AD8" t="b">
        <v>0</v>
      </c>
    </row>
    <row r="9" spans="1:30" x14ac:dyDescent="0.25">
      <c r="A9" t="s">
        <v>169</v>
      </c>
      <c r="B9" t="s">
        <v>61</v>
      </c>
      <c r="C9">
        <v>191.6</v>
      </c>
      <c r="D9">
        <v>-120.9</v>
      </c>
      <c r="E9" s="6">
        <f>55.6/32.2/12</f>
        <v>0.14389233954451344</v>
      </c>
      <c r="F9" s="6">
        <f>3423/32.2/12</f>
        <v>8.8586956521739122</v>
      </c>
      <c r="H9" t="str">
        <f t="shared" si="0"/>
        <v>Ab3</v>
      </c>
      <c r="I9" s="2" t="s">
        <v>77</v>
      </c>
      <c r="J9" t="s">
        <v>102</v>
      </c>
      <c r="K9" t="b">
        <v>0</v>
      </c>
      <c r="L9" t="s">
        <v>82</v>
      </c>
      <c r="N9" s="19">
        <v>0</v>
      </c>
      <c r="P9" t="s">
        <v>97</v>
      </c>
      <c r="Q9" t="s">
        <v>5</v>
      </c>
      <c r="R9" t="s">
        <v>113</v>
      </c>
      <c r="S9" t="s">
        <v>114</v>
      </c>
      <c r="T9" t="s">
        <v>1532</v>
      </c>
      <c r="U9" t="s">
        <v>150</v>
      </c>
      <c r="V9" t="s">
        <v>1471</v>
      </c>
      <c r="X9" t="s">
        <v>127</v>
      </c>
      <c r="Y9" t="s">
        <v>5</v>
      </c>
      <c r="Z9" t="s">
        <v>92</v>
      </c>
      <c r="AA9" t="s">
        <v>147</v>
      </c>
      <c r="AB9" t="s">
        <v>32</v>
      </c>
      <c r="AC9" t="s">
        <v>1487</v>
      </c>
      <c r="AD9" t="b">
        <v>0</v>
      </c>
    </row>
    <row r="10" spans="1:30" x14ac:dyDescent="0.25">
      <c r="A10" t="s">
        <v>170</v>
      </c>
      <c r="B10" t="s">
        <v>62</v>
      </c>
      <c r="C10">
        <v>192.3</v>
      </c>
      <c r="D10">
        <v>-122.1</v>
      </c>
      <c r="E10" s="6">
        <f>59.2/32.2/12</f>
        <v>0.15320910973084886</v>
      </c>
      <c r="F10" s="6">
        <f>3723/32.2/12</f>
        <v>9.6350931677018625</v>
      </c>
      <c r="H10" t="str">
        <f t="shared" si="0"/>
        <v>MPP1</v>
      </c>
      <c r="I10" s="2" t="s">
        <v>75</v>
      </c>
      <c r="J10" t="s">
        <v>79</v>
      </c>
      <c r="K10" t="b">
        <v>1</v>
      </c>
      <c r="L10" t="s">
        <v>25</v>
      </c>
      <c r="M10" t="s">
        <v>176</v>
      </c>
      <c r="N10" s="19">
        <v>0</v>
      </c>
      <c r="P10" t="s">
        <v>98</v>
      </c>
      <c r="Q10" t="s">
        <v>5</v>
      </c>
      <c r="R10" t="s">
        <v>115</v>
      </c>
      <c r="S10" t="s">
        <v>116</v>
      </c>
      <c r="T10" t="s">
        <v>1532</v>
      </c>
      <c r="U10" t="s">
        <v>150</v>
      </c>
      <c r="V10" t="s">
        <v>1476</v>
      </c>
      <c r="X10" t="s">
        <v>128</v>
      </c>
      <c r="Y10" t="s">
        <v>5</v>
      </c>
      <c r="Z10" t="s">
        <v>93</v>
      </c>
      <c r="AA10" t="s">
        <v>146</v>
      </c>
      <c r="AB10" t="s">
        <v>32</v>
      </c>
      <c r="AC10" t="s">
        <v>1488</v>
      </c>
      <c r="AD10" t="b">
        <v>0</v>
      </c>
    </row>
    <row r="11" spans="1:30" x14ac:dyDescent="0.25">
      <c r="A11" t="s">
        <v>171</v>
      </c>
      <c r="B11" t="s">
        <v>63</v>
      </c>
      <c r="C11">
        <v>192.3</v>
      </c>
      <c r="D11">
        <v>-120.9</v>
      </c>
      <c r="E11" s="6">
        <f>57.7/32.2/12</f>
        <v>0.14932712215320912</v>
      </c>
      <c r="F11" s="6">
        <f>3711/32.2/12</f>
        <v>9.604037267080745</v>
      </c>
      <c r="H11" t="str">
        <f t="shared" si="0"/>
        <v>MPP4</v>
      </c>
      <c r="I11" s="2" t="s">
        <v>78</v>
      </c>
      <c r="J11" t="s">
        <v>79</v>
      </c>
      <c r="K11" t="b">
        <v>1</v>
      </c>
      <c r="L11" t="s">
        <v>25</v>
      </c>
      <c r="M11" t="s">
        <v>176</v>
      </c>
      <c r="N11" s="19">
        <v>0</v>
      </c>
      <c r="P11" t="s">
        <v>99</v>
      </c>
      <c r="Q11" t="s">
        <v>5</v>
      </c>
      <c r="R11" t="s">
        <v>116</v>
      </c>
      <c r="S11" t="s">
        <v>117</v>
      </c>
      <c r="T11" t="s">
        <v>1532</v>
      </c>
      <c r="U11" t="s">
        <v>150</v>
      </c>
      <c r="V11" t="s">
        <v>1476</v>
      </c>
      <c r="X11" t="s">
        <v>129</v>
      </c>
      <c r="Y11" t="s">
        <v>5</v>
      </c>
      <c r="Z11" t="s">
        <v>119</v>
      </c>
      <c r="AA11" t="s">
        <v>146</v>
      </c>
      <c r="AB11" t="s">
        <v>32</v>
      </c>
      <c r="AC11" t="s">
        <v>1489</v>
      </c>
      <c r="AD11" t="b">
        <v>0</v>
      </c>
    </row>
    <row r="12" spans="1:30" x14ac:dyDescent="0.25">
      <c r="A12" t="s">
        <v>172</v>
      </c>
      <c r="B12" t="s">
        <v>64</v>
      </c>
      <c r="C12">
        <v>192.3</v>
      </c>
      <c r="D12">
        <v>-122.3</v>
      </c>
      <c r="E12" s="6">
        <f>55.5/32.2/12</f>
        <v>0.14363354037267079</v>
      </c>
      <c r="F12" s="6">
        <f>3648/32.2/12</f>
        <v>9.4409937888198758</v>
      </c>
      <c r="H12" t="str">
        <f t="shared" si="0"/>
        <v>B1</v>
      </c>
      <c r="I12" s="2" t="s">
        <v>75</v>
      </c>
      <c r="J12" t="s">
        <v>52</v>
      </c>
      <c r="K12" t="b">
        <v>1</v>
      </c>
      <c r="L12" t="s">
        <v>81</v>
      </c>
      <c r="M12" t="s">
        <v>175</v>
      </c>
      <c r="N12" s="19">
        <v>5.8000000000000003E-2</v>
      </c>
      <c r="P12" t="s">
        <v>100</v>
      </c>
      <c r="Q12" t="s">
        <v>5</v>
      </c>
      <c r="R12" t="s">
        <v>117</v>
      </c>
      <c r="S12" t="s">
        <v>118</v>
      </c>
      <c r="T12" t="s">
        <v>1532</v>
      </c>
      <c r="U12" t="s">
        <v>150</v>
      </c>
      <c r="V12" t="s">
        <v>1476</v>
      </c>
      <c r="X12" t="s">
        <v>130</v>
      </c>
      <c r="Y12" t="s">
        <v>5</v>
      </c>
      <c r="Z12" t="s">
        <v>120</v>
      </c>
      <c r="AA12" t="s">
        <v>146</v>
      </c>
      <c r="AB12" t="s">
        <v>32</v>
      </c>
      <c r="AC12" t="s">
        <v>1490</v>
      </c>
      <c r="AD12" t="b">
        <v>0</v>
      </c>
    </row>
    <row r="13" spans="1:30" x14ac:dyDescent="0.25">
      <c r="A13" t="s">
        <v>173</v>
      </c>
      <c r="B13" t="s">
        <v>66</v>
      </c>
      <c r="C13">
        <v>192.2</v>
      </c>
      <c r="D13">
        <v>-123.4</v>
      </c>
      <c r="E13" s="6">
        <f>44.3/32.2/12</f>
        <v>0.11464803312629397</v>
      </c>
      <c r="F13" s="6">
        <f>3020/32.2/12</f>
        <v>7.8157349896480319</v>
      </c>
      <c r="H13" t="str">
        <f t="shared" si="0"/>
        <v>B2</v>
      </c>
      <c r="I13" s="2" t="s">
        <v>76</v>
      </c>
      <c r="J13" t="s">
        <v>52</v>
      </c>
      <c r="K13" t="b">
        <v>1</v>
      </c>
      <c r="L13" t="s">
        <v>81</v>
      </c>
      <c r="M13" t="s">
        <v>175</v>
      </c>
      <c r="N13" s="19">
        <v>9.4E-2</v>
      </c>
      <c r="P13" t="s">
        <v>103</v>
      </c>
      <c r="Q13" t="s">
        <v>5</v>
      </c>
      <c r="R13" t="s">
        <v>87</v>
      </c>
      <c r="S13" t="s">
        <v>111</v>
      </c>
      <c r="T13" t="s">
        <v>1530</v>
      </c>
      <c r="U13" t="s">
        <v>150</v>
      </c>
      <c r="V13" t="s">
        <v>1475</v>
      </c>
      <c r="X13" t="s">
        <v>131</v>
      </c>
      <c r="Y13" t="s">
        <v>5</v>
      </c>
      <c r="Z13" t="s">
        <v>115</v>
      </c>
      <c r="AA13" t="s">
        <v>147</v>
      </c>
      <c r="AB13" t="s">
        <v>32</v>
      </c>
      <c r="AC13" t="s">
        <v>1491</v>
      </c>
      <c r="AD13" t="b">
        <v>0</v>
      </c>
    </row>
    <row r="14" spans="1:30" x14ac:dyDescent="0.25">
      <c r="H14" t="str">
        <f t="shared" si="0"/>
        <v>B3</v>
      </c>
      <c r="I14" s="2" t="s">
        <v>77</v>
      </c>
      <c r="J14" t="s">
        <v>52</v>
      </c>
      <c r="K14" t="b">
        <v>1</v>
      </c>
      <c r="L14" t="s">
        <v>81</v>
      </c>
      <c r="M14" t="s">
        <v>175</v>
      </c>
      <c r="N14" s="19">
        <v>9.4E-2</v>
      </c>
      <c r="P14" t="s">
        <v>104</v>
      </c>
      <c r="Q14" t="s">
        <v>5</v>
      </c>
      <c r="R14" t="s">
        <v>111</v>
      </c>
      <c r="S14" t="s">
        <v>91</v>
      </c>
      <c r="T14" t="s">
        <v>1531</v>
      </c>
      <c r="U14" t="s">
        <v>150</v>
      </c>
      <c r="V14" t="s">
        <v>1475</v>
      </c>
      <c r="X14" t="s">
        <v>132</v>
      </c>
      <c r="Y14" t="s">
        <v>5</v>
      </c>
      <c r="Z14" t="s">
        <v>116</v>
      </c>
      <c r="AA14" t="s">
        <v>147</v>
      </c>
      <c r="AB14" t="s">
        <v>32</v>
      </c>
      <c r="AC14" t="s">
        <v>1492</v>
      </c>
      <c r="AD14" t="b">
        <v>0</v>
      </c>
    </row>
    <row r="15" spans="1:30" x14ac:dyDescent="0.25">
      <c r="H15" t="str">
        <f t="shared" si="0"/>
        <v>B4</v>
      </c>
      <c r="I15" s="2" t="s">
        <v>78</v>
      </c>
      <c r="J15" t="s">
        <v>52</v>
      </c>
      <c r="K15" t="b">
        <v>1</v>
      </c>
      <c r="L15" t="s">
        <v>81</v>
      </c>
      <c r="M15" t="s">
        <v>175</v>
      </c>
      <c r="N15" s="19">
        <v>5.8000000000000003E-2</v>
      </c>
      <c r="P15" t="s">
        <v>105</v>
      </c>
      <c r="Q15" t="s">
        <v>5</v>
      </c>
      <c r="R15" t="s">
        <v>88</v>
      </c>
      <c r="S15" t="s">
        <v>112</v>
      </c>
      <c r="T15" t="s">
        <v>1530</v>
      </c>
      <c r="U15" t="s">
        <v>150</v>
      </c>
      <c r="V15" t="s">
        <v>1474</v>
      </c>
      <c r="X15" t="s">
        <v>133</v>
      </c>
      <c r="Y15" t="s">
        <v>5</v>
      </c>
      <c r="Z15" t="s">
        <v>117</v>
      </c>
      <c r="AA15" t="s">
        <v>147</v>
      </c>
      <c r="AB15" t="s">
        <v>32</v>
      </c>
      <c r="AC15" t="s">
        <v>1493</v>
      </c>
      <c r="AD15" t="b">
        <v>0</v>
      </c>
    </row>
    <row r="16" spans="1:30" x14ac:dyDescent="0.25">
      <c r="H16" t="str">
        <f t="shared" si="0"/>
        <v>C2</v>
      </c>
      <c r="I16" s="2" t="s">
        <v>76</v>
      </c>
      <c r="J16" t="s">
        <v>53</v>
      </c>
      <c r="K16" t="b">
        <v>1</v>
      </c>
      <c r="L16" t="s">
        <v>81</v>
      </c>
      <c r="M16" t="s">
        <v>175</v>
      </c>
      <c r="N16" s="19">
        <v>7.0999999999999994E-2</v>
      </c>
      <c r="P16" t="s">
        <v>106</v>
      </c>
      <c r="Q16" t="s">
        <v>5</v>
      </c>
      <c r="R16" t="s">
        <v>112</v>
      </c>
      <c r="S16" t="s">
        <v>92</v>
      </c>
      <c r="T16" t="s">
        <v>1531</v>
      </c>
      <c r="U16" t="s">
        <v>150</v>
      </c>
      <c r="V16" t="s">
        <v>1474</v>
      </c>
      <c r="X16" t="s">
        <v>134</v>
      </c>
      <c r="Y16" t="s">
        <v>5</v>
      </c>
      <c r="Z16" t="s">
        <v>118</v>
      </c>
      <c r="AA16" t="s">
        <v>147</v>
      </c>
      <c r="AB16" t="s">
        <v>32</v>
      </c>
      <c r="AC16" t="s">
        <v>1494</v>
      </c>
      <c r="AD16" t="b">
        <v>0</v>
      </c>
    </row>
    <row r="17" spans="8:30" x14ac:dyDescent="0.25">
      <c r="H17" t="str">
        <f t="shared" si="0"/>
        <v>C3</v>
      </c>
      <c r="I17" s="2" t="s">
        <v>77</v>
      </c>
      <c r="J17" t="s">
        <v>53</v>
      </c>
      <c r="K17" t="b">
        <v>1</v>
      </c>
      <c r="L17" t="s">
        <v>81</v>
      </c>
      <c r="M17" t="s">
        <v>175</v>
      </c>
      <c r="N17" s="19">
        <v>7.0999999999999994E-2</v>
      </c>
      <c r="P17" t="s">
        <v>107</v>
      </c>
      <c r="Q17" t="s">
        <v>5</v>
      </c>
      <c r="R17" t="s">
        <v>119</v>
      </c>
      <c r="S17" t="s">
        <v>113</v>
      </c>
      <c r="T17" t="s">
        <v>1530</v>
      </c>
      <c r="U17" t="s">
        <v>150</v>
      </c>
      <c r="V17" t="s">
        <v>1475</v>
      </c>
      <c r="X17" t="s">
        <v>135</v>
      </c>
      <c r="Y17" t="s">
        <v>5</v>
      </c>
      <c r="Z17" t="s">
        <v>140</v>
      </c>
      <c r="AA17" t="s">
        <v>144</v>
      </c>
      <c r="AB17" t="s">
        <v>31</v>
      </c>
      <c r="AC17" t="s">
        <v>1477</v>
      </c>
      <c r="AD17" t="b">
        <v>1</v>
      </c>
    </row>
    <row r="18" spans="8:30" x14ac:dyDescent="0.25">
      <c r="H18" t="str">
        <f t="shared" si="0"/>
        <v>CCLT</v>
      </c>
      <c r="I18" s="2" t="s">
        <v>139</v>
      </c>
      <c r="J18" t="s">
        <v>53</v>
      </c>
      <c r="K18" t="b">
        <v>1</v>
      </c>
      <c r="L18" t="s">
        <v>25</v>
      </c>
      <c r="M18" t="s">
        <v>176</v>
      </c>
      <c r="N18" s="19">
        <v>0</v>
      </c>
      <c r="P18" t="s">
        <v>108</v>
      </c>
      <c r="Q18" t="s">
        <v>5</v>
      </c>
      <c r="R18" t="s">
        <v>113</v>
      </c>
      <c r="S18" t="s">
        <v>116</v>
      </c>
      <c r="T18" t="s">
        <v>1531</v>
      </c>
      <c r="U18" t="s">
        <v>150</v>
      </c>
      <c r="V18" t="s">
        <v>1475</v>
      </c>
      <c r="X18" t="s">
        <v>136</v>
      </c>
      <c r="Y18" t="s">
        <v>5</v>
      </c>
      <c r="Z18" t="s">
        <v>141</v>
      </c>
      <c r="AA18" t="s">
        <v>144</v>
      </c>
      <c r="AB18" t="s">
        <v>31</v>
      </c>
      <c r="AC18" t="s">
        <v>1479</v>
      </c>
      <c r="AD18" t="b">
        <v>1</v>
      </c>
    </row>
    <row r="19" spans="8:30" x14ac:dyDescent="0.25">
      <c r="H19" t="str">
        <f t="shared" si="0"/>
        <v>Cb2</v>
      </c>
      <c r="I19" s="2" t="s">
        <v>76</v>
      </c>
      <c r="J19" t="s">
        <v>101</v>
      </c>
      <c r="K19" t="b">
        <v>0</v>
      </c>
      <c r="L19" t="s">
        <v>82</v>
      </c>
      <c r="N19" s="19">
        <v>0</v>
      </c>
      <c r="P19" t="s">
        <v>109</v>
      </c>
      <c r="Q19" t="s">
        <v>5</v>
      </c>
      <c r="R19" t="s">
        <v>120</v>
      </c>
      <c r="S19" t="s">
        <v>114</v>
      </c>
      <c r="T19" t="s">
        <v>1530</v>
      </c>
      <c r="U19" t="s">
        <v>150</v>
      </c>
      <c r="V19" t="s">
        <v>1474</v>
      </c>
      <c r="X19" t="s">
        <v>137</v>
      </c>
      <c r="Y19" t="s">
        <v>5</v>
      </c>
      <c r="Z19" t="s">
        <v>142</v>
      </c>
      <c r="AA19" t="s">
        <v>145</v>
      </c>
      <c r="AB19" t="s">
        <v>32</v>
      </c>
      <c r="AC19" t="s">
        <v>1480</v>
      </c>
      <c r="AD19" t="b">
        <v>1</v>
      </c>
    </row>
    <row r="20" spans="8:30" x14ac:dyDescent="0.25">
      <c r="H20" t="str">
        <f t="shared" si="0"/>
        <v>Cb3</v>
      </c>
      <c r="I20" s="2" t="s">
        <v>77</v>
      </c>
      <c r="J20" t="s">
        <v>101</v>
      </c>
      <c r="K20" t="b">
        <v>0</v>
      </c>
      <c r="L20" t="s">
        <v>82</v>
      </c>
      <c r="N20" s="19">
        <v>0</v>
      </c>
      <c r="P20" t="s">
        <v>110</v>
      </c>
      <c r="Q20" t="s">
        <v>5</v>
      </c>
      <c r="R20" t="s">
        <v>114</v>
      </c>
      <c r="S20" t="s">
        <v>117</v>
      </c>
      <c r="T20" t="s">
        <v>1531</v>
      </c>
      <c r="U20" t="s">
        <v>150</v>
      </c>
      <c r="V20" t="s">
        <v>1474</v>
      </c>
      <c r="X20" t="s">
        <v>138</v>
      </c>
      <c r="Y20" t="s">
        <v>5</v>
      </c>
      <c r="Z20" t="s">
        <v>143</v>
      </c>
      <c r="AA20" t="s">
        <v>145</v>
      </c>
      <c r="AB20" t="s">
        <v>32</v>
      </c>
      <c r="AC20" t="s">
        <v>1478</v>
      </c>
      <c r="AD20" t="b">
        <v>1</v>
      </c>
    </row>
    <row r="21" spans="8:30" x14ac:dyDescent="0.25">
      <c r="H21" t="str">
        <f t="shared" si="0"/>
        <v>D1</v>
      </c>
      <c r="I21" s="2" t="s">
        <v>75</v>
      </c>
      <c r="J21" t="s">
        <v>38</v>
      </c>
      <c r="K21" t="b">
        <v>1</v>
      </c>
      <c r="L21" t="s">
        <v>81</v>
      </c>
      <c r="M21" t="s">
        <v>175</v>
      </c>
      <c r="N21" s="19">
        <v>6.8000000000000005E-2</v>
      </c>
    </row>
    <row r="22" spans="8:30" x14ac:dyDescent="0.25">
      <c r="H22" t="str">
        <f t="shared" si="0"/>
        <v>D2</v>
      </c>
      <c r="I22" s="2" t="s">
        <v>76</v>
      </c>
      <c r="J22" t="s">
        <v>38</v>
      </c>
      <c r="K22" t="b">
        <v>1</v>
      </c>
      <c r="L22" t="s">
        <v>81</v>
      </c>
      <c r="M22" t="s">
        <v>175</v>
      </c>
      <c r="N22" s="19">
        <v>6.4000000000000001E-2</v>
      </c>
    </row>
    <row r="23" spans="8:30" x14ac:dyDescent="0.25">
      <c r="H23" t="str">
        <f t="shared" si="0"/>
        <v>D3</v>
      </c>
      <c r="I23" s="2" t="s">
        <v>77</v>
      </c>
      <c r="J23" t="s">
        <v>38</v>
      </c>
      <c r="K23" t="b">
        <v>1</v>
      </c>
      <c r="L23" t="s">
        <v>81</v>
      </c>
      <c r="M23" t="s">
        <v>175</v>
      </c>
      <c r="N23" s="19">
        <v>6.4000000000000001E-2</v>
      </c>
    </row>
    <row r="24" spans="8:30" x14ac:dyDescent="0.25">
      <c r="H24" t="str">
        <f t="shared" si="0"/>
        <v>D4</v>
      </c>
      <c r="I24" s="2" t="s">
        <v>78</v>
      </c>
      <c r="J24" t="s">
        <v>38</v>
      </c>
      <c r="K24" t="b">
        <v>1</v>
      </c>
      <c r="L24" t="s">
        <v>81</v>
      </c>
      <c r="M24" t="s">
        <v>175</v>
      </c>
      <c r="N24" s="19">
        <v>6.8000000000000005E-2</v>
      </c>
    </row>
  </sheetData>
  <mergeCells count="4">
    <mergeCell ref="H1:N1"/>
    <mergeCell ref="A1:F1"/>
    <mergeCell ref="X1:AD1"/>
    <mergeCell ref="P1:V1"/>
  </mergeCells>
  <phoneticPr fontId="1" type="noConversion"/>
  <conditionalFormatting sqref="AD3:AD20">
    <cfRule type="cellIs" dxfId="14" priority="1" operator="equal">
      <formula>TRUE</formula>
    </cfRule>
    <cfRule type="cellIs" dxfId="13" priority="2" operator="equal">
      <formula>FALSE</formula>
    </cfRule>
  </conditionalFormatting>
  <dataValidations count="6">
    <dataValidation type="list" allowBlank="1" showInputMessage="1" showErrorMessage="1" sqref="Q3:Q20 Y3:Y20" xr:uid="{5C8FFCBA-B04A-487C-87A0-3725357CAF62}">
      <formula1>"elasticBeamCol,Timoshenko,rigidLink,UFP,PT"</formula1>
    </dataValidation>
    <dataValidation type="list" allowBlank="1" showInputMessage="1" showErrorMessage="1" sqref="R3:S1048576 Z3:Z1048576" xr:uid="{1A1771CC-2B0D-41AD-93D8-D9439FB96547}">
      <formula1>Floor_Plan_Node_Names</formula1>
    </dataValidation>
    <dataValidation type="list" allowBlank="1" showInputMessage="1" showErrorMessage="1" sqref="AB3:AB1048576 U3:U1048576" xr:uid="{56E7D204-0867-4A6B-B60C-0DA18A7246C4}">
      <formula1>Transformations_List</formula1>
    </dataValidation>
    <dataValidation type="list" allowBlank="1" showInputMessage="1" showErrorMessage="1" sqref="L3:L1048576 M25:M1048576" xr:uid="{CCE5D375-A6D0-4E93-958F-7CC9D731AF79}">
      <formula1>Fixity_List</formula1>
    </dataValidation>
    <dataValidation type="list" allowBlank="1" showInputMessage="1" showErrorMessage="1" sqref="K3:K1048576 AD3:AD1048576" xr:uid="{4B21DEF8-5CAA-4281-A855-84E246589E05}">
      <formula1>"TRUE,FALSE"</formula1>
    </dataValidation>
    <dataValidation type="list" allowBlank="1" showInputMessage="1" showErrorMessage="1" sqref="I3:J1048576" xr:uid="{C95DB0E8-CE39-477D-BA30-B4309362654A}">
      <formula1>Grid_List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00EF3-3934-4FD0-BE54-05AC0EE01CB8}">
  <sheetPr codeName="Sheet9">
    <tabColor rgb="FF92D050"/>
  </sheetPr>
  <dimension ref="A1:AP42"/>
  <sheetViews>
    <sheetView topLeftCell="X1" workbookViewId="0">
      <selection activeCell="AB10" sqref="AB10"/>
    </sheetView>
  </sheetViews>
  <sheetFormatPr defaultRowHeight="15" x14ac:dyDescent="0.25"/>
  <cols>
    <col min="1" max="1" width="11" customWidth="1"/>
    <col min="8" max="8" width="2.85546875" style="3" customWidth="1"/>
    <col min="11" max="11" width="2.85546875" style="3" customWidth="1"/>
    <col min="12" max="12" width="13.28515625" customWidth="1"/>
    <col min="13" max="13" width="11" customWidth="1"/>
    <col min="14" max="14" width="12.7109375" customWidth="1"/>
    <col min="15" max="15" width="82.28515625" customWidth="1"/>
    <col min="16" max="16" width="2.85546875" style="3" customWidth="1"/>
    <col min="17" max="17" width="13.5703125" customWidth="1"/>
    <col min="22" max="22" width="15.42578125" customWidth="1"/>
    <col min="23" max="23" width="2.85546875" style="3" customWidth="1"/>
    <col min="24" max="24" width="15.85546875" customWidth="1"/>
    <col min="25" max="25" width="11.28515625" customWidth="1"/>
    <col min="26" max="26" width="12" customWidth="1"/>
    <col min="30" max="30" width="10.7109375" customWidth="1"/>
    <col min="33" max="33" width="9.140625" style="1"/>
    <col min="34" max="34" width="2.85546875" style="3" customWidth="1"/>
    <col min="35" max="35" width="12.140625" customWidth="1"/>
    <col min="36" max="37" width="12.42578125" customWidth="1"/>
    <col min="40" max="40" width="10.5703125" customWidth="1"/>
    <col min="41" max="41" width="11.5703125" customWidth="1"/>
    <col min="42" max="42" width="2.85546875" style="3" customWidth="1"/>
  </cols>
  <sheetData>
    <row r="1" spans="1:41" x14ac:dyDescent="0.25">
      <c r="A1" s="23" t="s">
        <v>163</v>
      </c>
      <c r="B1" s="23"/>
      <c r="C1" s="23"/>
      <c r="D1" s="23"/>
      <c r="E1" s="23"/>
      <c r="F1" s="23"/>
      <c r="G1" s="23"/>
      <c r="I1" s="22" t="s">
        <v>45</v>
      </c>
      <c r="J1" s="22"/>
      <c r="L1" s="22" t="s">
        <v>50</v>
      </c>
      <c r="M1" s="22"/>
      <c r="N1" s="22"/>
      <c r="O1" s="22"/>
      <c r="Q1" s="23" t="s">
        <v>876</v>
      </c>
      <c r="R1" s="23"/>
      <c r="S1" s="23"/>
      <c r="T1" s="23"/>
      <c r="U1" s="23"/>
      <c r="V1" s="23"/>
      <c r="X1" s="22" t="s">
        <v>34</v>
      </c>
      <c r="Y1" s="22"/>
      <c r="Z1" s="22"/>
      <c r="AA1" s="22"/>
      <c r="AB1" s="22"/>
      <c r="AC1" s="22"/>
      <c r="AD1" s="22"/>
      <c r="AE1" s="22"/>
      <c r="AF1" s="22"/>
      <c r="AG1" s="22"/>
      <c r="AI1" s="22" t="s">
        <v>1615</v>
      </c>
      <c r="AJ1" s="22"/>
      <c r="AK1" s="22"/>
      <c r="AL1" s="22"/>
      <c r="AM1" s="22"/>
      <c r="AN1" s="22"/>
      <c r="AO1" s="22"/>
    </row>
    <row r="2" spans="1:41" x14ac:dyDescent="0.25">
      <c r="A2" t="s">
        <v>1</v>
      </c>
      <c r="B2" t="s">
        <v>18</v>
      </c>
      <c r="C2" t="s">
        <v>19</v>
      </c>
      <c r="D2" t="s">
        <v>20</v>
      </c>
      <c r="E2" t="s">
        <v>22</v>
      </c>
      <c r="F2" t="s">
        <v>23</v>
      </c>
      <c r="G2" t="s">
        <v>24</v>
      </c>
      <c r="L2" s="2" t="s">
        <v>49</v>
      </c>
      <c r="M2" t="s">
        <v>51</v>
      </c>
      <c r="N2" s="5" t="s">
        <v>42</v>
      </c>
      <c r="O2" t="s">
        <v>177</v>
      </c>
      <c r="Q2" t="s">
        <v>883</v>
      </c>
      <c r="R2" t="s">
        <v>877</v>
      </c>
      <c r="S2" t="s">
        <v>881</v>
      </c>
      <c r="T2" t="s">
        <v>882</v>
      </c>
      <c r="U2" t="s">
        <v>878</v>
      </c>
      <c r="V2" t="s">
        <v>1015</v>
      </c>
      <c r="X2" t="s">
        <v>883</v>
      </c>
      <c r="Y2" t="s">
        <v>1541</v>
      </c>
      <c r="Z2" t="s">
        <v>1015</v>
      </c>
      <c r="AA2" t="s">
        <v>1542</v>
      </c>
      <c r="AB2" t="s">
        <v>1543</v>
      </c>
      <c r="AC2" t="s">
        <v>1562</v>
      </c>
      <c r="AD2" t="s">
        <v>1563</v>
      </c>
      <c r="AE2" t="s">
        <v>1544</v>
      </c>
      <c r="AF2" t="s">
        <v>1545</v>
      </c>
      <c r="AG2" s="1" t="s">
        <v>1015</v>
      </c>
      <c r="AI2" t="s">
        <v>49</v>
      </c>
      <c r="AJ2" t="s">
        <v>1616</v>
      </c>
      <c r="AK2" t="s">
        <v>1637</v>
      </c>
      <c r="AL2" t="s">
        <v>1617</v>
      </c>
      <c r="AM2" t="s">
        <v>1620</v>
      </c>
      <c r="AN2" t="s">
        <v>1618</v>
      </c>
      <c r="AO2" t="s">
        <v>1619</v>
      </c>
    </row>
    <row r="3" spans="1:41" x14ac:dyDescent="0.25">
      <c r="A3" t="s">
        <v>25</v>
      </c>
      <c r="B3" t="s">
        <v>25</v>
      </c>
      <c r="C3" t="s">
        <v>25</v>
      </c>
      <c r="D3" t="s">
        <v>25</v>
      </c>
      <c r="E3" t="s">
        <v>25</v>
      </c>
      <c r="F3" t="s">
        <v>25</v>
      </c>
      <c r="G3" t="s">
        <v>25</v>
      </c>
      <c r="I3" t="s">
        <v>18</v>
      </c>
      <c r="J3" t="s">
        <v>46</v>
      </c>
      <c r="L3" s="4" t="s">
        <v>75</v>
      </c>
      <c r="M3">
        <v>0</v>
      </c>
      <c r="N3" s="1" t="s">
        <v>18</v>
      </c>
      <c r="Q3" t="s">
        <v>1016</v>
      </c>
      <c r="R3" t="s">
        <v>135</v>
      </c>
      <c r="S3" t="s">
        <v>122</v>
      </c>
      <c r="T3" t="s">
        <v>123</v>
      </c>
      <c r="U3">
        <v>118.75</v>
      </c>
      <c r="V3" t="s">
        <v>880</v>
      </c>
      <c r="X3" t="s">
        <v>1550</v>
      </c>
      <c r="Y3" t="s">
        <v>1007</v>
      </c>
      <c r="Z3" t="s">
        <v>2648</v>
      </c>
      <c r="AA3">
        <v>7.125</v>
      </c>
      <c r="AB3">
        <v>7.875</v>
      </c>
      <c r="AC3">
        <v>2.25</v>
      </c>
      <c r="AD3">
        <v>0</v>
      </c>
      <c r="AE3" t="b">
        <v>0</v>
      </c>
      <c r="AF3">
        <v>356</v>
      </c>
      <c r="AG3" s="1" t="s">
        <v>1540</v>
      </c>
      <c r="AI3" t="s">
        <v>1629</v>
      </c>
      <c r="AJ3" t="s">
        <v>187</v>
      </c>
      <c r="AK3" t="s">
        <v>1634</v>
      </c>
      <c r="AL3">
        <f ca="1">VLOOKUP("CLT9",Element_Properties,2,FALSE)-4</f>
        <v>113.125</v>
      </c>
      <c r="AM3">
        <v>21</v>
      </c>
      <c r="AN3">
        <f ca="1">VLOOKUP("CLT9",Element_Properties,3,FALSE)</f>
        <v>12.375</v>
      </c>
      <c r="AO3">
        <v>3</v>
      </c>
    </row>
    <row r="4" spans="1:41" x14ac:dyDescent="0.25">
      <c r="A4" t="s">
        <v>81</v>
      </c>
      <c r="B4" t="s">
        <v>25</v>
      </c>
      <c r="C4" t="s">
        <v>25</v>
      </c>
      <c r="D4" t="s">
        <v>25</v>
      </c>
      <c r="E4" t="s">
        <v>165</v>
      </c>
      <c r="F4" t="s">
        <v>165</v>
      </c>
      <c r="G4" t="s">
        <v>165</v>
      </c>
      <c r="I4" t="s">
        <v>19</v>
      </c>
      <c r="J4" t="s">
        <v>47</v>
      </c>
      <c r="L4" s="4" t="s">
        <v>76</v>
      </c>
      <c r="M4">
        <v>126</v>
      </c>
      <c r="N4" s="1" t="s">
        <v>18</v>
      </c>
      <c r="Q4" t="s">
        <v>1017</v>
      </c>
      <c r="R4" t="s">
        <v>135</v>
      </c>
      <c r="S4" t="s">
        <v>122</v>
      </c>
      <c r="T4" t="s">
        <v>123</v>
      </c>
      <c r="U4">
        <v>250.75</v>
      </c>
      <c r="V4" t="s">
        <v>880</v>
      </c>
      <c r="X4" t="s">
        <v>1551</v>
      </c>
      <c r="Y4" t="s">
        <v>1007</v>
      </c>
      <c r="Z4" t="s">
        <v>2648</v>
      </c>
      <c r="AA4">
        <v>7.125</v>
      </c>
      <c r="AB4">
        <v>-7.875</v>
      </c>
      <c r="AC4">
        <v>2.25</v>
      </c>
      <c r="AD4">
        <v>0</v>
      </c>
      <c r="AE4" t="b">
        <v>0</v>
      </c>
      <c r="AF4">
        <v>356</v>
      </c>
      <c r="AG4" s="1" t="s">
        <v>1540</v>
      </c>
      <c r="AI4" t="s">
        <v>1630</v>
      </c>
      <c r="AJ4" t="s">
        <v>188</v>
      </c>
      <c r="AK4" t="s">
        <v>1635</v>
      </c>
      <c r="AL4">
        <f ca="1">VLOOKUP("MPP9",Element_Properties,3,FALSE)</f>
        <v>9.1875</v>
      </c>
      <c r="AM4">
        <v>3</v>
      </c>
      <c r="AN4">
        <f ca="1">VLOOKUP("MPP9",Element_Properties,2,FALSE)-4</f>
        <v>101.125</v>
      </c>
      <c r="AO4">
        <v>21</v>
      </c>
    </row>
    <row r="5" spans="1:41" x14ac:dyDescent="0.25">
      <c r="A5" t="s">
        <v>164</v>
      </c>
      <c r="B5" t="s">
        <v>165</v>
      </c>
      <c r="C5" t="s">
        <v>165</v>
      </c>
      <c r="D5" t="s">
        <v>25</v>
      </c>
      <c r="E5" t="s">
        <v>25</v>
      </c>
      <c r="F5" t="s">
        <v>25</v>
      </c>
      <c r="G5" t="s">
        <v>165</v>
      </c>
      <c r="I5" t="s">
        <v>20</v>
      </c>
      <c r="J5" t="s">
        <v>48</v>
      </c>
      <c r="L5" s="4" t="s">
        <v>77</v>
      </c>
      <c r="M5">
        <v>258</v>
      </c>
      <c r="N5" s="1" t="s">
        <v>18</v>
      </c>
      <c r="Q5" t="s">
        <v>1018</v>
      </c>
      <c r="R5" t="s">
        <v>135</v>
      </c>
      <c r="S5" t="s">
        <v>122</v>
      </c>
      <c r="T5" t="s">
        <v>123</v>
      </c>
      <c r="U5">
        <v>382.75</v>
      </c>
      <c r="V5" t="s">
        <v>880</v>
      </c>
      <c r="X5" t="s">
        <v>1552</v>
      </c>
      <c r="Y5" t="s">
        <v>1007</v>
      </c>
      <c r="Z5" t="s">
        <v>2648</v>
      </c>
      <c r="AA5">
        <v>-7.125</v>
      </c>
      <c r="AB5">
        <v>-7.875</v>
      </c>
      <c r="AC5">
        <v>2.25</v>
      </c>
      <c r="AD5">
        <v>0</v>
      </c>
      <c r="AE5" t="b">
        <v>0</v>
      </c>
      <c r="AF5">
        <v>356</v>
      </c>
      <c r="AG5" s="1" t="s">
        <v>1540</v>
      </c>
      <c r="AI5" t="s">
        <v>1631</v>
      </c>
      <c r="AJ5" t="s">
        <v>189</v>
      </c>
      <c r="AK5" t="s">
        <v>1635</v>
      </c>
      <c r="AL5">
        <f ca="1">VLOOKUP("MPP9",Element_Properties,3,FALSE)</f>
        <v>9.1875</v>
      </c>
      <c r="AM5">
        <v>3</v>
      </c>
      <c r="AN5">
        <f ca="1">VLOOKUP("MPP9",Element_Properties,2,FALSE)-4</f>
        <v>101.125</v>
      </c>
      <c r="AO5">
        <v>21</v>
      </c>
    </row>
    <row r="6" spans="1:41" x14ac:dyDescent="0.25">
      <c r="A6" t="s">
        <v>1564</v>
      </c>
      <c r="B6" t="s">
        <v>165</v>
      </c>
      <c r="C6" t="s">
        <v>165</v>
      </c>
      <c r="D6" t="s">
        <v>165</v>
      </c>
      <c r="E6" t="s">
        <v>25</v>
      </c>
      <c r="F6" t="s">
        <v>25</v>
      </c>
      <c r="G6" t="s">
        <v>25</v>
      </c>
      <c r="L6" s="4" t="s">
        <v>78</v>
      </c>
      <c r="M6">
        <v>384</v>
      </c>
      <c r="N6" s="1" t="s">
        <v>18</v>
      </c>
      <c r="Q6" t="s">
        <v>1019</v>
      </c>
      <c r="R6" t="s">
        <v>135</v>
      </c>
      <c r="S6" t="s">
        <v>122</v>
      </c>
      <c r="T6" t="s">
        <v>123</v>
      </c>
      <c r="U6">
        <v>514.75</v>
      </c>
      <c r="V6" t="s">
        <v>879</v>
      </c>
      <c r="X6" t="s">
        <v>1546</v>
      </c>
      <c r="Y6" t="s">
        <v>1007</v>
      </c>
      <c r="Z6" t="s">
        <v>2648</v>
      </c>
      <c r="AA6">
        <v>-7.125</v>
      </c>
      <c r="AB6">
        <v>7.875</v>
      </c>
      <c r="AC6">
        <v>2.25</v>
      </c>
      <c r="AD6">
        <v>0</v>
      </c>
      <c r="AE6" t="b">
        <v>0</v>
      </c>
      <c r="AF6">
        <v>356</v>
      </c>
      <c r="AG6" s="1" t="s">
        <v>1540</v>
      </c>
      <c r="AI6" t="s">
        <v>1632</v>
      </c>
      <c r="AJ6" t="s">
        <v>196</v>
      </c>
      <c r="AK6" t="s">
        <v>1634</v>
      </c>
      <c r="AL6">
        <f ca="1">VLOOKUP("CLT9",Element_Properties,2,FALSE)-4</f>
        <v>113.125</v>
      </c>
      <c r="AM6">
        <v>21</v>
      </c>
      <c r="AN6">
        <f ca="1">VLOOKUP("CLT9",Element_Properties,3,FALSE)</f>
        <v>12.375</v>
      </c>
      <c r="AO6">
        <v>3</v>
      </c>
    </row>
    <row r="7" spans="1:41" x14ac:dyDescent="0.25">
      <c r="A7" t="s">
        <v>2668</v>
      </c>
      <c r="B7" t="s">
        <v>25</v>
      </c>
      <c r="C7" t="s">
        <v>25</v>
      </c>
      <c r="D7" t="s">
        <v>165</v>
      </c>
      <c r="E7" t="s">
        <v>165</v>
      </c>
      <c r="F7" t="s">
        <v>165</v>
      </c>
      <c r="G7" t="s">
        <v>25</v>
      </c>
      <c r="L7" s="2" t="s">
        <v>139</v>
      </c>
      <c r="M7">
        <v>192</v>
      </c>
      <c r="N7" s="1" t="s">
        <v>18</v>
      </c>
      <c r="O7" t="s">
        <v>178</v>
      </c>
      <c r="Q7" t="s">
        <v>1020</v>
      </c>
      <c r="R7" t="s">
        <v>135</v>
      </c>
      <c r="S7" t="s">
        <v>122</v>
      </c>
      <c r="T7" t="s">
        <v>123</v>
      </c>
      <c r="U7">
        <v>646.75</v>
      </c>
      <c r="V7" t="s">
        <v>879</v>
      </c>
      <c r="X7" t="s">
        <v>1553</v>
      </c>
      <c r="Y7" t="s">
        <v>1009</v>
      </c>
      <c r="Z7" t="s">
        <v>2648</v>
      </c>
      <c r="AA7">
        <v>7.125</v>
      </c>
      <c r="AB7">
        <v>7.875</v>
      </c>
      <c r="AC7">
        <v>2.25</v>
      </c>
      <c r="AD7">
        <v>0</v>
      </c>
      <c r="AE7" t="b">
        <v>0</v>
      </c>
      <c r="AF7">
        <v>356</v>
      </c>
      <c r="AG7" s="1" t="s">
        <v>1540</v>
      </c>
    </row>
    <row r="8" spans="1:41" x14ac:dyDescent="0.25">
      <c r="L8" s="2" t="s">
        <v>8</v>
      </c>
      <c r="M8">
        <v>0</v>
      </c>
      <c r="N8" s="1" t="s">
        <v>19</v>
      </c>
      <c r="Q8" t="s">
        <v>1021</v>
      </c>
      <c r="R8" t="s">
        <v>135</v>
      </c>
      <c r="S8" t="s">
        <v>122</v>
      </c>
      <c r="T8" t="s">
        <v>123</v>
      </c>
      <c r="U8">
        <v>778.75</v>
      </c>
      <c r="V8" t="s">
        <v>879</v>
      </c>
      <c r="X8" t="s">
        <v>1554</v>
      </c>
      <c r="Y8" t="s">
        <v>1009</v>
      </c>
      <c r="Z8" t="s">
        <v>2648</v>
      </c>
      <c r="AA8">
        <v>7.125</v>
      </c>
      <c r="AB8">
        <v>-7.875</v>
      </c>
      <c r="AC8">
        <v>2.25</v>
      </c>
      <c r="AD8">
        <v>0</v>
      </c>
      <c r="AE8" t="b">
        <v>0</v>
      </c>
      <c r="AF8">
        <v>356</v>
      </c>
      <c r="AG8" s="1" t="s">
        <v>1540</v>
      </c>
    </row>
    <row r="9" spans="1:41" x14ac:dyDescent="0.25">
      <c r="L9" s="2" t="s">
        <v>52</v>
      </c>
      <c r="M9">
        <v>-120</v>
      </c>
      <c r="N9" s="1" t="s">
        <v>19</v>
      </c>
      <c r="Q9" t="s">
        <v>1022</v>
      </c>
      <c r="R9" t="s">
        <v>135</v>
      </c>
      <c r="S9" t="s">
        <v>122</v>
      </c>
      <c r="T9" t="s">
        <v>123</v>
      </c>
      <c r="U9">
        <v>910.75</v>
      </c>
      <c r="V9" t="s">
        <v>879</v>
      </c>
      <c r="X9" t="s">
        <v>1555</v>
      </c>
      <c r="Y9" t="s">
        <v>1009</v>
      </c>
      <c r="Z9" t="s">
        <v>2648</v>
      </c>
      <c r="AA9">
        <v>-7.125</v>
      </c>
      <c r="AB9">
        <v>-7.875</v>
      </c>
      <c r="AC9">
        <v>2.25</v>
      </c>
      <c r="AD9">
        <v>0</v>
      </c>
      <c r="AE9" t="b">
        <v>0</v>
      </c>
      <c r="AF9">
        <v>356</v>
      </c>
      <c r="AG9" s="1" t="s">
        <v>1540</v>
      </c>
    </row>
    <row r="10" spans="1:41" x14ac:dyDescent="0.25">
      <c r="L10" s="2" t="s">
        <v>53</v>
      </c>
      <c r="M10">
        <v>-216</v>
      </c>
      <c r="N10" s="1" t="s">
        <v>19</v>
      </c>
      <c r="Q10" t="s">
        <v>1023</v>
      </c>
      <c r="R10" t="s">
        <v>135</v>
      </c>
      <c r="S10" t="s">
        <v>122</v>
      </c>
      <c r="T10" t="s">
        <v>123</v>
      </c>
      <c r="U10">
        <v>1024.75</v>
      </c>
      <c r="V10" t="s">
        <v>879</v>
      </c>
      <c r="X10" t="s">
        <v>1547</v>
      </c>
      <c r="Y10" t="s">
        <v>1009</v>
      </c>
      <c r="Z10" t="s">
        <v>2648</v>
      </c>
      <c r="AA10">
        <v>-7.125</v>
      </c>
      <c r="AB10">
        <v>7.875</v>
      </c>
      <c r="AC10">
        <v>2.25</v>
      </c>
      <c r="AD10">
        <v>0</v>
      </c>
      <c r="AE10" t="b">
        <v>0</v>
      </c>
      <c r="AF10">
        <v>356</v>
      </c>
      <c r="AG10" s="1" t="s">
        <v>1540</v>
      </c>
    </row>
    <row r="11" spans="1:41" x14ac:dyDescent="0.25">
      <c r="L11" s="2" t="s">
        <v>38</v>
      </c>
      <c r="M11">
        <v>-270</v>
      </c>
      <c r="N11" s="1" t="s">
        <v>19</v>
      </c>
      <c r="Q11" t="s">
        <v>1024</v>
      </c>
      <c r="R11" t="s">
        <v>135</v>
      </c>
      <c r="S11" t="s">
        <v>122</v>
      </c>
      <c r="T11" t="s">
        <v>123</v>
      </c>
      <c r="U11">
        <v>1156.75</v>
      </c>
      <c r="V11" t="s">
        <v>879</v>
      </c>
      <c r="X11" t="s">
        <v>1556</v>
      </c>
      <c r="Y11" t="s">
        <v>1011</v>
      </c>
      <c r="Z11" t="s">
        <v>2649</v>
      </c>
      <c r="AA11">
        <v>7</v>
      </c>
      <c r="AB11">
        <v>7.125</v>
      </c>
      <c r="AC11">
        <v>2.25</v>
      </c>
      <c r="AD11">
        <v>0</v>
      </c>
      <c r="AE11" t="b">
        <v>0</v>
      </c>
      <c r="AF11">
        <v>356</v>
      </c>
      <c r="AG11" s="1" t="s">
        <v>1540</v>
      </c>
    </row>
    <row r="12" spans="1:41" x14ac:dyDescent="0.25">
      <c r="L12" s="2" t="s">
        <v>79</v>
      </c>
      <c r="M12">
        <v>-60</v>
      </c>
      <c r="N12" s="1" t="s">
        <v>19</v>
      </c>
      <c r="O12" t="s">
        <v>179</v>
      </c>
      <c r="Q12" t="s">
        <v>1025</v>
      </c>
      <c r="R12" t="s">
        <v>135</v>
      </c>
      <c r="S12" t="s">
        <v>122</v>
      </c>
      <c r="T12" t="s">
        <v>123</v>
      </c>
      <c r="U12">
        <v>1288.75</v>
      </c>
      <c r="V12" t="s">
        <v>879</v>
      </c>
      <c r="X12" t="s">
        <v>1557</v>
      </c>
      <c r="Y12" t="s">
        <v>1011</v>
      </c>
      <c r="Z12" t="s">
        <v>2649</v>
      </c>
      <c r="AA12">
        <v>7</v>
      </c>
      <c r="AB12">
        <v>-7.125</v>
      </c>
      <c r="AC12">
        <v>2.25</v>
      </c>
      <c r="AD12">
        <v>0</v>
      </c>
      <c r="AE12" t="b">
        <v>0</v>
      </c>
      <c r="AF12">
        <v>356</v>
      </c>
      <c r="AG12" s="1" t="s">
        <v>1540</v>
      </c>
    </row>
    <row r="13" spans="1:41" x14ac:dyDescent="0.25">
      <c r="L13" s="2" t="s">
        <v>102</v>
      </c>
      <c r="M13">
        <v>-25.625</v>
      </c>
      <c r="N13" s="1" t="s">
        <v>19</v>
      </c>
      <c r="Q13" t="s">
        <v>1026</v>
      </c>
      <c r="R13" t="s">
        <v>136</v>
      </c>
      <c r="S13" t="s">
        <v>129</v>
      </c>
      <c r="T13" t="s">
        <v>130</v>
      </c>
      <c r="U13">
        <v>118.75</v>
      </c>
      <c r="V13" t="s">
        <v>880</v>
      </c>
      <c r="X13" t="s">
        <v>1558</v>
      </c>
      <c r="Y13" t="s">
        <v>1011</v>
      </c>
      <c r="Z13" t="s">
        <v>2649</v>
      </c>
      <c r="AA13">
        <v>-7</v>
      </c>
      <c r="AB13">
        <v>-7.125</v>
      </c>
      <c r="AC13">
        <v>2.25</v>
      </c>
      <c r="AD13">
        <v>0</v>
      </c>
      <c r="AE13" t="b">
        <v>0</v>
      </c>
      <c r="AF13">
        <v>356</v>
      </c>
      <c r="AG13" s="1" t="s">
        <v>1540</v>
      </c>
    </row>
    <row r="14" spans="1:41" x14ac:dyDescent="0.25">
      <c r="L14" s="2" t="s">
        <v>101</v>
      </c>
      <c r="M14">
        <v>-241.625</v>
      </c>
      <c r="N14" s="1" t="s">
        <v>19</v>
      </c>
      <c r="Q14" t="s">
        <v>1027</v>
      </c>
      <c r="R14" t="s">
        <v>136</v>
      </c>
      <c r="S14" t="s">
        <v>129</v>
      </c>
      <c r="T14" t="s">
        <v>130</v>
      </c>
      <c r="U14">
        <v>250.75</v>
      </c>
      <c r="V14" t="s">
        <v>880</v>
      </c>
      <c r="X14" t="s">
        <v>1548</v>
      </c>
      <c r="Y14" t="s">
        <v>1011</v>
      </c>
      <c r="Z14" t="s">
        <v>2649</v>
      </c>
      <c r="AA14">
        <v>-7</v>
      </c>
      <c r="AB14">
        <v>7.125</v>
      </c>
      <c r="AC14">
        <v>2.25</v>
      </c>
      <c r="AD14">
        <v>0</v>
      </c>
      <c r="AE14" t="b">
        <v>0</v>
      </c>
      <c r="AF14">
        <v>356</v>
      </c>
      <c r="AG14" s="1" t="s">
        <v>1540</v>
      </c>
    </row>
    <row r="15" spans="1:41" x14ac:dyDescent="0.25">
      <c r="L15" s="2" t="s">
        <v>54</v>
      </c>
      <c r="M15">
        <v>0</v>
      </c>
      <c r="N15" s="1" t="s">
        <v>20</v>
      </c>
      <c r="Q15" t="s">
        <v>1028</v>
      </c>
      <c r="R15" t="s">
        <v>136</v>
      </c>
      <c r="S15" t="s">
        <v>129</v>
      </c>
      <c r="T15" t="s">
        <v>130</v>
      </c>
      <c r="U15">
        <v>382.75</v>
      </c>
      <c r="V15" t="s">
        <v>880</v>
      </c>
      <c r="X15" t="s">
        <v>1559</v>
      </c>
      <c r="Y15" t="s">
        <v>1013</v>
      </c>
      <c r="Z15" t="s">
        <v>2649</v>
      </c>
      <c r="AA15">
        <v>7</v>
      </c>
      <c r="AB15">
        <v>7.125</v>
      </c>
      <c r="AC15">
        <v>2.25</v>
      </c>
      <c r="AD15">
        <v>0</v>
      </c>
      <c r="AE15" t="b">
        <v>0</v>
      </c>
      <c r="AF15">
        <v>356</v>
      </c>
      <c r="AG15" s="1" t="s">
        <v>1540</v>
      </c>
    </row>
    <row r="16" spans="1:41" x14ac:dyDescent="0.25">
      <c r="L16" s="2" t="s">
        <v>55</v>
      </c>
      <c r="M16">
        <v>14</v>
      </c>
      <c r="N16" s="1" t="s">
        <v>20</v>
      </c>
      <c r="Q16" t="s">
        <v>1029</v>
      </c>
      <c r="R16" t="s">
        <v>136</v>
      </c>
      <c r="S16" t="s">
        <v>129</v>
      </c>
      <c r="T16" t="s">
        <v>130</v>
      </c>
      <c r="U16">
        <v>514.75</v>
      </c>
      <c r="V16" t="s">
        <v>879</v>
      </c>
      <c r="X16" t="s">
        <v>1560</v>
      </c>
      <c r="Y16" t="s">
        <v>1013</v>
      </c>
      <c r="Z16" t="s">
        <v>2649</v>
      </c>
      <c r="AA16">
        <v>7</v>
      </c>
      <c r="AB16">
        <v>-7.125</v>
      </c>
      <c r="AC16">
        <v>2.25</v>
      </c>
      <c r="AD16">
        <v>0</v>
      </c>
      <c r="AE16" t="b">
        <v>0</v>
      </c>
      <c r="AF16">
        <v>356</v>
      </c>
      <c r="AG16" s="1" t="s">
        <v>1540</v>
      </c>
    </row>
    <row r="17" spans="12:33" x14ac:dyDescent="0.25">
      <c r="L17" s="2" t="s">
        <v>56</v>
      </c>
      <c r="M17">
        <v>170</v>
      </c>
      <c r="N17" s="1" t="s">
        <v>20</v>
      </c>
      <c r="Q17" t="s">
        <v>1030</v>
      </c>
      <c r="R17" t="s">
        <v>136</v>
      </c>
      <c r="S17" t="s">
        <v>129</v>
      </c>
      <c r="T17" t="s">
        <v>130</v>
      </c>
      <c r="U17">
        <v>646.75</v>
      </c>
      <c r="V17" t="s">
        <v>879</v>
      </c>
      <c r="X17" t="s">
        <v>1561</v>
      </c>
      <c r="Y17" t="s">
        <v>1013</v>
      </c>
      <c r="Z17" t="s">
        <v>2649</v>
      </c>
      <c r="AA17">
        <v>-7</v>
      </c>
      <c r="AB17">
        <v>-7.125</v>
      </c>
      <c r="AC17">
        <v>2.25</v>
      </c>
      <c r="AD17">
        <v>0</v>
      </c>
      <c r="AE17" t="b">
        <v>0</v>
      </c>
      <c r="AF17">
        <v>356</v>
      </c>
      <c r="AG17" s="1" t="s">
        <v>1540</v>
      </c>
    </row>
    <row r="18" spans="12:33" x14ac:dyDescent="0.25">
      <c r="L18" s="2" t="s">
        <v>57</v>
      </c>
      <c r="M18">
        <v>302</v>
      </c>
      <c r="N18" s="1" t="s">
        <v>20</v>
      </c>
      <c r="Q18" t="s">
        <v>1031</v>
      </c>
      <c r="R18" t="s">
        <v>136</v>
      </c>
      <c r="S18" t="s">
        <v>129</v>
      </c>
      <c r="T18" t="s">
        <v>130</v>
      </c>
      <c r="U18">
        <v>778.75</v>
      </c>
      <c r="V18" t="s">
        <v>879</v>
      </c>
      <c r="X18" t="s">
        <v>1549</v>
      </c>
      <c r="Y18" t="s">
        <v>1013</v>
      </c>
      <c r="Z18" t="s">
        <v>2649</v>
      </c>
      <c r="AA18">
        <v>-7</v>
      </c>
      <c r="AB18">
        <v>7.125</v>
      </c>
      <c r="AC18">
        <v>2.25</v>
      </c>
      <c r="AD18">
        <v>0</v>
      </c>
      <c r="AE18" t="b">
        <v>0</v>
      </c>
      <c r="AF18">
        <v>356</v>
      </c>
      <c r="AG18" s="1" t="s">
        <v>1540</v>
      </c>
    </row>
    <row r="19" spans="12:33" x14ac:dyDescent="0.25">
      <c r="L19" s="2" t="s">
        <v>58</v>
      </c>
      <c r="M19">
        <v>434</v>
      </c>
      <c r="N19" s="1" t="s">
        <v>20</v>
      </c>
      <c r="Q19" t="s">
        <v>1032</v>
      </c>
      <c r="R19" t="s">
        <v>136</v>
      </c>
      <c r="S19" t="s">
        <v>129</v>
      </c>
      <c r="T19" t="s">
        <v>130</v>
      </c>
      <c r="U19">
        <v>910.75</v>
      </c>
      <c r="V19" t="s">
        <v>879</v>
      </c>
    </row>
    <row r="20" spans="12:33" x14ac:dyDescent="0.25">
      <c r="L20" s="2" t="s">
        <v>59</v>
      </c>
      <c r="M20">
        <v>566</v>
      </c>
      <c r="N20" s="1" t="s">
        <v>20</v>
      </c>
      <c r="Q20" t="s">
        <v>1033</v>
      </c>
      <c r="R20" t="s">
        <v>136</v>
      </c>
      <c r="S20" t="s">
        <v>129</v>
      </c>
      <c r="T20" t="s">
        <v>130</v>
      </c>
      <c r="U20">
        <v>1024.75</v>
      </c>
      <c r="V20" t="s">
        <v>879</v>
      </c>
    </row>
    <row r="21" spans="12:33" x14ac:dyDescent="0.25">
      <c r="L21" s="2" t="s">
        <v>60</v>
      </c>
      <c r="M21">
        <v>698</v>
      </c>
      <c r="N21" s="1" t="s">
        <v>20</v>
      </c>
      <c r="Q21" t="s">
        <v>1034</v>
      </c>
      <c r="R21" t="s">
        <v>136</v>
      </c>
      <c r="S21" t="s">
        <v>129</v>
      </c>
      <c r="T21" t="s">
        <v>130</v>
      </c>
      <c r="U21">
        <v>1156.75</v>
      </c>
      <c r="V21" t="s">
        <v>879</v>
      </c>
    </row>
    <row r="22" spans="12:33" x14ac:dyDescent="0.25">
      <c r="L22" s="2" t="s">
        <v>61</v>
      </c>
      <c r="M22">
        <v>830</v>
      </c>
      <c r="N22" s="1" t="s">
        <v>20</v>
      </c>
      <c r="Q22" t="s">
        <v>1035</v>
      </c>
      <c r="R22" t="s">
        <v>136</v>
      </c>
      <c r="S22" t="s">
        <v>129</v>
      </c>
      <c r="T22" t="s">
        <v>130</v>
      </c>
      <c r="U22">
        <v>1288.75</v>
      </c>
      <c r="V22" t="s">
        <v>879</v>
      </c>
    </row>
    <row r="23" spans="12:33" x14ac:dyDescent="0.25">
      <c r="L23" s="2" t="s">
        <v>62</v>
      </c>
      <c r="M23">
        <v>962</v>
      </c>
      <c r="N23" s="1" t="s">
        <v>20</v>
      </c>
      <c r="Q23" t="s">
        <v>1036</v>
      </c>
      <c r="R23" t="s">
        <v>137</v>
      </c>
      <c r="S23" t="s">
        <v>121</v>
      </c>
      <c r="T23" t="s">
        <v>125</v>
      </c>
      <c r="U23">
        <v>118.75</v>
      </c>
      <c r="V23" t="s">
        <v>880</v>
      </c>
    </row>
    <row r="24" spans="12:33" x14ac:dyDescent="0.25">
      <c r="L24" s="2" t="s">
        <v>63</v>
      </c>
      <c r="M24">
        <v>1094</v>
      </c>
      <c r="N24" s="1" t="s">
        <v>20</v>
      </c>
      <c r="Q24" t="s">
        <v>1037</v>
      </c>
      <c r="R24" t="s">
        <v>137</v>
      </c>
      <c r="S24" t="s">
        <v>121</v>
      </c>
      <c r="T24" t="s">
        <v>125</v>
      </c>
      <c r="U24">
        <v>250.75</v>
      </c>
      <c r="V24" t="s">
        <v>880</v>
      </c>
    </row>
    <row r="25" spans="12:33" x14ac:dyDescent="0.25">
      <c r="L25" s="2" t="s">
        <v>64</v>
      </c>
      <c r="M25">
        <v>1226</v>
      </c>
      <c r="N25" s="1" t="s">
        <v>20</v>
      </c>
      <c r="Q25" t="s">
        <v>1038</v>
      </c>
      <c r="R25" t="s">
        <v>137</v>
      </c>
      <c r="S25" t="s">
        <v>121</v>
      </c>
      <c r="T25" t="s">
        <v>125</v>
      </c>
      <c r="U25">
        <v>382.75</v>
      </c>
      <c r="V25" t="s">
        <v>880</v>
      </c>
    </row>
    <row r="26" spans="12:33" x14ac:dyDescent="0.25">
      <c r="L26" s="2" t="s">
        <v>66</v>
      </c>
      <c r="M26">
        <v>1358</v>
      </c>
      <c r="N26" s="1" t="s">
        <v>20</v>
      </c>
      <c r="Q26" t="s">
        <v>1039</v>
      </c>
      <c r="R26" t="s">
        <v>137</v>
      </c>
      <c r="S26" t="s">
        <v>121</v>
      </c>
      <c r="T26" t="s">
        <v>125</v>
      </c>
      <c r="U26">
        <v>514.75</v>
      </c>
      <c r="V26" t="s">
        <v>879</v>
      </c>
    </row>
    <row r="27" spans="12:33" x14ac:dyDescent="0.25">
      <c r="L27" s="2" t="s">
        <v>65</v>
      </c>
      <c r="M27">
        <v>1388</v>
      </c>
      <c r="N27" s="1" t="s">
        <v>20</v>
      </c>
      <c r="O27" t="s">
        <v>180</v>
      </c>
      <c r="Q27" t="s">
        <v>1040</v>
      </c>
      <c r="R27" t="s">
        <v>137</v>
      </c>
      <c r="S27" t="s">
        <v>121</v>
      </c>
      <c r="T27" t="s">
        <v>125</v>
      </c>
      <c r="U27">
        <v>646.75</v>
      </c>
      <c r="V27" t="s">
        <v>879</v>
      </c>
    </row>
    <row r="28" spans="12:33" x14ac:dyDescent="0.25">
      <c r="Q28" t="s">
        <v>1041</v>
      </c>
      <c r="R28" t="s">
        <v>137</v>
      </c>
      <c r="S28" t="s">
        <v>121</v>
      </c>
      <c r="T28" t="s">
        <v>125</v>
      </c>
      <c r="U28">
        <v>778.75</v>
      </c>
      <c r="V28" t="s">
        <v>879</v>
      </c>
    </row>
    <row r="29" spans="12:33" x14ac:dyDescent="0.25">
      <c r="Q29" t="s">
        <v>1042</v>
      </c>
      <c r="R29" t="s">
        <v>137</v>
      </c>
      <c r="S29" t="s">
        <v>121</v>
      </c>
      <c r="T29" t="s">
        <v>125</v>
      </c>
      <c r="U29">
        <v>910.75</v>
      </c>
      <c r="V29" t="s">
        <v>879</v>
      </c>
    </row>
    <row r="30" spans="12:33" x14ac:dyDescent="0.25">
      <c r="Q30" t="s">
        <v>1043</v>
      </c>
      <c r="R30" t="s">
        <v>137</v>
      </c>
      <c r="S30" t="s">
        <v>121</v>
      </c>
      <c r="T30" t="s">
        <v>125</v>
      </c>
      <c r="U30">
        <v>1024.75</v>
      </c>
      <c r="V30" t="s">
        <v>879</v>
      </c>
    </row>
    <row r="31" spans="12:33" x14ac:dyDescent="0.25">
      <c r="Q31" t="s">
        <v>1044</v>
      </c>
      <c r="R31" t="s">
        <v>137</v>
      </c>
      <c r="S31" t="s">
        <v>121</v>
      </c>
      <c r="T31" t="s">
        <v>125</v>
      </c>
      <c r="U31">
        <v>1156.75</v>
      </c>
      <c r="V31" t="s">
        <v>879</v>
      </c>
    </row>
    <row r="32" spans="12:33" x14ac:dyDescent="0.25">
      <c r="Q32" t="s">
        <v>1045</v>
      </c>
      <c r="R32" t="s">
        <v>137</v>
      </c>
      <c r="S32" t="s">
        <v>121</v>
      </c>
      <c r="T32" t="s">
        <v>125</v>
      </c>
      <c r="U32">
        <v>1288.75</v>
      </c>
      <c r="V32" t="s">
        <v>879</v>
      </c>
    </row>
    <row r="33" spans="17:22" x14ac:dyDescent="0.25">
      <c r="Q33" t="s">
        <v>1046</v>
      </c>
      <c r="R33" t="s">
        <v>138</v>
      </c>
      <c r="S33" t="s">
        <v>124</v>
      </c>
      <c r="T33" t="s">
        <v>128</v>
      </c>
      <c r="U33">
        <v>118.75</v>
      </c>
      <c r="V33" t="s">
        <v>880</v>
      </c>
    </row>
    <row r="34" spans="17:22" x14ac:dyDescent="0.25">
      <c r="Q34" t="s">
        <v>1047</v>
      </c>
      <c r="R34" t="s">
        <v>138</v>
      </c>
      <c r="S34" t="s">
        <v>124</v>
      </c>
      <c r="T34" t="s">
        <v>128</v>
      </c>
      <c r="U34">
        <v>250.75</v>
      </c>
      <c r="V34" t="s">
        <v>880</v>
      </c>
    </row>
    <row r="35" spans="17:22" x14ac:dyDescent="0.25">
      <c r="Q35" t="s">
        <v>1048</v>
      </c>
      <c r="R35" t="s">
        <v>138</v>
      </c>
      <c r="S35" t="s">
        <v>124</v>
      </c>
      <c r="T35" t="s">
        <v>128</v>
      </c>
      <c r="U35">
        <v>382.75</v>
      </c>
      <c r="V35" t="s">
        <v>880</v>
      </c>
    </row>
    <row r="36" spans="17:22" x14ac:dyDescent="0.25">
      <c r="Q36" t="s">
        <v>1049</v>
      </c>
      <c r="R36" t="s">
        <v>138</v>
      </c>
      <c r="S36" t="s">
        <v>124</v>
      </c>
      <c r="T36" t="s">
        <v>128</v>
      </c>
      <c r="U36">
        <v>514.75</v>
      </c>
      <c r="V36" t="s">
        <v>879</v>
      </c>
    </row>
    <row r="37" spans="17:22" x14ac:dyDescent="0.25">
      <c r="Q37" t="s">
        <v>1050</v>
      </c>
      <c r="R37" t="s">
        <v>138</v>
      </c>
      <c r="S37" t="s">
        <v>124</v>
      </c>
      <c r="T37" t="s">
        <v>128</v>
      </c>
      <c r="U37">
        <v>646.75</v>
      </c>
      <c r="V37" t="s">
        <v>879</v>
      </c>
    </row>
    <row r="38" spans="17:22" x14ac:dyDescent="0.25">
      <c r="Q38" t="s">
        <v>1051</v>
      </c>
      <c r="R38" t="s">
        <v>138</v>
      </c>
      <c r="S38" t="s">
        <v>124</v>
      </c>
      <c r="T38" t="s">
        <v>128</v>
      </c>
      <c r="U38">
        <v>778.75</v>
      </c>
      <c r="V38" t="s">
        <v>879</v>
      </c>
    </row>
    <row r="39" spans="17:22" x14ac:dyDescent="0.25">
      <c r="Q39" t="s">
        <v>1052</v>
      </c>
      <c r="R39" t="s">
        <v>138</v>
      </c>
      <c r="S39" t="s">
        <v>124</v>
      </c>
      <c r="T39" t="s">
        <v>128</v>
      </c>
      <c r="U39">
        <v>910.75</v>
      </c>
      <c r="V39" t="s">
        <v>879</v>
      </c>
    </row>
    <row r="40" spans="17:22" x14ac:dyDescent="0.25">
      <c r="Q40" t="s">
        <v>1053</v>
      </c>
      <c r="R40" t="s">
        <v>138</v>
      </c>
      <c r="S40" t="s">
        <v>124</v>
      </c>
      <c r="T40" t="s">
        <v>128</v>
      </c>
      <c r="U40">
        <v>1024.75</v>
      </c>
      <c r="V40" t="s">
        <v>879</v>
      </c>
    </row>
    <row r="41" spans="17:22" x14ac:dyDescent="0.25">
      <c r="Q41" t="s">
        <v>1054</v>
      </c>
      <c r="R41" t="s">
        <v>138</v>
      </c>
      <c r="S41" t="s">
        <v>124</v>
      </c>
      <c r="T41" t="s">
        <v>128</v>
      </c>
      <c r="U41">
        <v>1156.75</v>
      </c>
      <c r="V41" t="s">
        <v>879</v>
      </c>
    </row>
    <row r="42" spans="17:22" x14ac:dyDescent="0.25">
      <c r="Q42" t="s">
        <v>1055</v>
      </c>
      <c r="R42" t="s">
        <v>138</v>
      </c>
      <c r="S42" t="s">
        <v>124</v>
      </c>
      <c r="T42" t="s">
        <v>128</v>
      </c>
      <c r="U42">
        <v>1288.75</v>
      </c>
      <c r="V42" t="s">
        <v>879</v>
      </c>
    </row>
  </sheetData>
  <mergeCells count="6">
    <mergeCell ref="AI1:AO1"/>
    <mergeCell ref="X1:AG1"/>
    <mergeCell ref="A1:G1"/>
    <mergeCell ref="I1:J1"/>
    <mergeCell ref="L1:O1"/>
    <mergeCell ref="Q1:V1"/>
  </mergeCells>
  <phoneticPr fontId="1" type="noConversion"/>
  <dataValidations count="6">
    <dataValidation type="list" allowBlank="1" showInputMessage="1" showErrorMessage="1" sqref="R3:T1048576" xr:uid="{BCBB513F-B03D-47FB-91B6-A0BA0D2EEB55}">
      <formula1>Column_Names</formula1>
    </dataValidation>
    <dataValidation type="list" allowBlank="1" showInputMessage="1" showErrorMessage="1" sqref="B3:G1048576" xr:uid="{226C52AB-2855-4EA7-B6AB-B5F2F56CA368}">
      <formula1>"Fixed,Free"</formula1>
    </dataValidation>
    <dataValidation type="whole" operator="greaterThan" allowBlank="1" showInputMessage="1" showErrorMessage="1" sqref="AM3:AM1048576 AO3:AO1048576" xr:uid="{9E9255E1-9F84-4D80-BE84-EE0F283E8D1C}">
      <formula1>0</formula1>
    </dataValidation>
    <dataValidation type="decimal" operator="greaterThan" allowBlank="1" showInputMessage="1" showErrorMessage="1" sqref="AL3:AL1048576 AN3:AN1048576" xr:uid="{3800E075-9527-4426-B043-B678F8496B10}">
      <formula1>0</formula1>
    </dataValidation>
    <dataValidation type="list" allowBlank="1" showInputMessage="1" showErrorMessage="1" sqref="AJ3:AJ1048576" xr:uid="{D65598EB-3AA7-48A8-A415-7D7402C2ED0C}">
      <formula1>Node_List</formula1>
    </dataValidation>
    <dataValidation type="list" allowBlank="1" showInputMessage="1" showErrorMessage="1" sqref="AE3:AE1048576" xr:uid="{5FF78CA5-5EA0-4268-AC69-32ED246EEA30}">
      <formula1>"TRUE,FALSE"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26033-4C6A-4629-80B2-17D26D1C801E}">
  <sheetPr codeName="Sheet1">
    <tabColor rgb="FF92D050"/>
  </sheetPr>
  <dimension ref="A1:C8"/>
  <sheetViews>
    <sheetView workbookViewId="0">
      <pane ySplit="1" topLeftCell="A2" activePane="bottomLeft" state="frozen"/>
      <selection pane="bottomLeft" activeCell="A10" sqref="A10"/>
    </sheetView>
  </sheetViews>
  <sheetFormatPr defaultColWidth="0" defaultRowHeight="15" x14ac:dyDescent="0.25"/>
  <cols>
    <col min="1" max="1" width="31" customWidth="1"/>
    <col min="2" max="2" width="23.140625" customWidth="1"/>
    <col min="3" max="3" width="96.85546875" customWidth="1"/>
    <col min="4" max="16384" width="9.140625" hidden="1"/>
  </cols>
  <sheetData>
    <row r="1" spans="1:3" x14ac:dyDescent="0.25">
      <c r="A1" s="8" t="s">
        <v>1623</v>
      </c>
      <c r="B1" s="8" t="s">
        <v>1622</v>
      </c>
      <c r="C1" s="8" t="s">
        <v>177</v>
      </c>
    </row>
    <row r="2" spans="1:3" x14ac:dyDescent="0.25">
      <c r="A2" t="s">
        <v>1624</v>
      </c>
    </row>
    <row r="3" spans="1:3" x14ac:dyDescent="0.25">
      <c r="A3" t="s">
        <v>1625</v>
      </c>
    </row>
    <row r="4" spans="1:3" x14ac:dyDescent="0.25">
      <c r="A4" t="s">
        <v>1626</v>
      </c>
    </row>
    <row r="5" spans="1:3" x14ac:dyDescent="0.25">
      <c r="A5" t="s">
        <v>1627</v>
      </c>
      <c r="B5" t="b">
        <v>1</v>
      </c>
      <c r="C5" t="s">
        <v>1628</v>
      </c>
    </row>
    <row r="8" spans="1:3" x14ac:dyDescent="0.25">
      <c r="A8" t="s">
        <v>1636</v>
      </c>
    </row>
  </sheetData>
  <dataValidations count="1">
    <dataValidation type="list" allowBlank="1" showInputMessage="1" showErrorMessage="1" sqref="B5" xr:uid="{FDCB7732-B5A1-405A-B0CC-893D315D7A22}">
      <formula1>"TRUE,FALSE"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AB555-EF36-41B1-A460-F0DABD39D991}">
  <sheetPr codeName="Sheet32">
    <tabColor rgb="FFFFC000"/>
  </sheetPr>
  <dimension ref="A1:U62"/>
  <sheetViews>
    <sheetView topLeftCell="A22" workbookViewId="0">
      <selection activeCell="D35" sqref="D35"/>
    </sheetView>
  </sheetViews>
  <sheetFormatPr defaultRowHeight="15" x14ac:dyDescent="0.25"/>
  <cols>
    <col min="1" max="1" width="23.5703125" customWidth="1"/>
    <col min="2" max="2" width="30.140625" customWidth="1"/>
    <col min="3" max="3" width="16.7109375" customWidth="1"/>
    <col min="4" max="5" width="17.42578125" customWidth="1"/>
    <col min="6" max="6" width="10.85546875" style="2" customWidth="1"/>
    <col min="7" max="7" width="9.140625" style="1"/>
    <col min="8" max="8" width="2.85546875" style="3" customWidth="1"/>
    <col min="11" max="11" width="16.140625" customWidth="1"/>
  </cols>
  <sheetData>
    <row r="1" spans="1:21" x14ac:dyDescent="0.25">
      <c r="A1" t="s">
        <v>1</v>
      </c>
      <c r="B1" t="s">
        <v>1459</v>
      </c>
      <c r="C1" t="s">
        <v>867</v>
      </c>
      <c r="D1" t="s">
        <v>854</v>
      </c>
      <c r="E1" t="s">
        <v>865</v>
      </c>
      <c r="F1" s="2" t="s">
        <v>863</v>
      </c>
      <c r="G1" t="s">
        <v>866</v>
      </c>
    </row>
    <row r="2" spans="1:21" x14ac:dyDescent="0.25">
      <c r="A2" t="s">
        <v>826</v>
      </c>
      <c r="B2" t="s">
        <v>1461</v>
      </c>
      <c r="C2" t="s">
        <v>829</v>
      </c>
      <c r="D2" t="s">
        <v>872</v>
      </c>
      <c r="F2" s="2" t="s">
        <v>1525</v>
      </c>
      <c r="G2" s="1" t="s">
        <v>790</v>
      </c>
      <c r="K2" t="s">
        <v>828</v>
      </c>
      <c r="L2" t="s">
        <v>827</v>
      </c>
      <c r="Q2" t="s">
        <v>826</v>
      </c>
      <c r="R2" t="s">
        <v>1519</v>
      </c>
      <c r="S2" t="s">
        <v>862</v>
      </c>
      <c r="T2" t="s">
        <v>1465</v>
      </c>
      <c r="U2" t="s">
        <v>1466</v>
      </c>
    </row>
    <row r="3" spans="1:21" x14ac:dyDescent="0.25">
      <c r="A3" t="s">
        <v>826</v>
      </c>
      <c r="B3" t="s">
        <v>2669</v>
      </c>
      <c r="C3" t="s">
        <v>833</v>
      </c>
      <c r="D3" t="s">
        <v>1469</v>
      </c>
      <c r="G3" s="1" t="s">
        <v>790</v>
      </c>
      <c r="K3" t="s">
        <v>826</v>
      </c>
      <c r="L3" t="s">
        <v>829</v>
      </c>
    </row>
    <row r="4" spans="1:21" x14ac:dyDescent="0.25">
      <c r="A4" t="s">
        <v>1519</v>
      </c>
      <c r="B4" t="s">
        <v>1521</v>
      </c>
      <c r="C4" t="s">
        <v>855</v>
      </c>
      <c r="D4" t="s">
        <v>1522</v>
      </c>
      <c r="G4" s="1" t="s">
        <v>790</v>
      </c>
      <c r="K4" t="s">
        <v>826</v>
      </c>
      <c r="L4" t="s">
        <v>830</v>
      </c>
      <c r="Q4" t="str" cm="1">
        <f t="array" ref="Q4:Q29">_xlfn._xlws.FILTER($L:$L,$K:$K=Q2,"")</f>
        <v>disp</v>
      </c>
      <c r="R4" t="str" cm="1">
        <f t="array" ref="R4:R11">_xlfn._xlws.FILTER($L:$L,$K:$K=R2,"")</f>
        <v>force</v>
      </c>
      <c r="S4" t="str" cm="1">
        <f t="array" ref="S4:S5">_xlfn._xlws.FILTER($L:$L,$K:$K=S2,"")</f>
        <v>force</v>
      </c>
      <c r="T4" t="str" cm="1">
        <f t="array" ref="T4:T9">_xlfn._xlws.FILTER($L:$L,$K:$K=T2,"")</f>
        <v>force</v>
      </c>
      <c r="U4" t="str" cm="1">
        <f t="array" ref="U4:U9">_xlfn._xlws.FILTER($L:$L,$K:$K=U2,"")</f>
        <v>force</v>
      </c>
    </row>
    <row r="5" spans="1:21" x14ac:dyDescent="0.25">
      <c r="A5" t="s">
        <v>1519</v>
      </c>
      <c r="B5" t="s">
        <v>1523</v>
      </c>
      <c r="C5" t="s">
        <v>855</v>
      </c>
      <c r="D5" t="s">
        <v>1524</v>
      </c>
      <c r="G5" s="1" t="s">
        <v>790</v>
      </c>
      <c r="K5" t="s">
        <v>826</v>
      </c>
      <c r="L5" t="s">
        <v>831</v>
      </c>
      <c r="Q5" t="str">
        <v>vel</v>
      </c>
      <c r="R5" t="str">
        <v>localForce</v>
      </c>
      <c r="S5" t="str">
        <v>localForce</v>
      </c>
      <c r="T5" t="str">
        <v>localForce</v>
      </c>
      <c r="U5" t="str">
        <v>axialForce</v>
      </c>
    </row>
    <row r="6" spans="1:21" x14ac:dyDescent="0.25">
      <c r="A6" t="s">
        <v>826</v>
      </c>
      <c r="B6" t="s">
        <v>1460</v>
      </c>
      <c r="C6" t="s">
        <v>829</v>
      </c>
      <c r="D6" t="s">
        <v>864</v>
      </c>
      <c r="G6" s="1" t="s">
        <v>790</v>
      </c>
      <c r="K6" t="s">
        <v>826</v>
      </c>
      <c r="L6" t="s">
        <v>832</v>
      </c>
      <c r="Q6" t="str">
        <v>accel</v>
      </c>
      <c r="R6" t="str">
        <v>basicForce</v>
      </c>
      <c r="T6" t="str">
        <v>deformations</v>
      </c>
      <c r="U6" t="str">
        <v>deformations</v>
      </c>
    </row>
    <row r="7" spans="1:21" x14ac:dyDescent="0.25">
      <c r="A7" t="s">
        <v>1519</v>
      </c>
      <c r="B7" t="s">
        <v>2651</v>
      </c>
      <c r="C7" t="s">
        <v>855</v>
      </c>
      <c r="D7" t="s">
        <v>2684</v>
      </c>
      <c r="Q7" t="str">
        <v>incrDisp</v>
      </c>
      <c r="R7" t="str">
        <v>deformations</v>
      </c>
      <c r="T7" t="str">
        <v>basicStiffness</v>
      </c>
      <c r="U7" t="str">
        <v>basicStiffness</v>
      </c>
    </row>
    <row r="8" spans="1:21" x14ac:dyDescent="0.25">
      <c r="A8" t="s">
        <v>1519</v>
      </c>
      <c r="B8" t="s">
        <v>2652</v>
      </c>
      <c r="C8" t="s">
        <v>855</v>
      </c>
      <c r="D8" t="s">
        <v>2685</v>
      </c>
      <c r="Q8" t="str">
        <v>reaction</v>
      </c>
      <c r="R8" t="str">
        <v>chordRotation</v>
      </c>
      <c r="T8" t="str">
        <v>deformationsANDforces</v>
      </c>
      <c r="U8" t="str">
        <v>deformationsANDforces</v>
      </c>
    </row>
    <row r="9" spans="1:21" x14ac:dyDescent="0.25">
      <c r="A9" t="s">
        <v>1519</v>
      </c>
      <c r="B9" t="s">
        <v>1523</v>
      </c>
      <c r="C9" t="s">
        <v>855</v>
      </c>
      <c r="D9" t="s">
        <v>1524</v>
      </c>
      <c r="Q9" t="str">
        <v>rayleighForces</v>
      </c>
      <c r="R9" t="str">
        <v>xaxis</v>
      </c>
      <c r="T9" t="str">
        <v>dampingForces</v>
      </c>
      <c r="U9" t="str">
        <v>dampingForces</v>
      </c>
    </row>
    <row r="10" spans="1:21" x14ac:dyDescent="0.25">
      <c r="A10" t="s">
        <v>1519</v>
      </c>
      <c r="B10" t="s">
        <v>1521</v>
      </c>
      <c r="C10" t="s">
        <v>855</v>
      </c>
      <c r="D10" t="s">
        <v>1522</v>
      </c>
      <c r="Q10" t="str">
        <v>eigen 1</v>
      </c>
      <c r="R10" t="str">
        <v>yaxis</v>
      </c>
    </row>
    <row r="11" spans="1:21" x14ac:dyDescent="0.25">
      <c r="A11" t="s">
        <v>1519</v>
      </c>
      <c r="B11" t="s">
        <v>2686</v>
      </c>
      <c r="C11" t="s">
        <v>855</v>
      </c>
      <c r="D11" t="s">
        <v>2687</v>
      </c>
      <c r="Q11" t="str">
        <v>eigen 2</v>
      </c>
      <c r="R11" t="str">
        <v>zaxis</v>
      </c>
    </row>
    <row r="12" spans="1:21" x14ac:dyDescent="0.25">
      <c r="A12" t="s">
        <v>826</v>
      </c>
      <c r="C12" t="s">
        <v>834</v>
      </c>
      <c r="D12" t="s">
        <v>2656</v>
      </c>
      <c r="E12" t="s">
        <v>2657</v>
      </c>
      <c r="F12" s="2" t="s">
        <v>2659</v>
      </c>
      <c r="G12" s="1" t="s">
        <v>790</v>
      </c>
      <c r="Q12" t="str">
        <v>eigen 3</v>
      </c>
    </row>
    <row r="13" spans="1:21" x14ac:dyDescent="0.25">
      <c r="A13" t="s">
        <v>826</v>
      </c>
      <c r="C13" t="s">
        <v>835</v>
      </c>
      <c r="D13" t="s">
        <v>2660</v>
      </c>
      <c r="E13" t="s">
        <v>2657</v>
      </c>
      <c r="F13" s="2" t="s">
        <v>2659</v>
      </c>
      <c r="G13" s="1" t="s">
        <v>790</v>
      </c>
      <c r="Q13" t="str">
        <v>eigen 4</v>
      </c>
    </row>
    <row r="14" spans="1:21" x14ac:dyDescent="0.25">
      <c r="A14" t="s">
        <v>826</v>
      </c>
      <c r="C14" t="s">
        <v>836</v>
      </c>
      <c r="D14" t="s">
        <v>2661</v>
      </c>
      <c r="E14" t="s">
        <v>2657</v>
      </c>
      <c r="F14" s="2" t="s">
        <v>2659</v>
      </c>
      <c r="G14" s="1" t="s">
        <v>790</v>
      </c>
      <c r="Q14" t="str">
        <v>eigen 5</v>
      </c>
    </row>
    <row r="15" spans="1:21" x14ac:dyDescent="0.25">
      <c r="A15" t="s">
        <v>826</v>
      </c>
      <c r="C15" t="s">
        <v>837</v>
      </c>
      <c r="D15" t="s">
        <v>2662</v>
      </c>
      <c r="E15" t="s">
        <v>2657</v>
      </c>
      <c r="F15" s="2" t="s">
        <v>2659</v>
      </c>
      <c r="G15" s="1" t="s">
        <v>790</v>
      </c>
      <c r="Q15" t="str">
        <v>eigen 6</v>
      </c>
    </row>
    <row r="16" spans="1:21" x14ac:dyDescent="0.25">
      <c r="A16" t="s">
        <v>826</v>
      </c>
      <c r="C16" t="s">
        <v>838</v>
      </c>
      <c r="D16" t="s">
        <v>2663</v>
      </c>
      <c r="E16" t="s">
        <v>2657</v>
      </c>
      <c r="F16" s="2" t="s">
        <v>2659</v>
      </c>
      <c r="G16" s="1" t="s">
        <v>790</v>
      </c>
      <c r="Q16" t="str">
        <v>eigen 7</v>
      </c>
    </row>
    <row r="17" spans="1:17" x14ac:dyDescent="0.25">
      <c r="A17" t="s">
        <v>826</v>
      </c>
      <c r="C17" t="s">
        <v>839</v>
      </c>
      <c r="D17" t="s">
        <v>2664</v>
      </c>
      <c r="E17" t="s">
        <v>2657</v>
      </c>
      <c r="F17" s="2" t="s">
        <v>2659</v>
      </c>
      <c r="G17" s="1" t="s">
        <v>790</v>
      </c>
      <c r="Q17" t="str">
        <v>eigen 8</v>
      </c>
    </row>
    <row r="18" spans="1:17" x14ac:dyDescent="0.25">
      <c r="A18" t="s">
        <v>826</v>
      </c>
      <c r="C18" t="s">
        <v>840</v>
      </c>
      <c r="D18" t="s">
        <v>2665</v>
      </c>
      <c r="E18" t="s">
        <v>2657</v>
      </c>
      <c r="F18" s="2" t="s">
        <v>2659</v>
      </c>
      <c r="G18" s="1" t="s">
        <v>790</v>
      </c>
      <c r="K18" t="s">
        <v>826</v>
      </c>
      <c r="L18" t="s">
        <v>833</v>
      </c>
      <c r="Q18" t="str">
        <v>eigen 9</v>
      </c>
    </row>
    <row r="19" spans="1:17" x14ac:dyDescent="0.25">
      <c r="A19" t="s">
        <v>826</v>
      </c>
      <c r="C19" t="s">
        <v>841</v>
      </c>
      <c r="D19" t="s">
        <v>2666</v>
      </c>
      <c r="E19" t="s">
        <v>2657</v>
      </c>
      <c r="F19" s="2" t="s">
        <v>2659</v>
      </c>
      <c r="G19" s="1" t="s">
        <v>790</v>
      </c>
      <c r="K19" t="s">
        <v>826</v>
      </c>
      <c r="L19" t="s">
        <v>871</v>
      </c>
      <c r="Q19" t="str">
        <v>eigen 10</v>
      </c>
    </row>
    <row r="20" spans="1:17" x14ac:dyDescent="0.25">
      <c r="A20" t="s">
        <v>826</v>
      </c>
      <c r="C20" t="s">
        <v>842</v>
      </c>
      <c r="D20" t="s">
        <v>2667</v>
      </c>
      <c r="E20" t="s">
        <v>2657</v>
      </c>
      <c r="F20" s="2" t="s">
        <v>2659</v>
      </c>
      <c r="G20" s="1" t="s">
        <v>790</v>
      </c>
      <c r="K20" t="s">
        <v>826</v>
      </c>
      <c r="L20" t="s">
        <v>834</v>
      </c>
      <c r="Q20" t="str">
        <v>eigen 11</v>
      </c>
    </row>
    <row r="21" spans="1:17" x14ac:dyDescent="0.25">
      <c r="A21" t="s">
        <v>826</v>
      </c>
      <c r="B21" t="s">
        <v>2674</v>
      </c>
      <c r="C21" t="s">
        <v>829</v>
      </c>
      <c r="D21" t="s">
        <v>2675</v>
      </c>
      <c r="G21" s="1" t="s">
        <v>790</v>
      </c>
      <c r="K21" t="s">
        <v>826</v>
      </c>
      <c r="L21" t="s">
        <v>835</v>
      </c>
      <c r="Q21" t="str">
        <v>eigen 12</v>
      </c>
    </row>
    <row r="22" spans="1:17" x14ac:dyDescent="0.25">
      <c r="A22" t="s">
        <v>826</v>
      </c>
      <c r="B22" t="s">
        <v>2674</v>
      </c>
      <c r="C22" t="s">
        <v>833</v>
      </c>
      <c r="D22" t="s">
        <v>2676</v>
      </c>
      <c r="G22" s="1" t="s">
        <v>790</v>
      </c>
      <c r="K22" t="s">
        <v>826</v>
      </c>
      <c r="L22" t="s">
        <v>836</v>
      </c>
      <c r="Q22" t="str">
        <v>eigen 13</v>
      </c>
    </row>
    <row r="23" spans="1:17" x14ac:dyDescent="0.25">
      <c r="A23" t="s">
        <v>826</v>
      </c>
      <c r="B23" t="s">
        <v>2658</v>
      </c>
      <c r="C23" t="s">
        <v>829</v>
      </c>
      <c r="D23" t="s">
        <v>2677</v>
      </c>
      <c r="G23" s="1" t="s">
        <v>790</v>
      </c>
      <c r="K23" t="s">
        <v>826</v>
      </c>
      <c r="L23" t="s">
        <v>837</v>
      </c>
      <c r="Q23" t="str">
        <v>eigen 14</v>
      </c>
    </row>
    <row r="24" spans="1:17" x14ac:dyDescent="0.25">
      <c r="A24" t="s">
        <v>1465</v>
      </c>
      <c r="B24" t="s">
        <v>2678</v>
      </c>
      <c r="C24" t="s">
        <v>855</v>
      </c>
      <c r="D24" t="s">
        <v>2679</v>
      </c>
      <c r="G24" s="1" t="s">
        <v>790</v>
      </c>
      <c r="K24" t="s">
        <v>826</v>
      </c>
      <c r="L24" t="s">
        <v>838</v>
      </c>
      <c r="Q24" t="str">
        <v>eigen 15</v>
      </c>
    </row>
    <row r="25" spans="1:17" x14ac:dyDescent="0.25">
      <c r="A25" t="s">
        <v>1465</v>
      </c>
      <c r="B25" t="s">
        <v>2688</v>
      </c>
      <c r="C25" t="s">
        <v>2699</v>
      </c>
      <c r="D25" t="s">
        <v>2691</v>
      </c>
      <c r="K25" t="s">
        <v>826</v>
      </c>
      <c r="L25" t="s">
        <v>839</v>
      </c>
      <c r="Q25" t="str">
        <v>eigen 16</v>
      </c>
    </row>
    <row r="26" spans="1:17" x14ac:dyDescent="0.25">
      <c r="A26" t="s">
        <v>1465</v>
      </c>
      <c r="B26" t="s">
        <v>2688</v>
      </c>
      <c r="C26" t="s">
        <v>2689</v>
      </c>
      <c r="D26" t="s">
        <v>2692</v>
      </c>
      <c r="K26" t="s">
        <v>826</v>
      </c>
      <c r="L26" t="s">
        <v>840</v>
      </c>
      <c r="Q26" t="str">
        <v>eigen 17</v>
      </c>
    </row>
    <row r="27" spans="1:17" x14ac:dyDescent="0.25">
      <c r="A27" t="s">
        <v>1465</v>
      </c>
      <c r="B27" t="s">
        <v>2688</v>
      </c>
      <c r="C27" t="s">
        <v>2690</v>
      </c>
      <c r="D27" t="s">
        <v>2693</v>
      </c>
      <c r="K27" t="s">
        <v>826</v>
      </c>
      <c r="L27" t="s">
        <v>841</v>
      </c>
      <c r="Q27" t="str">
        <v>eigen 18</v>
      </c>
    </row>
    <row r="28" spans="1:17" x14ac:dyDescent="0.25">
      <c r="A28" t="s">
        <v>1466</v>
      </c>
      <c r="B28" t="s">
        <v>2694</v>
      </c>
      <c r="C28" t="s">
        <v>1467</v>
      </c>
      <c r="D28" t="s">
        <v>2695</v>
      </c>
      <c r="K28" t="s">
        <v>826</v>
      </c>
      <c r="L28" t="s">
        <v>842</v>
      </c>
      <c r="Q28" t="str">
        <v>eigen 19</v>
      </c>
    </row>
    <row r="29" spans="1:17" x14ac:dyDescent="0.25">
      <c r="A29" t="s">
        <v>1466</v>
      </c>
      <c r="B29" t="s">
        <v>2694</v>
      </c>
      <c r="C29" t="s">
        <v>855</v>
      </c>
      <c r="D29" t="s">
        <v>2696</v>
      </c>
      <c r="K29" t="s">
        <v>826</v>
      </c>
      <c r="L29" t="s">
        <v>843</v>
      </c>
      <c r="Q29" t="str">
        <v>eigen 20</v>
      </c>
    </row>
    <row r="30" spans="1:17" x14ac:dyDescent="0.25">
      <c r="A30" t="s">
        <v>1466</v>
      </c>
      <c r="B30" t="s">
        <v>2694</v>
      </c>
      <c r="C30" t="s">
        <v>2689</v>
      </c>
      <c r="D30" t="s">
        <v>2697</v>
      </c>
      <c r="K30" t="s">
        <v>826</v>
      </c>
      <c r="L30" t="s">
        <v>844</v>
      </c>
    </row>
    <row r="31" spans="1:17" x14ac:dyDescent="0.25">
      <c r="A31" t="s">
        <v>1465</v>
      </c>
      <c r="B31" t="s">
        <v>2678</v>
      </c>
      <c r="C31" t="s">
        <v>2690</v>
      </c>
      <c r="D31" t="s">
        <v>2710</v>
      </c>
      <c r="K31" t="s">
        <v>826</v>
      </c>
      <c r="L31" t="s">
        <v>845</v>
      </c>
    </row>
    <row r="32" spans="1:17" x14ac:dyDescent="0.25">
      <c r="A32" t="s">
        <v>826</v>
      </c>
      <c r="B32" t="s">
        <v>1461</v>
      </c>
      <c r="C32" t="s">
        <v>831</v>
      </c>
      <c r="D32" t="s">
        <v>2714</v>
      </c>
      <c r="F32" s="2" t="s">
        <v>1525</v>
      </c>
      <c r="K32" t="s">
        <v>826</v>
      </c>
      <c r="L32" t="s">
        <v>846</v>
      </c>
    </row>
    <row r="33" spans="1:12" x14ac:dyDescent="0.25">
      <c r="A33" t="s">
        <v>1519</v>
      </c>
      <c r="B33" t="s">
        <v>2752</v>
      </c>
      <c r="C33" t="s">
        <v>855</v>
      </c>
      <c r="D33" t="s">
        <v>2751</v>
      </c>
      <c r="K33" t="s">
        <v>826</v>
      </c>
      <c r="L33" t="s">
        <v>847</v>
      </c>
    </row>
    <row r="34" spans="1:12" x14ac:dyDescent="0.25">
      <c r="A34" t="s">
        <v>1519</v>
      </c>
      <c r="B34" t="s">
        <v>2658</v>
      </c>
      <c r="C34" t="s">
        <v>2699</v>
      </c>
      <c r="D34" t="s">
        <v>2753</v>
      </c>
      <c r="K34" t="s">
        <v>826</v>
      </c>
      <c r="L34" t="s">
        <v>848</v>
      </c>
    </row>
    <row r="35" spans="1:12" x14ac:dyDescent="0.25">
      <c r="A35" t="s">
        <v>1519</v>
      </c>
      <c r="B35" t="s">
        <v>2752</v>
      </c>
      <c r="C35" t="s">
        <v>2699</v>
      </c>
      <c r="D35" t="s">
        <v>2754</v>
      </c>
      <c r="K35" t="s">
        <v>826</v>
      </c>
      <c r="L35" t="s">
        <v>849</v>
      </c>
    </row>
    <row r="36" spans="1:12" x14ac:dyDescent="0.25">
      <c r="K36" t="s">
        <v>826</v>
      </c>
      <c r="L36" t="s">
        <v>850</v>
      </c>
    </row>
    <row r="37" spans="1:12" x14ac:dyDescent="0.25">
      <c r="K37" t="s">
        <v>826</v>
      </c>
      <c r="L37" t="s">
        <v>851</v>
      </c>
    </row>
    <row r="38" spans="1:12" x14ac:dyDescent="0.25">
      <c r="K38" t="s">
        <v>826</v>
      </c>
      <c r="L38" t="s">
        <v>852</v>
      </c>
    </row>
    <row r="39" spans="1:12" x14ac:dyDescent="0.25">
      <c r="K39" t="s">
        <v>826</v>
      </c>
      <c r="L39" t="s">
        <v>853</v>
      </c>
    </row>
    <row r="40" spans="1:12" x14ac:dyDescent="0.25">
      <c r="K40" t="s">
        <v>1519</v>
      </c>
      <c r="L40" t="s">
        <v>855</v>
      </c>
    </row>
    <row r="41" spans="1:12" x14ac:dyDescent="0.25">
      <c r="K41" t="s">
        <v>1519</v>
      </c>
      <c r="L41" t="s">
        <v>856</v>
      </c>
    </row>
    <row r="42" spans="1:12" x14ac:dyDescent="0.25">
      <c r="K42" t="s">
        <v>1519</v>
      </c>
      <c r="L42" t="s">
        <v>2699</v>
      </c>
    </row>
    <row r="43" spans="1:12" x14ac:dyDescent="0.25">
      <c r="K43" t="s">
        <v>1519</v>
      </c>
      <c r="L43" t="s">
        <v>857</v>
      </c>
    </row>
    <row r="44" spans="1:12" x14ac:dyDescent="0.25">
      <c r="K44" t="s">
        <v>1519</v>
      </c>
      <c r="L44" t="s">
        <v>858</v>
      </c>
    </row>
    <row r="45" spans="1:12" x14ac:dyDescent="0.25">
      <c r="K45" t="s">
        <v>1519</v>
      </c>
      <c r="L45" t="s">
        <v>859</v>
      </c>
    </row>
    <row r="46" spans="1:12" x14ac:dyDescent="0.25">
      <c r="K46" t="s">
        <v>1519</v>
      </c>
      <c r="L46" t="s">
        <v>860</v>
      </c>
    </row>
    <row r="47" spans="1:12" x14ac:dyDescent="0.25">
      <c r="K47" t="s">
        <v>1519</v>
      </c>
      <c r="L47" t="s">
        <v>861</v>
      </c>
    </row>
    <row r="48" spans="1:12" x14ac:dyDescent="0.25">
      <c r="K48" t="s">
        <v>862</v>
      </c>
      <c r="L48" t="s">
        <v>855</v>
      </c>
    </row>
    <row r="49" spans="11:12" x14ac:dyDescent="0.25">
      <c r="K49" t="s">
        <v>862</v>
      </c>
      <c r="L49" t="s">
        <v>856</v>
      </c>
    </row>
    <row r="50" spans="11:12" x14ac:dyDescent="0.25">
      <c r="K50" t="s">
        <v>1465</v>
      </c>
      <c r="L50" t="s">
        <v>855</v>
      </c>
    </row>
    <row r="51" spans="11:12" x14ac:dyDescent="0.25">
      <c r="K51" t="s">
        <v>1465</v>
      </c>
      <c r="L51" t="s">
        <v>856</v>
      </c>
    </row>
    <row r="52" spans="11:12" x14ac:dyDescent="0.25">
      <c r="K52" t="s">
        <v>1465</v>
      </c>
      <c r="L52" t="s">
        <v>857</v>
      </c>
    </row>
    <row r="53" spans="11:12" x14ac:dyDescent="0.25">
      <c r="K53" t="s">
        <v>1465</v>
      </c>
      <c r="L53" t="s">
        <v>1462</v>
      </c>
    </row>
    <row r="54" spans="11:12" x14ac:dyDescent="0.25">
      <c r="K54" t="s">
        <v>1465</v>
      </c>
      <c r="L54" t="s">
        <v>1463</v>
      </c>
    </row>
    <row r="55" spans="11:12" x14ac:dyDescent="0.25">
      <c r="K55" t="s">
        <v>1465</v>
      </c>
      <c r="L55" t="s">
        <v>1464</v>
      </c>
    </row>
    <row r="56" spans="11:12" x14ac:dyDescent="0.25">
      <c r="K56" t="s">
        <v>1466</v>
      </c>
      <c r="L56" t="s">
        <v>855</v>
      </c>
    </row>
    <row r="57" spans="11:12" x14ac:dyDescent="0.25">
      <c r="K57" t="s">
        <v>1466</v>
      </c>
      <c r="L57" t="s">
        <v>1467</v>
      </c>
    </row>
    <row r="58" spans="11:12" x14ac:dyDescent="0.25">
      <c r="K58" t="s">
        <v>1466</v>
      </c>
      <c r="L58" t="s">
        <v>857</v>
      </c>
    </row>
    <row r="59" spans="11:12" x14ac:dyDescent="0.25">
      <c r="K59" t="s">
        <v>1466</v>
      </c>
      <c r="L59" t="s">
        <v>1462</v>
      </c>
    </row>
    <row r="60" spans="11:12" x14ac:dyDescent="0.25">
      <c r="K60" t="s">
        <v>1466</v>
      </c>
      <c r="L60" t="s">
        <v>1463</v>
      </c>
    </row>
    <row r="61" spans="11:12" x14ac:dyDescent="0.25">
      <c r="K61" t="s">
        <v>1466</v>
      </c>
      <c r="L61" t="s">
        <v>1464</v>
      </c>
    </row>
    <row r="62" spans="11:12" x14ac:dyDescent="0.25">
      <c r="K62" t="s">
        <v>1520</v>
      </c>
      <c r="L62" t="s">
        <v>855</v>
      </c>
    </row>
  </sheetData>
  <phoneticPr fontId="1" type="noConversion"/>
  <conditionalFormatting sqref="G3 G6:G11">
    <cfRule type="cellIs" dxfId="12" priority="27" operator="equal">
      <formula>"N"</formula>
    </cfRule>
    <cfRule type="cellIs" dxfId="11" priority="28" operator="equal">
      <formula>"Y"</formula>
    </cfRule>
  </conditionalFormatting>
  <conditionalFormatting sqref="G4:G5">
    <cfRule type="cellIs" dxfId="10" priority="25" operator="equal">
      <formula>"N"</formula>
    </cfRule>
    <cfRule type="cellIs" dxfId="9" priority="26" operator="equal">
      <formula>"Y"</formula>
    </cfRule>
  </conditionalFormatting>
  <conditionalFormatting sqref="G12:G1048576">
    <cfRule type="cellIs" dxfId="8" priority="19" operator="equal">
      <formula>"N"</formula>
    </cfRule>
    <cfRule type="cellIs" dxfId="7" priority="20" operator="equal">
      <formula>"Y"</formula>
    </cfRule>
  </conditionalFormatting>
  <conditionalFormatting sqref="G2">
    <cfRule type="cellIs" dxfId="6" priority="7" operator="equal">
      <formula>"N"</formula>
    </cfRule>
    <cfRule type="cellIs" dxfId="5" priority="8" operator="equal">
      <formula>"Y"</formula>
    </cfRule>
  </conditionalFormatting>
  <dataValidations count="3">
    <dataValidation type="list" allowBlank="1" showInputMessage="1" showErrorMessage="1" sqref="E23:E1048576 E2:E11" xr:uid="{6B84A898-4D54-4FE8-9E45-20EBED24D65F}">
      <formula1>Load_Case_list</formula1>
    </dataValidation>
    <dataValidation type="list" allowBlank="1" showInputMessage="1" showErrorMessage="1" sqref="A2:A1048576" xr:uid="{83ECF071-4826-4F7A-A88F-3F8605E3A78F}">
      <formula1>Recorder_Type_List</formula1>
    </dataValidation>
    <dataValidation type="list" allowBlank="1" showInputMessage="1" showErrorMessage="1" sqref="G2:G1048576" xr:uid="{C1009F06-08A7-4CC6-83A7-A238F8E59CD3}">
      <formula1>"Y,N"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8BB4B-B9AB-4BEF-AF2E-ED75F45C3553}">
  <sheetPr codeName="Sheet10">
    <tabColor rgb="FFFFC000"/>
  </sheetPr>
  <dimension ref="A1:T42"/>
  <sheetViews>
    <sheetView tabSelected="1" workbookViewId="0">
      <selection activeCell="D11" sqref="D11"/>
    </sheetView>
  </sheetViews>
  <sheetFormatPr defaultColWidth="9.140625" defaultRowHeight="15" x14ac:dyDescent="0.25"/>
  <cols>
    <col min="1" max="1" width="27.28515625" customWidth="1"/>
    <col min="2" max="2" width="6.7109375" style="1" customWidth="1"/>
    <col min="3" max="3" width="32.5703125" style="5" customWidth="1"/>
    <col min="4" max="4" width="52.5703125" style="5" customWidth="1"/>
    <col min="5" max="5" width="29.42578125" customWidth="1"/>
    <col min="6" max="6" width="23.42578125" customWidth="1"/>
    <col min="7" max="7" width="9.140625" customWidth="1"/>
    <col min="8" max="8" width="18.85546875" customWidth="1"/>
    <col min="9" max="9" width="14" customWidth="1"/>
    <col min="10" max="16379" width="9.140625" customWidth="1"/>
  </cols>
  <sheetData>
    <row r="1" spans="1:18" x14ac:dyDescent="0.25">
      <c r="A1" t="s">
        <v>49</v>
      </c>
      <c r="B1" s="1" t="s">
        <v>791</v>
      </c>
      <c r="C1" s="5" t="s">
        <v>2655</v>
      </c>
      <c r="D1" s="5" t="s">
        <v>1459</v>
      </c>
      <c r="E1" s="5" t="s">
        <v>177</v>
      </c>
    </row>
    <row r="2" spans="1:18" x14ac:dyDescent="0.25">
      <c r="A2" t="s">
        <v>789</v>
      </c>
      <c r="B2" s="1" t="s">
        <v>19</v>
      </c>
      <c r="C2" s="5" t="s">
        <v>789</v>
      </c>
    </row>
    <row r="3" spans="1:18" x14ac:dyDescent="0.25">
      <c r="A3" t="s">
        <v>868</v>
      </c>
      <c r="B3" s="1" t="s">
        <v>790</v>
      </c>
      <c r="C3" s="5" t="s">
        <v>2670</v>
      </c>
      <c r="D3" s="5" t="s">
        <v>2711</v>
      </c>
    </row>
    <row r="4" spans="1:18" x14ac:dyDescent="0.25">
      <c r="A4" t="s">
        <v>869</v>
      </c>
      <c r="B4" s="1" t="s">
        <v>790</v>
      </c>
      <c r="C4" s="5" t="s">
        <v>2670</v>
      </c>
      <c r="D4" s="5" t="s">
        <v>2712</v>
      </c>
    </row>
    <row r="5" spans="1:18" x14ac:dyDescent="0.25">
      <c r="A5" t="s">
        <v>2709</v>
      </c>
      <c r="B5" s="1" t="s">
        <v>790</v>
      </c>
      <c r="C5" s="5" t="s">
        <v>2670</v>
      </c>
      <c r="D5" s="5" t="s">
        <v>2713</v>
      </c>
    </row>
    <row r="6" spans="1:18" x14ac:dyDescent="0.25">
      <c r="A6" t="s">
        <v>869</v>
      </c>
      <c r="B6" s="1" t="s">
        <v>790</v>
      </c>
      <c r="C6" s="5" t="s">
        <v>2671</v>
      </c>
      <c r="D6" s="5" t="s">
        <v>2698</v>
      </c>
    </row>
    <row r="7" spans="1:18" x14ac:dyDescent="0.25">
      <c r="A7" t="s">
        <v>1468</v>
      </c>
      <c r="B7" s="1" t="s">
        <v>790</v>
      </c>
      <c r="C7" s="5" t="s">
        <v>408</v>
      </c>
    </row>
    <row r="8" spans="1:18" x14ac:dyDescent="0.25">
      <c r="A8" t="s">
        <v>792</v>
      </c>
      <c r="B8" s="1" t="s">
        <v>790</v>
      </c>
      <c r="C8" s="5" t="s">
        <v>873</v>
      </c>
    </row>
    <row r="9" spans="1:18" x14ac:dyDescent="0.25">
      <c r="A9" t="s">
        <v>875</v>
      </c>
      <c r="B9" s="1" t="s">
        <v>790</v>
      </c>
    </row>
    <row r="10" spans="1:18" x14ac:dyDescent="0.25">
      <c r="A10" t="s">
        <v>1526</v>
      </c>
      <c r="B10" s="1" t="s">
        <v>790</v>
      </c>
      <c r="C10" s="5" t="s">
        <v>408</v>
      </c>
    </row>
    <row r="11" spans="1:18" x14ac:dyDescent="0.25">
      <c r="A11" t="s">
        <v>2680</v>
      </c>
      <c r="B11" s="1" t="s">
        <v>19</v>
      </c>
      <c r="C11" s="5" t="s">
        <v>2682</v>
      </c>
      <c r="D11" s="5" t="s">
        <v>2775</v>
      </c>
    </row>
    <row r="12" spans="1:18" x14ac:dyDescent="0.25">
      <c r="A12" t="s">
        <v>2681</v>
      </c>
      <c r="B12" s="1" t="s">
        <v>790</v>
      </c>
      <c r="C12" s="5" t="s">
        <v>2682</v>
      </c>
      <c r="D12" s="5" t="s">
        <v>2683</v>
      </c>
    </row>
    <row r="13" spans="1:18" x14ac:dyDescent="0.25">
      <c r="A13" t="s">
        <v>2701</v>
      </c>
      <c r="B13" s="1" t="s">
        <v>790</v>
      </c>
      <c r="C13" s="5" t="s">
        <v>2700</v>
      </c>
      <c r="D13" s="5" t="s">
        <v>2705</v>
      </c>
    </row>
    <row r="14" spans="1:18" x14ac:dyDescent="0.25">
      <c r="A14" t="s">
        <v>2702</v>
      </c>
      <c r="B14" s="1" t="s">
        <v>790</v>
      </c>
      <c r="C14" s="5" t="s">
        <v>2700</v>
      </c>
      <c r="D14" s="5" t="s">
        <v>2708</v>
      </c>
    </row>
    <row r="15" spans="1:18" x14ac:dyDescent="0.25">
      <c r="A15" t="s">
        <v>2703</v>
      </c>
      <c r="B15" s="1" t="s">
        <v>790</v>
      </c>
      <c r="C15" s="5" t="s">
        <v>2700</v>
      </c>
      <c r="D15" s="5" t="s">
        <v>2706</v>
      </c>
    </row>
    <row r="16" spans="1:18" x14ac:dyDescent="0.25">
      <c r="A16" t="s">
        <v>2704</v>
      </c>
      <c r="B16" s="1" t="s">
        <v>790</v>
      </c>
      <c r="C16" s="5" t="s">
        <v>2700</v>
      </c>
      <c r="D16" s="5" t="s">
        <v>2707</v>
      </c>
      <c r="M16" t="s">
        <v>2755</v>
      </c>
      <c r="N16" t="s">
        <v>2770</v>
      </c>
      <c r="O16" t="s">
        <v>2771</v>
      </c>
      <c r="P16" t="s">
        <v>2772</v>
      </c>
      <c r="Q16" t="s">
        <v>2773</v>
      </c>
      <c r="R16" t="s">
        <v>2774</v>
      </c>
    </row>
    <row r="17" spans="1:20" x14ac:dyDescent="0.25">
      <c r="A17" t="str">
        <f>LEFT(F17,2)&amp;"_"&amp;I17&amp;"_"&amp;G17</f>
        <v>01_Ferndale_43</v>
      </c>
      <c r="B17" s="1" t="s">
        <v>790</v>
      </c>
      <c r="C17" s="5" t="s">
        <v>2742</v>
      </c>
      <c r="D17" s="5" t="str">
        <f>F17&amp;"_"&amp;G17&amp;"_"&amp;H17&amp;", "&amp;J17&amp;", "&amp;L17</f>
        <v>01 TallWoodEqs_43_subRSN2000890, 0.005, 11942</v>
      </c>
      <c r="F17" t="s">
        <v>2715</v>
      </c>
      <c r="G17">
        <v>43</v>
      </c>
      <c r="H17" t="s">
        <v>2716</v>
      </c>
      <c r="I17" t="s">
        <v>2764</v>
      </c>
      <c r="J17">
        <v>5.0000000000000001E-3</v>
      </c>
      <c r="K17">
        <v>11942</v>
      </c>
      <c r="L17">
        <v>11942</v>
      </c>
      <c r="M17">
        <f>J17*L17</f>
        <v>59.71</v>
      </c>
      <c r="R17">
        <v>7072</v>
      </c>
      <c r="S17">
        <f>R17/K17</f>
        <v>0.59219561212527216</v>
      </c>
      <c r="T17">
        <f>R17*0.01</f>
        <v>70.72</v>
      </c>
    </row>
    <row r="18" spans="1:20" x14ac:dyDescent="0.25">
      <c r="A18" t="str">
        <f t="shared" ref="A18:A42" si="0">LEFT(F18,2)&amp;"_"&amp;I18&amp;"_"&amp;G18</f>
        <v>02_ChiChi_43</v>
      </c>
      <c r="B18" s="1" t="s">
        <v>790</v>
      </c>
      <c r="C18" s="5" t="s">
        <v>2742</v>
      </c>
      <c r="D18" s="5" t="str">
        <f t="shared" ref="D18:D42" si="1">F18&amp;"_"&amp;G18&amp;"_"&amp;H18&amp;", "&amp;J18&amp;", "&amp;L18</f>
        <v>02 TallWoodEqs_43_3320, 0.004, 36750</v>
      </c>
      <c r="F18" t="s">
        <v>2743</v>
      </c>
      <c r="G18">
        <v>43</v>
      </c>
      <c r="H18">
        <v>3320</v>
      </c>
      <c r="I18" t="s">
        <v>2766</v>
      </c>
      <c r="J18">
        <v>4.0000000000000001E-3</v>
      </c>
      <c r="K18">
        <v>36750</v>
      </c>
      <c r="L18">
        <v>36750</v>
      </c>
      <c r="M18">
        <f t="shared" ref="M18:M42" si="2">J18*L18</f>
        <v>147</v>
      </c>
      <c r="R18">
        <v>15800</v>
      </c>
      <c r="S18">
        <f t="shared" ref="S18:S40" si="3">R18/K18</f>
        <v>0.42993197278911566</v>
      </c>
      <c r="T18">
        <f t="shared" ref="T18:T40" si="4">R18*0.01</f>
        <v>158</v>
      </c>
    </row>
    <row r="19" spans="1:20" x14ac:dyDescent="0.25">
      <c r="A19" t="str">
        <f t="shared" si="0"/>
        <v>03_TohokuAftershock_43</v>
      </c>
      <c r="B19" s="1" t="s">
        <v>790</v>
      </c>
      <c r="C19" s="5" t="s">
        <v>2742</v>
      </c>
      <c r="D19" s="5" t="str">
        <f t="shared" si="1"/>
        <v>03 TallWoodEqs_43_CHB0121103111526, 0.01, 30000</v>
      </c>
      <c r="F19" t="s">
        <v>2744</v>
      </c>
      <c r="G19">
        <v>43</v>
      </c>
      <c r="H19" t="s">
        <v>2717</v>
      </c>
      <c r="I19" t="s">
        <v>2758</v>
      </c>
      <c r="J19">
        <v>0.01</v>
      </c>
      <c r="K19">
        <v>30000</v>
      </c>
      <c r="L19">
        <v>30000</v>
      </c>
      <c r="M19">
        <f t="shared" si="2"/>
        <v>300</v>
      </c>
      <c r="R19">
        <v>31100</v>
      </c>
      <c r="S19">
        <f t="shared" si="3"/>
        <v>1.0366666666666666</v>
      </c>
      <c r="T19">
        <f t="shared" si="4"/>
        <v>311</v>
      </c>
    </row>
    <row r="20" spans="1:20" x14ac:dyDescent="0.25">
      <c r="A20" t="str">
        <f t="shared" si="0"/>
        <v>04_Northridge_43</v>
      </c>
      <c r="B20" s="1" t="s">
        <v>790</v>
      </c>
      <c r="C20" s="5" t="s">
        <v>2742</v>
      </c>
      <c r="D20" s="5" t="str">
        <f t="shared" si="1"/>
        <v>04 TallWoodEqs_43_975, 0.01, 5000</v>
      </c>
      <c r="F20" t="s">
        <v>2745</v>
      </c>
      <c r="G20">
        <v>43</v>
      </c>
      <c r="H20">
        <v>975</v>
      </c>
      <c r="I20" t="s">
        <v>2741</v>
      </c>
      <c r="J20">
        <v>0.01</v>
      </c>
      <c r="K20">
        <v>2999</v>
      </c>
      <c r="L20">
        <v>5000</v>
      </c>
      <c r="M20">
        <f t="shared" si="2"/>
        <v>50</v>
      </c>
      <c r="R20">
        <v>4099</v>
      </c>
      <c r="S20">
        <f t="shared" si="3"/>
        <v>1.3667889296432143</v>
      </c>
      <c r="T20">
        <f t="shared" si="4"/>
        <v>40.99</v>
      </c>
    </row>
    <row r="21" spans="1:20" x14ac:dyDescent="0.25">
      <c r="A21" t="str">
        <f t="shared" si="0"/>
        <v>05_SanSimeon_43</v>
      </c>
      <c r="B21" s="1" t="s">
        <v>790</v>
      </c>
      <c r="C21" s="5" t="s">
        <v>2742</v>
      </c>
      <c r="D21" s="5" t="str">
        <f t="shared" si="1"/>
        <v>05 TallWoodEqs_43_4031, 0.005, 20224</v>
      </c>
      <c r="F21" t="s">
        <v>2746</v>
      </c>
      <c r="G21">
        <v>43</v>
      </c>
      <c r="H21">
        <v>4031</v>
      </c>
      <c r="I21" t="s">
        <v>2759</v>
      </c>
      <c r="J21">
        <v>5.0000000000000001E-3</v>
      </c>
      <c r="K21">
        <v>20224</v>
      </c>
      <c r="L21">
        <v>20224</v>
      </c>
      <c r="M21">
        <f t="shared" si="2"/>
        <v>101.12</v>
      </c>
      <c r="R21">
        <v>11212</v>
      </c>
      <c r="S21">
        <f t="shared" si="3"/>
        <v>0.55439082278481011</v>
      </c>
      <c r="T21">
        <f t="shared" si="4"/>
        <v>112.12</v>
      </c>
    </row>
    <row r="22" spans="1:20" x14ac:dyDescent="0.25">
      <c r="A22" t="str">
        <f t="shared" si="0"/>
        <v>06_FerndaleA_225</v>
      </c>
      <c r="B22" s="1" t="s">
        <v>790</v>
      </c>
      <c r="C22" s="5" t="s">
        <v>2742</v>
      </c>
      <c r="D22" s="5" t="str">
        <f t="shared" si="1"/>
        <v>06 TallWoodEqs_225_subRSN2000890, 0.005, 11942</v>
      </c>
      <c r="F22" t="s">
        <v>2747</v>
      </c>
      <c r="G22">
        <v>225</v>
      </c>
      <c r="H22" t="s">
        <v>2716</v>
      </c>
      <c r="I22" t="s">
        <v>2756</v>
      </c>
      <c r="J22">
        <v>5.0000000000000001E-3</v>
      </c>
      <c r="K22">
        <v>11942</v>
      </c>
      <c r="L22">
        <v>11942</v>
      </c>
      <c r="M22">
        <f t="shared" si="2"/>
        <v>59.71</v>
      </c>
      <c r="R22">
        <v>7072</v>
      </c>
      <c r="S22">
        <f t="shared" si="3"/>
        <v>0.59219561212527216</v>
      </c>
      <c r="T22">
        <f t="shared" si="4"/>
        <v>70.72</v>
      </c>
    </row>
    <row r="23" spans="1:20" x14ac:dyDescent="0.25">
      <c r="A23" t="str">
        <f t="shared" si="0"/>
        <v>07_FerndaleB_225</v>
      </c>
      <c r="B23" s="1" t="s">
        <v>790</v>
      </c>
      <c r="C23" s="5" t="s">
        <v>2742</v>
      </c>
      <c r="D23" s="5" t="str">
        <f t="shared" si="1"/>
        <v>07 TallWoodEqs_225_subRSN2000905, 0.005, 16187</v>
      </c>
      <c r="F23" t="s">
        <v>2748</v>
      </c>
      <c r="G23">
        <v>225</v>
      </c>
      <c r="H23" t="s">
        <v>2718</v>
      </c>
      <c r="I23" t="s">
        <v>2760</v>
      </c>
      <c r="J23">
        <v>5.0000000000000001E-3</v>
      </c>
      <c r="K23">
        <v>16187</v>
      </c>
      <c r="L23">
        <v>16187</v>
      </c>
      <c r="M23">
        <f t="shared" si="2"/>
        <v>80.935000000000002</v>
      </c>
      <c r="R23">
        <v>9194</v>
      </c>
      <c r="S23">
        <f t="shared" si="3"/>
        <v>0.56798665595848519</v>
      </c>
      <c r="T23">
        <f t="shared" si="4"/>
        <v>91.94</v>
      </c>
    </row>
    <row r="24" spans="1:20" x14ac:dyDescent="0.25">
      <c r="A24" t="str">
        <f t="shared" si="0"/>
        <v>08_Tohoku_225</v>
      </c>
      <c r="B24" s="1" t="s">
        <v>790</v>
      </c>
      <c r="C24" s="5" t="s">
        <v>2742</v>
      </c>
      <c r="D24" s="5" t="str">
        <f t="shared" si="1"/>
        <v>08 TallWoodEqs_225_CHBH041103111446, 0.01, 30000</v>
      </c>
      <c r="F24" t="s">
        <v>2749</v>
      </c>
      <c r="G24">
        <v>225</v>
      </c>
      <c r="H24" t="s">
        <v>2719</v>
      </c>
      <c r="I24" t="s">
        <v>2761</v>
      </c>
      <c r="J24">
        <v>0.01</v>
      </c>
      <c r="K24">
        <v>30000</v>
      </c>
      <c r="L24">
        <v>30000</v>
      </c>
      <c r="M24">
        <f t="shared" si="2"/>
        <v>300</v>
      </c>
      <c r="R24">
        <v>31100</v>
      </c>
      <c r="S24">
        <f t="shared" si="3"/>
        <v>1.0366666666666666</v>
      </c>
      <c r="T24">
        <f t="shared" si="4"/>
        <v>311</v>
      </c>
    </row>
    <row r="25" spans="1:20" x14ac:dyDescent="0.25">
      <c r="A25" t="str">
        <f t="shared" si="0"/>
        <v>09_Niigata_225</v>
      </c>
      <c r="B25" s="1" t="s">
        <v>790</v>
      </c>
      <c r="C25" s="5" t="s">
        <v>2742</v>
      </c>
      <c r="D25" s="5" t="str">
        <f t="shared" si="1"/>
        <v>09 TallWoodEqs_225_4213, 0.01, 16588</v>
      </c>
      <c r="F25" t="s">
        <v>2750</v>
      </c>
      <c r="G25">
        <v>225</v>
      </c>
      <c r="H25">
        <v>4213</v>
      </c>
      <c r="I25" t="s">
        <v>2762</v>
      </c>
      <c r="J25">
        <v>0.01</v>
      </c>
      <c r="K25">
        <v>16588</v>
      </c>
      <c r="L25">
        <v>16588</v>
      </c>
      <c r="M25">
        <f t="shared" si="2"/>
        <v>165.88</v>
      </c>
      <c r="R25">
        <v>17688</v>
      </c>
      <c r="S25">
        <f t="shared" si="3"/>
        <v>1.0663129973474801</v>
      </c>
      <c r="T25">
        <f t="shared" si="4"/>
        <v>176.88</v>
      </c>
    </row>
    <row r="26" spans="1:20" x14ac:dyDescent="0.25">
      <c r="A26" t="str">
        <f t="shared" si="0"/>
        <v>10_Tocachi_225</v>
      </c>
      <c r="B26" s="1" t="s">
        <v>790</v>
      </c>
      <c r="C26" s="5" t="s">
        <v>2742</v>
      </c>
      <c r="D26" s="5" t="str">
        <f t="shared" si="1"/>
        <v>10 TallWoodEqs_225_HKD1310309260450, 0.01, 14400</v>
      </c>
      <c r="F26" t="s">
        <v>2722</v>
      </c>
      <c r="G26">
        <v>225</v>
      </c>
      <c r="H26" t="s">
        <v>2720</v>
      </c>
      <c r="I26" t="s">
        <v>2763</v>
      </c>
      <c r="J26">
        <v>0.01</v>
      </c>
      <c r="K26">
        <v>14400</v>
      </c>
      <c r="L26">
        <v>14400</v>
      </c>
      <c r="M26">
        <f t="shared" si="2"/>
        <v>144</v>
      </c>
      <c r="R26">
        <v>15500</v>
      </c>
      <c r="S26">
        <f t="shared" si="3"/>
        <v>1.0763888888888888</v>
      </c>
      <c r="T26">
        <f t="shared" si="4"/>
        <v>155</v>
      </c>
    </row>
    <row r="27" spans="1:20" x14ac:dyDescent="0.25">
      <c r="A27" t="str">
        <f t="shared" si="0"/>
        <v>11_ChiChiA_475</v>
      </c>
      <c r="B27" s="1" t="s">
        <v>790</v>
      </c>
      <c r="C27" s="5" t="s">
        <v>2742</v>
      </c>
      <c r="D27" s="5" t="str">
        <f t="shared" si="1"/>
        <v>11 TallWoodEqs_475_3471, 0.005, 15197</v>
      </c>
      <c r="F27" t="s">
        <v>2723</v>
      </c>
      <c r="G27">
        <v>475</v>
      </c>
      <c r="H27">
        <v>3471</v>
      </c>
      <c r="I27" t="s">
        <v>2757</v>
      </c>
      <c r="J27">
        <v>5.0000000000000001E-3</v>
      </c>
      <c r="K27">
        <v>15197</v>
      </c>
      <c r="L27">
        <v>15197</v>
      </c>
      <c r="M27">
        <f t="shared" si="2"/>
        <v>75.984999999999999</v>
      </c>
      <c r="R27">
        <v>8699</v>
      </c>
      <c r="S27">
        <f t="shared" si="3"/>
        <v>0.57241560834375205</v>
      </c>
      <c r="T27">
        <f t="shared" si="4"/>
        <v>86.99</v>
      </c>
    </row>
    <row r="28" spans="1:20" x14ac:dyDescent="0.25">
      <c r="A28" t="str">
        <f t="shared" si="0"/>
        <v>12_ChiChiB_475</v>
      </c>
      <c r="B28" s="1" t="s">
        <v>790</v>
      </c>
      <c r="C28" s="5" t="s">
        <v>2742</v>
      </c>
      <c r="D28" s="5" t="str">
        <f t="shared" si="1"/>
        <v>12 TallWoodEqs_475_2951, 0.005, 17999</v>
      </c>
      <c r="F28" t="s">
        <v>2724</v>
      </c>
      <c r="G28">
        <v>475</v>
      </c>
      <c r="H28">
        <v>2951</v>
      </c>
      <c r="I28" t="s">
        <v>2765</v>
      </c>
      <c r="J28">
        <v>5.0000000000000001E-3</v>
      </c>
      <c r="K28">
        <v>17999</v>
      </c>
      <c r="L28">
        <v>17999</v>
      </c>
      <c r="M28">
        <f t="shared" si="2"/>
        <v>89.995000000000005</v>
      </c>
      <c r="R28">
        <v>10100</v>
      </c>
      <c r="S28">
        <f t="shared" si="3"/>
        <v>0.56114228568253788</v>
      </c>
      <c r="T28">
        <f t="shared" si="4"/>
        <v>101</v>
      </c>
    </row>
    <row r="29" spans="1:20" x14ac:dyDescent="0.25">
      <c r="A29" t="str">
        <f t="shared" si="0"/>
        <v>13_Ferndale_475</v>
      </c>
      <c r="B29" s="1" t="s">
        <v>790</v>
      </c>
      <c r="C29" s="5" t="s">
        <v>2742</v>
      </c>
      <c r="D29" s="5" t="str">
        <f t="shared" si="1"/>
        <v>13 TallWoodEqs_475_subRSN2000905, 0.005, 16187</v>
      </c>
      <c r="F29" t="s">
        <v>2725</v>
      </c>
      <c r="G29">
        <v>475</v>
      </c>
      <c r="H29" t="s">
        <v>2718</v>
      </c>
      <c r="I29" t="s">
        <v>2764</v>
      </c>
      <c r="J29">
        <v>5.0000000000000001E-3</v>
      </c>
      <c r="K29">
        <v>16187</v>
      </c>
      <c r="L29">
        <v>16187</v>
      </c>
      <c r="M29">
        <f t="shared" si="2"/>
        <v>80.935000000000002</v>
      </c>
      <c r="R29">
        <v>9194</v>
      </c>
      <c r="S29">
        <f t="shared" si="3"/>
        <v>0.56798665595848519</v>
      </c>
      <c r="T29">
        <f t="shared" si="4"/>
        <v>91.94</v>
      </c>
    </row>
    <row r="30" spans="1:20" x14ac:dyDescent="0.25">
      <c r="A30" t="str">
        <f t="shared" si="0"/>
        <v>14_Niigata_475</v>
      </c>
      <c r="B30" s="1" t="s">
        <v>790</v>
      </c>
      <c r="C30" s="5" t="s">
        <v>2742</v>
      </c>
      <c r="D30" s="5" t="str">
        <f t="shared" si="1"/>
        <v>14 TallWoodEqs_475_4213, 0.01, 16588</v>
      </c>
      <c r="F30" t="s">
        <v>2726</v>
      </c>
      <c r="G30">
        <v>475</v>
      </c>
      <c r="H30">
        <v>4213</v>
      </c>
      <c r="I30" t="s">
        <v>2762</v>
      </c>
      <c r="J30">
        <v>0.01</v>
      </c>
      <c r="K30">
        <v>16588</v>
      </c>
      <c r="L30">
        <v>16588</v>
      </c>
      <c r="M30">
        <f t="shared" si="2"/>
        <v>165.88</v>
      </c>
      <c r="R30">
        <v>17688</v>
      </c>
      <c r="S30">
        <f t="shared" si="3"/>
        <v>1.0663129973474801</v>
      </c>
      <c r="T30">
        <f t="shared" si="4"/>
        <v>176.88</v>
      </c>
    </row>
    <row r="31" spans="1:20" x14ac:dyDescent="0.25">
      <c r="A31" t="str">
        <f t="shared" si="0"/>
        <v>15_Tokachi_475</v>
      </c>
      <c r="B31" s="1" t="s">
        <v>790</v>
      </c>
      <c r="C31" s="5" t="s">
        <v>2742</v>
      </c>
      <c r="D31" s="5" t="str">
        <f t="shared" si="1"/>
        <v>15 TallWoodEqs_475_HKD1310309260450, 0.01, 14400</v>
      </c>
      <c r="F31" t="s">
        <v>2727</v>
      </c>
      <c r="G31">
        <v>475</v>
      </c>
      <c r="H31" t="s">
        <v>2720</v>
      </c>
      <c r="I31" t="s">
        <v>2767</v>
      </c>
      <c r="J31">
        <v>0.01</v>
      </c>
      <c r="K31">
        <v>14400</v>
      </c>
      <c r="L31">
        <v>14400</v>
      </c>
      <c r="M31">
        <f t="shared" si="2"/>
        <v>144</v>
      </c>
      <c r="R31">
        <v>15500</v>
      </c>
      <c r="S31">
        <f t="shared" si="3"/>
        <v>1.0763888888888888</v>
      </c>
      <c r="T31">
        <f t="shared" si="4"/>
        <v>155</v>
      </c>
    </row>
    <row r="32" spans="1:20" x14ac:dyDescent="0.25">
      <c r="A32" t="str">
        <f t="shared" si="0"/>
        <v>16_Victoria_975</v>
      </c>
      <c r="B32" s="1" t="s">
        <v>790</v>
      </c>
      <c r="C32" s="5" t="s">
        <v>2742</v>
      </c>
      <c r="D32" s="5" t="str">
        <f t="shared" si="1"/>
        <v>16 TallWoodEqs_975_268, 0.01, 5000</v>
      </c>
      <c r="F32" t="s">
        <v>2728</v>
      </c>
      <c r="G32">
        <v>975</v>
      </c>
      <c r="H32">
        <v>268</v>
      </c>
      <c r="I32" t="s">
        <v>2768</v>
      </c>
      <c r="J32">
        <v>0.01</v>
      </c>
      <c r="K32">
        <v>1566</v>
      </c>
      <c r="L32">
        <v>5000</v>
      </c>
      <c r="M32">
        <f t="shared" si="2"/>
        <v>50</v>
      </c>
      <c r="R32">
        <v>2666</v>
      </c>
      <c r="S32">
        <f t="shared" si="3"/>
        <v>1.7024265644955301</v>
      </c>
      <c r="T32">
        <f t="shared" si="4"/>
        <v>26.66</v>
      </c>
    </row>
    <row r="33" spans="1:20" x14ac:dyDescent="0.25">
      <c r="A33" t="str">
        <f t="shared" si="0"/>
        <v>19_Northridge_975</v>
      </c>
      <c r="B33" s="1" t="s">
        <v>790</v>
      </c>
      <c r="C33" s="5" t="s">
        <v>2742</v>
      </c>
      <c r="D33" s="5" t="str">
        <f t="shared" si="1"/>
        <v>19 TallWoodEqs_975_964, 0.01, 5000</v>
      </c>
      <c r="F33" t="s">
        <v>2729</v>
      </c>
      <c r="G33">
        <v>975</v>
      </c>
      <c r="H33">
        <v>964</v>
      </c>
      <c r="I33" t="s">
        <v>2741</v>
      </c>
      <c r="J33">
        <v>0.01</v>
      </c>
      <c r="K33">
        <v>3979</v>
      </c>
      <c r="L33">
        <v>5000</v>
      </c>
      <c r="M33">
        <f t="shared" si="2"/>
        <v>50</v>
      </c>
      <c r="R33">
        <v>5079</v>
      </c>
      <c r="S33">
        <f t="shared" si="3"/>
        <v>1.276451369690877</v>
      </c>
      <c r="T33">
        <f t="shared" si="4"/>
        <v>50.79</v>
      </c>
    </row>
    <row r="34" spans="1:20" x14ac:dyDescent="0.25">
      <c r="A34" t="str">
        <f t="shared" si="0"/>
        <v>20_Tohoku_975</v>
      </c>
      <c r="B34" s="1" t="s">
        <v>790</v>
      </c>
      <c r="C34" s="5" t="s">
        <v>2742</v>
      </c>
      <c r="D34" s="5" t="str">
        <f t="shared" si="1"/>
        <v>20 TallWoodEqs_975_CHBH041103111446, 0.01, 30000</v>
      </c>
      <c r="F34" t="s">
        <v>2730</v>
      </c>
      <c r="G34">
        <v>975</v>
      </c>
      <c r="H34" t="s">
        <v>2719</v>
      </c>
      <c r="I34" t="s">
        <v>2761</v>
      </c>
      <c r="J34">
        <v>0.01</v>
      </c>
      <c r="K34">
        <v>30000</v>
      </c>
      <c r="L34">
        <v>30000</v>
      </c>
      <c r="M34">
        <f t="shared" si="2"/>
        <v>300</v>
      </c>
      <c r="R34">
        <v>31100</v>
      </c>
      <c r="S34">
        <f t="shared" si="3"/>
        <v>1.0366666666666666</v>
      </c>
      <c r="T34">
        <f t="shared" si="4"/>
        <v>311</v>
      </c>
    </row>
    <row r="35" spans="1:20" x14ac:dyDescent="0.25">
      <c r="A35" t="str">
        <f t="shared" si="0"/>
        <v>21_Tokachi_975</v>
      </c>
      <c r="B35" s="1" t="s">
        <v>790</v>
      </c>
      <c r="C35" s="5" t="s">
        <v>2742</v>
      </c>
      <c r="D35" s="5" t="str">
        <f t="shared" si="1"/>
        <v>21 TallWoodEqs_975_HKD1270309260450, 0.01, 20500</v>
      </c>
      <c r="F35" t="s">
        <v>2731</v>
      </c>
      <c r="G35">
        <v>975</v>
      </c>
      <c r="H35" t="s">
        <v>2721</v>
      </c>
      <c r="I35" t="s">
        <v>2767</v>
      </c>
      <c r="J35">
        <v>0.01</v>
      </c>
      <c r="K35">
        <v>20500</v>
      </c>
      <c r="L35">
        <v>20500</v>
      </c>
      <c r="M35">
        <f t="shared" si="2"/>
        <v>205</v>
      </c>
      <c r="R35">
        <v>21600</v>
      </c>
      <c r="S35">
        <f t="shared" si="3"/>
        <v>1.0536585365853659</v>
      </c>
      <c r="T35">
        <f t="shared" si="4"/>
        <v>216</v>
      </c>
    </row>
    <row r="36" spans="1:20" x14ac:dyDescent="0.25">
      <c r="A36" t="str">
        <f t="shared" si="0"/>
        <v>22_Tohoku_MCE</v>
      </c>
      <c r="B36" s="1" t="s">
        <v>790</v>
      </c>
      <c r="C36" s="5" t="s">
        <v>2742</v>
      </c>
      <c r="D36" s="5" t="str">
        <f t="shared" si="1"/>
        <v>22 TallWoodEqs_MCE_CHBH041103111446, 0.01, 30000</v>
      </c>
      <c r="F36" t="s">
        <v>2732</v>
      </c>
      <c r="G36" t="s">
        <v>2737</v>
      </c>
      <c r="H36" t="s">
        <v>2719</v>
      </c>
      <c r="I36" t="s">
        <v>2761</v>
      </c>
      <c r="J36">
        <v>0.01</v>
      </c>
      <c r="K36">
        <v>30000</v>
      </c>
      <c r="L36">
        <v>30000</v>
      </c>
      <c r="M36">
        <f t="shared" si="2"/>
        <v>300</v>
      </c>
      <c r="N36">
        <v>2.7</v>
      </c>
      <c r="O36" s="20">
        <v>4.6527777777777779E-2</v>
      </c>
      <c r="P36" s="10">
        <f>L36/(HOUR(O36)*60+MINUTE(O36))</f>
        <v>447.76119402985074</v>
      </c>
      <c r="Q36">
        <f>N36*10000/L36</f>
        <v>0.9</v>
      </c>
      <c r="R36">
        <v>24812</v>
      </c>
      <c r="S36">
        <f t="shared" si="3"/>
        <v>0.82706666666666662</v>
      </c>
      <c r="T36">
        <f t="shared" si="4"/>
        <v>248.12</v>
      </c>
    </row>
    <row r="37" spans="1:20" x14ac:dyDescent="0.25">
      <c r="A37" t="str">
        <f t="shared" si="0"/>
        <v>23_Niigata_MCE</v>
      </c>
      <c r="B37" s="1" t="s">
        <v>790</v>
      </c>
      <c r="C37" s="5" t="s">
        <v>2742</v>
      </c>
      <c r="D37" s="5" t="str">
        <f t="shared" si="1"/>
        <v>23 TallWoodEqs_MCE_4228, 0.005, 36000</v>
      </c>
      <c r="F37" t="s">
        <v>2733</v>
      </c>
      <c r="G37" t="s">
        <v>2737</v>
      </c>
      <c r="H37">
        <v>4228</v>
      </c>
      <c r="I37" t="s">
        <v>2762</v>
      </c>
      <c r="J37">
        <v>5.0000000000000001E-3</v>
      </c>
      <c r="K37">
        <v>36000</v>
      </c>
      <c r="L37">
        <v>36000</v>
      </c>
      <c r="M37">
        <f t="shared" si="2"/>
        <v>180</v>
      </c>
      <c r="N37">
        <v>3.2</v>
      </c>
      <c r="O37" s="21">
        <v>5.8333333333333327E-2</v>
      </c>
      <c r="P37" s="10">
        <f t="shared" ref="P37:P39" si="5">L37/(HOUR(O37)*60+MINUTE(O37))</f>
        <v>428.57142857142856</v>
      </c>
      <c r="Q37">
        <f t="shared" ref="Q37:Q39" si="6">N37*10000/L37</f>
        <v>0.88888888888888884</v>
      </c>
      <c r="R37">
        <v>4169</v>
      </c>
      <c r="S37">
        <f t="shared" si="3"/>
        <v>0.11580555555555555</v>
      </c>
      <c r="T37">
        <f t="shared" si="4"/>
        <v>41.69</v>
      </c>
    </row>
    <row r="38" spans="1:20" x14ac:dyDescent="0.25">
      <c r="A38" t="str">
        <f t="shared" si="0"/>
        <v>24_LomaPrieta_MCE</v>
      </c>
      <c r="B38" s="1" t="s">
        <v>790</v>
      </c>
      <c r="C38" s="5" t="s">
        <v>2742</v>
      </c>
      <c r="D38" s="5" t="str">
        <f t="shared" si="1"/>
        <v>24 TallWoodEqs_MCE_761, 0.005, 10000</v>
      </c>
      <c r="F38" t="s">
        <v>2734</v>
      </c>
      <c r="G38" t="s">
        <v>2737</v>
      </c>
      <c r="H38">
        <v>761</v>
      </c>
      <c r="I38" t="s">
        <v>2769</v>
      </c>
      <c r="J38">
        <v>5.0000000000000001E-3</v>
      </c>
      <c r="K38">
        <v>7957</v>
      </c>
      <c r="L38">
        <v>10000</v>
      </c>
      <c r="M38">
        <f t="shared" si="2"/>
        <v>50</v>
      </c>
      <c r="N38">
        <v>0.69330000000000003</v>
      </c>
      <c r="O38" s="21">
        <v>2.361111111111111E-2</v>
      </c>
      <c r="P38" s="10">
        <f t="shared" si="5"/>
        <v>294.11764705882354</v>
      </c>
      <c r="Q38">
        <f t="shared" si="6"/>
        <v>0.69330000000000003</v>
      </c>
      <c r="R38">
        <v>4709</v>
      </c>
      <c r="S38">
        <f t="shared" si="3"/>
        <v>0.59180595701897698</v>
      </c>
      <c r="T38">
        <f t="shared" si="4"/>
        <v>47.09</v>
      </c>
    </row>
    <row r="39" spans="1:20" x14ac:dyDescent="0.25">
      <c r="A39" t="str">
        <f t="shared" si="0"/>
        <v>25_Ferndale_MCE</v>
      </c>
      <c r="B39" s="1" t="s">
        <v>790</v>
      </c>
      <c r="C39" s="5" t="s">
        <v>2742</v>
      </c>
      <c r="D39" s="5" t="str">
        <f t="shared" si="1"/>
        <v>25 TallWoodEqs_MCE_subRSN2000890, 0.005, 11942</v>
      </c>
      <c r="F39" t="s">
        <v>2735</v>
      </c>
      <c r="G39" t="s">
        <v>2737</v>
      </c>
      <c r="H39" t="s">
        <v>2716</v>
      </c>
      <c r="I39" t="s">
        <v>2764</v>
      </c>
      <c r="J39">
        <v>5.0000000000000001E-3</v>
      </c>
      <c r="K39">
        <v>11942</v>
      </c>
      <c r="L39">
        <v>11942</v>
      </c>
      <c r="M39">
        <f t="shared" si="2"/>
        <v>59.71</v>
      </c>
      <c r="N39">
        <v>1.1000000000000001</v>
      </c>
      <c r="O39" s="21">
        <v>2.8472222222222222E-2</v>
      </c>
      <c r="P39" s="10">
        <f t="shared" si="5"/>
        <v>291.26829268292681</v>
      </c>
      <c r="Q39">
        <f t="shared" si="6"/>
        <v>0.92111874057946741</v>
      </c>
      <c r="R39">
        <v>4959</v>
      </c>
      <c r="S39">
        <f t="shared" si="3"/>
        <v>0.41525707586668897</v>
      </c>
      <c r="T39">
        <f t="shared" si="4"/>
        <v>49.59</v>
      </c>
    </row>
    <row r="40" spans="1:20" x14ac:dyDescent="0.25">
      <c r="A40" t="str">
        <f t="shared" si="0"/>
        <v>26_Tokachi_MCE</v>
      </c>
      <c r="B40" s="1" t="s">
        <v>790</v>
      </c>
      <c r="C40" s="5" t="s">
        <v>2742</v>
      </c>
      <c r="D40" s="5" t="str">
        <f t="shared" si="1"/>
        <v>26 TallWoodEqs_MCE_HKD1270309260450, 0.01, 20500</v>
      </c>
      <c r="F40" t="s">
        <v>2736</v>
      </c>
      <c r="G40" t="s">
        <v>2737</v>
      </c>
      <c r="H40" t="s">
        <v>2721</v>
      </c>
      <c r="I40" t="s">
        <v>2767</v>
      </c>
      <c r="J40">
        <v>0.01</v>
      </c>
      <c r="K40">
        <v>20500</v>
      </c>
      <c r="L40">
        <v>20500</v>
      </c>
      <c r="M40">
        <f t="shared" si="2"/>
        <v>205</v>
      </c>
      <c r="R40">
        <v>12406</v>
      </c>
      <c r="S40">
        <f t="shared" si="3"/>
        <v>0.60517073170731706</v>
      </c>
      <c r="T40">
        <f t="shared" si="4"/>
        <v>124.06</v>
      </c>
    </row>
    <row r="41" spans="1:20" x14ac:dyDescent="0.25">
      <c r="A41" t="str">
        <f t="shared" si="0"/>
        <v>27_Northridge_MCE</v>
      </c>
      <c r="B41" s="1" t="s">
        <v>790</v>
      </c>
      <c r="C41" s="5" t="s">
        <v>2742</v>
      </c>
      <c r="D41" s="5" t="str">
        <f t="shared" si="1"/>
        <v>27 TallWoodEqs_MCE_Northridge, 0.01, 5000</v>
      </c>
      <c r="F41" t="s">
        <v>2738</v>
      </c>
      <c r="G41" t="s">
        <v>2737</v>
      </c>
      <c r="H41" t="s">
        <v>2741</v>
      </c>
      <c r="I41" t="s">
        <v>2741</v>
      </c>
      <c r="J41">
        <v>0.01</v>
      </c>
      <c r="K41">
        <v>2499</v>
      </c>
      <c r="L41">
        <v>5000</v>
      </c>
      <c r="M41">
        <f t="shared" si="2"/>
        <v>50</v>
      </c>
    </row>
    <row r="42" spans="1:20" x14ac:dyDescent="0.25">
      <c r="A42" t="str">
        <f t="shared" si="0"/>
        <v>28_SuperstitionHills_MCE</v>
      </c>
      <c r="B42" s="1" t="s">
        <v>790</v>
      </c>
      <c r="C42" s="5" t="s">
        <v>2742</v>
      </c>
      <c r="D42" s="5" t="str">
        <f t="shared" si="1"/>
        <v>28 TallWoodEqs_MCE_SuperstitionHills, 0.01, 5000</v>
      </c>
      <c r="F42" t="s">
        <v>2739</v>
      </c>
      <c r="G42" t="s">
        <v>2737</v>
      </c>
      <c r="H42" t="s">
        <v>2740</v>
      </c>
      <c r="I42" t="s">
        <v>2740</v>
      </c>
      <c r="J42">
        <v>0.01</v>
      </c>
      <c r="K42">
        <v>2230</v>
      </c>
      <c r="L42">
        <v>5000</v>
      </c>
      <c r="M42">
        <f t="shared" si="2"/>
        <v>50</v>
      </c>
      <c r="N42">
        <v>0.25600000000000001</v>
      </c>
    </row>
  </sheetData>
  <phoneticPr fontId="1" type="noConversion"/>
  <conditionalFormatting sqref="B2:B10 B12:B1048576">
    <cfRule type="cellIs" dxfId="4" priority="5" operator="equal">
      <formula>"N"</formula>
    </cfRule>
    <cfRule type="cellIs" dxfId="3" priority="6" operator="equal">
      <formula>"Y"</formula>
    </cfRule>
  </conditionalFormatting>
  <conditionalFormatting sqref="B11">
    <cfRule type="cellIs" dxfId="2" priority="1" operator="equal">
      <formula>"N"</formula>
    </cfRule>
    <cfRule type="cellIs" dxfId="1" priority="2" operator="equal">
      <formula>"Y"</formula>
    </cfRule>
  </conditionalFormatting>
  <dataValidations count="2">
    <dataValidation type="custom" allowBlank="1" showInputMessage="1" showErrorMessage="1" error="Do not change this cell." sqref="A2" xr:uid="{E3619BFF-CA7B-48F0-B1B8-DCC549F6D601}">
      <formula1>"gravity"</formula1>
    </dataValidation>
    <dataValidation type="list" allowBlank="1" showInputMessage="1" showErrorMessage="1" sqref="B2:B1048576" xr:uid="{2DC56FEC-3885-4EDA-83F1-47299C855D94}">
      <formula1>"Y,N"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7CFC6-1052-4365-BCB2-B81690429AA8}">
  <sheetPr codeName="Sheet7">
    <tabColor rgb="FFFFC000"/>
  </sheetPr>
  <dimension ref="A1:D241"/>
  <sheetViews>
    <sheetView topLeftCell="A211" workbookViewId="0">
      <selection activeCell="D224" sqref="D224"/>
    </sheetView>
  </sheetViews>
  <sheetFormatPr defaultColWidth="0" defaultRowHeight="15" x14ac:dyDescent="0.25"/>
  <cols>
    <col min="1" max="1" width="14.85546875" customWidth="1"/>
    <col min="2" max="2" width="9.140625" customWidth="1"/>
    <col min="3" max="3" width="9.140625" style="1" customWidth="1"/>
    <col min="4" max="4" width="33.7109375" customWidth="1"/>
    <col min="5" max="16384" width="9.140625" hidden="1"/>
  </cols>
  <sheetData>
    <row r="1" spans="1:4" x14ac:dyDescent="0.25">
      <c r="A1" t="s">
        <v>41</v>
      </c>
      <c r="B1" t="s">
        <v>44</v>
      </c>
      <c r="C1" s="5" t="s">
        <v>42</v>
      </c>
      <c r="D1" t="s">
        <v>43</v>
      </c>
    </row>
    <row r="2" spans="1:4" x14ac:dyDescent="0.25">
      <c r="A2" t="s">
        <v>408</v>
      </c>
      <c r="B2">
        <v>10</v>
      </c>
      <c r="C2" s="1" t="s">
        <v>18</v>
      </c>
      <c r="D2" t="s">
        <v>870</v>
      </c>
    </row>
    <row r="3" spans="1:4" x14ac:dyDescent="0.25">
      <c r="A3" t="s">
        <v>385</v>
      </c>
      <c r="B3">
        <v>9</v>
      </c>
      <c r="C3" s="1" t="s">
        <v>18</v>
      </c>
      <c r="D3" t="s">
        <v>870</v>
      </c>
    </row>
    <row r="4" spans="1:4" x14ac:dyDescent="0.25">
      <c r="A4" t="s">
        <v>362</v>
      </c>
      <c r="B4">
        <v>8</v>
      </c>
      <c r="C4" s="1" t="s">
        <v>18</v>
      </c>
      <c r="D4" t="s">
        <v>870</v>
      </c>
    </row>
    <row r="5" spans="1:4" x14ac:dyDescent="0.25">
      <c r="A5" t="s">
        <v>339</v>
      </c>
      <c r="B5">
        <v>7</v>
      </c>
      <c r="C5" s="1" t="s">
        <v>18</v>
      </c>
      <c r="D5" t="s">
        <v>870</v>
      </c>
    </row>
    <row r="6" spans="1:4" x14ac:dyDescent="0.25">
      <c r="A6" t="s">
        <v>316</v>
      </c>
      <c r="B6">
        <v>6</v>
      </c>
      <c r="C6" s="1" t="s">
        <v>18</v>
      </c>
      <c r="D6" t="s">
        <v>870</v>
      </c>
    </row>
    <row r="7" spans="1:4" x14ac:dyDescent="0.25">
      <c r="A7" t="s">
        <v>293</v>
      </c>
      <c r="B7">
        <v>5</v>
      </c>
      <c r="C7" s="1" t="s">
        <v>18</v>
      </c>
      <c r="D7" t="s">
        <v>870</v>
      </c>
    </row>
    <row r="8" spans="1:4" x14ac:dyDescent="0.25">
      <c r="A8" t="s">
        <v>270</v>
      </c>
      <c r="B8">
        <v>4</v>
      </c>
      <c r="C8" s="1" t="s">
        <v>18</v>
      </c>
      <c r="D8" t="s">
        <v>870</v>
      </c>
    </row>
    <row r="9" spans="1:4" x14ac:dyDescent="0.25">
      <c r="A9" t="s">
        <v>247</v>
      </c>
      <c r="B9">
        <v>3</v>
      </c>
      <c r="C9" s="1" t="s">
        <v>18</v>
      </c>
      <c r="D9" t="s">
        <v>870</v>
      </c>
    </row>
    <row r="10" spans="1:4" x14ac:dyDescent="0.25">
      <c r="A10" t="s">
        <v>224</v>
      </c>
      <c r="B10">
        <v>2</v>
      </c>
      <c r="C10" s="1" t="s">
        <v>18</v>
      </c>
      <c r="D10" t="s">
        <v>870</v>
      </c>
    </row>
    <row r="11" spans="1:4" x14ac:dyDescent="0.25">
      <c r="A11" t="s">
        <v>201</v>
      </c>
      <c r="B11">
        <v>1</v>
      </c>
      <c r="C11" s="1" t="s">
        <v>18</v>
      </c>
      <c r="D11" t="s">
        <v>870</v>
      </c>
    </row>
    <row r="12" spans="1:4" x14ac:dyDescent="0.25">
      <c r="A12" t="s">
        <v>408</v>
      </c>
      <c r="B12">
        <v>-10</v>
      </c>
      <c r="C12" s="1" t="s">
        <v>19</v>
      </c>
      <c r="D12" t="s">
        <v>869</v>
      </c>
    </row>
    <row r="13" spans="1:4" x14ac:dyDescent="0.25">
      <c r="A13" t="s">
        <v>385</v>
      </c>
      <c r="B13">
        <v>-9</v>
      </c>
      <c r="C13" s="1" t="s">
        <v>19</v>
      </c>
      <c r="D13" t="s">
        <v>869</v>
      </c>
    </row>
    <row r="14" spans="1:4" x14ac:dyDescent="0.25">
      <c r="A14" t="s">
        <v>362</v>
      </c>
      <c r="B14">
        <v>-8</v>
      </c>
      <c r="C14" s="1" t="s">
        <v>19</v>
      </c>
      <c r="D14" t="s">
        <v>869</v>
      </c>
    </row>
    <row r="15" spans="1:4" x14ac:dyDescent="0.25">
      <c r="A15" t="s">
        <v>339</v>
      </c>
      <c r="B15">
        <v>-7</v>
      </c>
      <c r="C15" s="1" t="s">
        <v>19</v>
      </c>
      <c r="D15" t="s">
        <v>869</v>
      </c>
    </row>
    <row r="16" spans="1:4" x14ac:dyDescent="0.25">
      <c r="A16" t="s">
        <v>316</v>
      </c>
      <c r="B16">
        <v>-6</v>
      </c>
      <c r="C16" s="1" t="s">
        <v>19</v>
      </c>
      <c r="D16" t="s">
        <v>869</v>
      </c>
    </row>
    <row r="17" spans="1:4" x14ac:dyDescent="0.25">
      <c r="A17" t="s">
        <v>293</v>
      </c>
      <c r="B17">
        <v>-5</v>
      </c>
      <c r="C17" s="1" t="s">
        <v>19</v>
      </c>
      <c r="D17" t="s">
        <v>869</v>
      </c>
    </row>
    <row r="18" spans="1:4" x14ac:dyDescent="0.25">
      <c r="A18" t="s">
        <v>270</v>
      </c>
      <c r="B18">
        <v>-4</v>
      </c>
      <c r="C18" s="1" t="s">
        <v>19</v>
      </c>
      <c r="D18" t="s">
        <v>869</v>
      </c>
    </row>
    <row r="19" spans="1:4" x14ac:dyDescent="0.25">
      <c r="A19" t="s">
        <v>247</v>
      </c>
      <c r="B19">
        <v>-3</v>
      </c>
      <c r="C19" s="1" t="s">
        <v>19</v>
      </c>
      <c r="D19" t="s">
        <v>869</v>
      </c>
    </row>
    <row r="20" spans="1:4" x14ac:dyDescent="0.25">
      <c r="A20" t="s">
        <v>224</v>
      </c>
      <c r="B20">
        <v>-2</v>
      </c>
      <c r="C20" s="1" t="s">
        <v>19</v>
      </c>
      <c r="D20" t="s">
        <v>869</v>
      </c>
    </row>
    <row r="21" spans="1:4" x14ac:dyDescent="0.25">
      <c r="A21" t="s">
        <v>201</v>
      </c>
      <c r="B21">
        <v>-1</v>
      </c>
      <c r="C21" s="1" t="s">
        <v>19</v>
      </c>
      <c r="D21" t="s">
        <v>869</v>
      </c>
    </row>
    <row r="22" spans="1:4" x14ac:dyDescent="0.25">
      <c r="A22" t="s">
        <v>408</v>
      </c>
      <c r="B22">
        <v>10</v>
      </c>
      <c r="C22" s="1" t="s">
        <v>18</v>
      </c>
      <c r="D22" t="s">
        <v>868</v>
      </c>
    </row>
    <row r="23" spans="1:4" x14ac:dyDescent="0.25">
      <c r="A23" t="s">
        <v>385</v>
      </c>
      <c r="B23">
        <v>9</v>
      </c>
      <c r="C23" s="1" t="s">
        <v>18</v>
      </c>
      <c r="D23" t="s">
        <v>868</v>
      </c>
    </row>
    <row r="24" spans="1:4" x14ac:dyDescent="0.25">
      <c r="A24" t="s">
        <v>362</v>
      </c>
      <c r="B24">
        <v>8</v>
      </c>
      <c r="C24" s="1" t="s">
        <v>18</v>
      </c>
      <c r="D24" t="s">
        <v>868</v>
      </c>
    </row>
    <row r="25" spans="1:4" x14ac:dyDescent="0.25">
      <c r="A25" t="s">
        <v>339</v>
      </c>
      <c r="B25">
        <v>7</v>
      </c>
      <c r="C25" s="1" t="s">
        <v>18</v>
      </c>
      <c r="D25" t="s">
        <v>868</v>
      </c>
    </row>
    <row r="26" spans="1:4" x14ac:dyDescent="0.25">
      <c r="A26" t="s">
        <v>316</v>
      </c>
      <c r="B26">
        <v>6</v>
      </c>
      <c r="C26" s="1" t="s">
        <v>18</v>
      </c>
      <c r="D26" t="s">
        <v>868</v>
      </c>
    </row>
    <row r="27" spans="1:4" x14ac:dyDescent="0.25">
      <c r="A27" t="s">
        <v>293</v>
      </c>
      <c r="B27">
        <v>5</v>
      </c>
      <c r="C27" s="1" t="s">
        <v>18</v>
      </c>
      <c r="D27" t="s">
        <v>868</v>
      </c>
    </row>
    <row r="28" spans="1:4" x14ac:dyDescent="0.25">
      <c r="A28" t="s">
        <v>270</v>
      </c>
      <c r="B28">
        <v>4</v>
      </c>
      <c r="C28" s="1" t="s">
        <v>18</v>
      </c>
      <c r="D28" t="s">
        <v>868</v>
      </c>
    </row>
    <row r="29" spans="1:4" x14ac:dyDescent="0.25">
      <c r="A29" t="s">
        <v>247</v>
      </c>
      <c r="B29">
        <v>3</v>
      </c>
      <c r="C29" s="1" t="s">
        <v>18</v>
      </c>
      <c r="D29" t="s">
        <v>868</v>
      </c>
    </row>
    <row r="30" spans="1:4" x14ac:dyDescent="0.25">
      <c r="A30" t="s">
        <v>224</v>
      </c>
      <c r="B30">
        <v>2</v>
      </c>
      <c r="C30" s="1" t="s">
        <v>18</v>
      </c>
      <c r="D30" t="s">
        <v>868</v>
      </c>
    </row>
    <row r="31" spans="1:4" x14ac:dyDescent="0.25">
      <c r="A31" t="s">
        <v>201</v>
      </c>
      <c r="B31">
        <v>1</v>
      </c>
      <c r="C31" s="1" t="s">
        <v>18</v>
      </c>
      <c r="D31" t="s">
        <v>868</v>
      </c>
    </row>
    <row r="32" spans="1:4" x14ac:dyDescent="0.25">
      <c r="A32" t="s">
        <v>201</v>
      </c>
      <c r="B32">
        <v>71.7</v>
      </c>
      <c r="C32" s="1" t="s">
        <v>18</v>
      </c>
      <c r="D32" t="s">
        <v>875</v>
      </c>
    </row>
    <row r="33" spans="1:4" x14ac:dyDescent="0.25">
      <c r="A33" t="s">
        <v>224</v>
      </c>
      <c r="B33">
        <v>67.599999999999994</v>
      </c>
      <c r="C33" s="1" t="s">
        <v>18</v>
      </c>
      <c r="D33" t="s">
        <v>875</v>
      </c>
    </row>
    <row r="34" spans="1:4" x14ac:dyDescent="0.25">
      <c r="A34" t="s">
        <v>247</v>
      </c>
      <c r="B34">
        <v>58.8</v>
      </c>
      <c r="C34" s="1" t="s">
        <v>18</v>
      </c>
      <c r="D34" t="s">
        <v>875</v>
      </c>
    </row>
    <row r="35" spans="1:4" x14ac:dyDescent="0.25">
      <c r="A35" t="s">
        <v>270</v>
      </c>
      <c r="B35">
        <v>56.099999999999994</v>
      </c>
      <c r="C35" s="1" t="s">
        <v>18</v>
      </c>
      <c r="D35" t="s">
        <v>875</v>
      </c>
    </row>
    <row r="36" spans="1:4" x14ac:dyDescent="0.25">
      <c r="A36" t="s">
        <v>293</v>
      </c>
      <c r="B36">
        <v>61.499999999999993</v>
      </c>
      <c r="C36" s="1" t="s">
        <v>18</v>
      </c>
      <c r="D36" t="s">
        <v>875</v>
      </c>
    </row>
    <row r="37" spans="1:4" x14ac:dyDescent="0.25">
      <c r="A37" t="s">
        <v>316</v>
      </c>
      <c r="B37">
        <v>55.6</v>
      </c>
      <c r="C37" s="1" t="s">
        <v>18</v>
      </c>
      <c r="D37" t="s">
        <v>875</v>
      </c>
    </row>
    <row r="38" spans="1:4" x14ac:dyDescent="0.25">
      <c r="A38" t="s">
        <v>339</v>
      </c>
      <c r="B38">
        <v>59.2</v>
      </c>
      <c r="C38" s="1" t="s">
        <v>18</v>
      </c>
      <c r="D38" t="s">
        <v>875</v>
      </c>
    </row>
    <row r="39" spans="1:4" x14ac:dyDescent="0.25">
      <c r="A39" t="s">
        <v>362</v>
      </c>
      <c r="B39">
        <v>57.70000000000001</v>
      </c>
      <c r="C39" s="1" t="s">
        <v>18</v>
      </c>
      <c r="D39" t="s">
        <v>875</v>
      </c>
    </row>
    <row r="40" spans="1:4" x14ac:dyDescent="0.25">
      <c r="A40" t="s">
        <v>385</v>
      </c>
      <c r="B40">
        <v>55.5</v>
      </c>
      <c r="C40" s="1" t="s">
        <v>18</v>
      </c>
      <c r="D40" t="s">
        <v>875</v>
      </c>
    </row>
    <row r="41" spans="1:4" x14ac:dyDescent="0.25">
      <c r="A41" t="s">
        <v>408</v>
      </c>
      <c r="B41">
        <v>44.3</v>
      </c>
      <c r="C41" s="1" t="s">
        <v>18</v>
      </c>
      <c r="D41" t="s">
        <v>875</v>
      </c>
    </row>
    <row r="42" spans="1:4" x14ac:dyDescent="0.25">
      <c r="A42" t="s">
        <v>209</v>
      </c>
      <c r="B42">
        <v>1</v>
      </c>
      <c r="C42" s="1" t="s">
        <v>19</v>
      </c>
      <c r="D42" t="s">
        <v>1468</v>
      </c>
    </row>
    <row r="43" spans="1:4" x14ac:dyDescent="0.25">
      <c r="A43" t="s">
        <v>232</v>
      </c>
      <c r="B43">
        <v>2</v>
      </c>
      <c r="C43" s="1" t="s">
        <v>19</v>
      </c>
      <c r="D43" t="s">
        <v>1468</v>
      </c>
    </row>
    <row r="44" spans="1:4" x14ac:dyDescent="0.25">
      <c r="A44" t="s">
        <v>255</v>
      </c>
      <c r="B44">
        <v>3</v>
      </c>
      <c r="C44" s="1" t="s">
        <v>19</v>
      </c>
      <c r="D44" t="s">
        <v>1468</v>
      </c>
    </row>
    <row r="45" spans="1:4" x14ac:dyDescent="0.25">
      <c r="A45" t="s">
        <v>278</v>
      </c>
      <c r="B45">
        <v>4</v>
      </c>
      <c r="C45" s="1" t="s">
        <v>19</v>
      </c>
      <c r="D45" t="s">
        <v>1468</v>
      </c>
    </row>
    <row r="46" spans="1:4" x14ac:dyDescent="0.25">
      <c r="A46" t="s">
        <v>301</v>
      </c>
      <c r="B46">
        <v>5</v>
      </c>
      <c r="C46" s="1" t="s">
        <v>19</v>
      </c>
      <c r="D46" t="s">
        <v>1468</v>
      </c>
    </row>
    <row r="47" spans="1:4" x14ac:dyDescent="0.25">
      <c r="A47" t="s">
        <v>324</v>
      </c>
      <c r="B47">
        <v>6</v>
      </c>
      <c r="C47" s="1" t="s">
        <v>19</v>
      </c>
      <c r="D47" t="s">
        <v>1468</v>
      </c>
    </row>
    <row r="48" spans="1:4" x14ac:dyDescent="0.25">
      <c r="A48" t="s">
        <v>347</v>
      </c>
      <c r="B48">
        <v>7</v>
      </c>
      <c r="C48" s="1" t="s">
        <v>19</v>
      </c>
      <c r="D48" t="s">
        <v>1468</v>
      </c>
    </row>
    <row r="49" spans="1:4" x14ac:dyDescent="0.25">
      <c r="A49" t="s">
        <v>370</v>
      </c>
      <c r="B49">
        <v>8</v>
      </c>
      <c r="C49" s="1" t="s">
        <v>19</v>
      </c>
      <c r="D49" t="s">
        <v>1468</v>
      </c>
    </row>
    <row r="50" spans="1:4" x14ac:dyDescent="0.25">
      <c r="A50" t="s">
        <v>393</v>
      </c>
      <c r="B50">
        <v>9</v>
      </c>
      <c r="C50" s="1" t="s">
        <v>19</v>
      </c>
      <c r="D50" t="s">
        <v>1468</v>
      </c>
    </row>
    <row r="51" spans="1:4" x14ac:dyDescent="0.25">
      <c r="A51" t="s">
        <v>416</v>
      </c>
      <c r="B51">
        <v>10</v>
      </c>
      <c r="C51" s="1" t="s">
        <v>19</v>
      </c>
      <c r="D51" t="s">
        <v>1468</v>
      </c>
    </row>
    <row r="52" spans="1:4" x14ac:dyDescent="0.25">
      <c r="A52" t="s">
        <v>210</v>
      </c>
      <c r="B52">
        <v>1</v>
      </c>
      <c r="C52" s="1" t="s">
        <v>19</v>
      </c>
      <c r="D52" t="s">
        <v>1468</v>
      </c>
    </row>
    <row r="53" spans="1:4" x14ac:dyDescent="0.25">
      <c r="A53" t="s">
        <v>233</v>
      </c>
      <c r="B53">
        <v>2</v>
      </c>
      <c r="C53" s="1" t="s">
        <v>19</v>
      </c>
      <c r="D53" t="s">
        <v>1468</v>
      </c>
    </row>
    <row r="54" spans="1:4" x14ac:dyDescent="0.25">
      <c r="A54" t="s">
        <v>256</v>
      </c>
      <c r="B54">
        <v>3</v>
      </c>
      <c r="C54" s="1" t="s">
        <v>19</v>
      </c>
      <c r="D54" t="s">
        <v>1468</v>
      </c>
    </row>
    <row r="55" spans="1:4" x14ac:dyDescent="0.25">
      <c r="A55" t="s">
        <v>279</v>
      </c>
      <c r="B55">
        <v>4</v>
      </c>
      <c r="C55" s="1" t="s">
        <v>19</v>
      </c>
      <c r="D55" t="s">
        <v>1468</v>
      </c>
    </row>
    <row r="56" spans="1:4" x14ac:dyDescent="0.25">
      <c r="A56" t="s">
        <v>302</v>
      </c>
      <c r="B56">
        <v>5</v>
      </c>
      <c r="C56" s="1" t="s">
        <v>19</v>
      </c>
      <c r="D56" t="s">
        <v>1468</v>
      </c>
    </row>
    <row r="57" spans="1:4" x14ac:dyDescent="0.25">
      <c r="A57" t="s">
        <v>325</v>
      </c>
      <c r="B57">
        <v>6</v>
      </c>
      <c r="C57" s="1" t="s">
        <v>19</v>
      </c>
      <c r="D57" t="s">
        <v>1468</v>
      </c>
    </row>
    <row r="58" spans="1:4" x14ac:dyDescent="0.25">
      <c r="A58" t="s">
        <v>348</v>
      </c>
      <c r="B58">
        <v>7</v>
      </c>
      <c r="C58" s="1" t="s">
        <v>19</v>
      </c>
      <c r="D58" t="s">
        <v>1468</v>
      </c>
    </row>
    <row r="59" spans="1:4" x14ac:dyDescent="0.25">
      <c r="A59" t="s">
        <v>371</v>
      </c>
      <c r="B59">
        <v>8</v>
      </c>
      <c r="C59" s="1" t="s">
        <v>19</v>
      </c>
      <c r="D59" t="s">
        <v>1468</v>
      </c>
    </row>
    <row r="60" spans="1:4" x14ac:dyDescent="0.25">
      <c r="A60" t="s">
        <v>394</v>
      </c>
      <c r="B60">
        <v>9</v>
      </c>
      <c r="C60" s="1" t="s">
        <v>19</v>
      </c>
      <c r="D60" t="s">
        <v>1468</v>
      </c>
    </row>
    <row r="61" spans="1:4" x14ac:dyDescent="0.25">
      <c r="A61" t="s">
        <v>417</v>
      </c>
      <c r="B61">
        <v>10</v>
      </c>
      <c r="C61" s="1" t="s">
        <v>19</v>
      </c>
      <c r="D61" t="s">
        <v>1468</v>
      </c>
    </row>
    <row r="62" spans="1:4" x14ac:dyDescent="0.25">
      <c r="A62" t="s">
        <v>209</v>
      </c>
      <c r="B62">
        <v>-1</v>
      </c>
      <c r="C62" s="1" t="s">
        <v>19</v>
      </c>
      <c r="D62" t="s">
        <v>1526</v>
      </c>
    </row>
    <row r="63" spans="1:4" x14ac:dyDescent="0.25">
      <c r="A63" t="s">
        <v>232</v>
      </c>
      <c r="B63">
        <v>-2</v>
      </c>
      <c r="C63" s="1" t="s">
        <v>19</v>
      </c>
      <c r="D63" t="s">
        <v>1526</v>
      </c>
    </row>
    <row r="64" spans="1:4" x14ac:dyDescent="0.25">
      <c r="A64" t="s">
        <v>255</v>
      </c>
      <c r="B64">
        <v>-3</v>
      </c>
      <c r="C64" s="1" t="s">
        <v>19</v>
      </c>
      <c r="D64" t="s">
        <v>1526</v>
      </c>
    </row>
    <row r="65" spans="1:4" x14ac:dyDescent="0.25">
      <c r="A65" t="s">
        <v>278</v>
      </c>
      <c r="B65">
        <v>-4</v>
      </c>
      <c r="C65" s="1" t="s">
        <v>19</v>
      </c>
      <c r="D65" t="s">
        <v>1526</v>
      </c>
    </row>
    <row r="66" spans="1:4" x14ac:dyDescent="0.25">
      <c r="A66" t="s">
        <v>301</v>
      </c>
      <c r="B66">
        <v>-5</v>
      </c>
      <c r="C66" s="1" t="s">
        <v>19</v>
      </c>
      <c r="D66" t="s">
        <v>1526</v>
      </c>
    </row>
    <row r="67" spans="1:4" x14ac:dyDescent="0.25">
      <c r="A67" t="s">
        <v>324</v>
      </c>
      <c r="B67">
        <v>-6</v>
      </c>
      <c r="C67" s="1" t="s">
        <v>19</v>
      </c>
      <c r="D67" t="s">
        <v>1526</v>
      </c>
    </row>
    <row r="68" spans="1:4" x14ac:dyDescent="0.25">
      <c r="A68" t="s">
        <v>347</v>
      </c>
      <c r="B68">
        <v>-7</v>
      </c>
      <c r="C68" s="1" t="s">
        <v>19</v>
      </c>
      <c r="D68" t="s">
        <v>1526</v>
      </c>
    </row>
    <row r="69" spans="1:4" x14ac:dyDescent="0.25">
      <c r="A69" t="s">
        <v>370</v>
      </c>
      <c r="B69">
        <v>-8</v>
      </c>
      <c r="C69" s="1" t="s">
        <v>19</v>
      </c>
      <c r="D69" t="s">
        <v>1526</v>
      </c>
    </row>
    <row r="70" spans="1:4" x14ac:dyDescent="0.25">
      <c r="A70" t="s">
        <v>393</v>
      </c>
      <c r="B70">
        <v>-9</v>
      </c>
      <c r="C70" s="1" t="s">
        <v>19</v>
      </c>
      <c r="D70" t="s">
        <v>1526</v>
      </c>
    </row>
    <row r="71" spans="1:4" x14ac:dyDescent="0.25">
      <c r="A71" t="s">
        <v>416</v>
      </c>
      <c r="B71">
        <v>-10</v>
      </c>
      <c r="C71" s="1" t="s">
        <v>19</v>
      </c>
      <c r="D71" t="s">
        <v>1526</v>
      </c>
    </row>
    <row r="72" spans="1:4" x14ac:dyDescent="0.25">
      <c r="A72" t="s">
        <v>210</v>
      </c>
      <c r="B72">
        <v>-1</v>
      </c>
      <c r="C72" s="1" t="s">
        <v>19</v>
      </c>
      <c r="D72" t="s">
        <v>1526</v>
      </c>
    </row>
    <row r="73" spans="1:4" x14ac:dyDescent="0.25">
      <c r="A73" t="s">
        <v>233</v>
      </c>
      <c r="B73">
        <v>-2</v>
      </c>
      <c r="C73" s="1" t="s">
        <v>19</v>
      </c>
      <c r="D73" t="s">
        <v>1526</v>
      </c>
    </row>
    <row r="74" spans="1:4" x14ac:dyDescent="0.25">
      <c r="A74" t="s">
        <v>256</v>
      </c>
      <c r="B74">
        <v>-3</v>
      </c>
      <c r="C74" s="1" t="s">
        <v>19</v>
      </c>
      <c r="D74" t="s">
        <v>1526</v>
      </c>
    </row>
    <row r="75" spans="1:4" x14ac:dyDescent="0.25">
      <c r="A75" t="s">
        <v>279</v>
      </c>
      <c r="B75">
        <v>-4</v>
      </c>
      <c r="C75" s="1" t="s">
        <v>19</v>
      </c>
      <c r="D75" t="s">
        <v>1526</v>
      </c>
    </row>
    <row r="76" spans="1:4" x14ac:dyDescent="0.25">
      <c r="A76" t="s">
        <v>302</v>
      </c>
      <c r="B76">
        <v>-5</v>
      </c>
      <c r="C76" s="1" t="s">
        <v>19</v>
      </c>
      <c r="D76" t="s">
        <v>1526</v>
      </c>
    </row>
    <row r="77" spans="1:4" x14ac:dyDescent="0.25">
      <c r="A77" t="s">
        <v>325</v>
      </c>
      <c r="B77">
        <v>-6</v>
      </c>
      <c r="C77" s="1" t="s">
        <v>19</v>
      </c>
      <c r="D77" t="s">
        <v>1526</v>
      </c>
    </row>
    <row r="78" spans="1:4" x14ac:dyDescent="0.25">
      <c r="A78" t="s">
        <v>348</v>
      </c>
      <c r="B78">
        <v>-7</v>
      </c>
      <c r="C78" s="1" t="s">
        <v>19</v>
      </c>
      <c r="D78" t="s">
        <v>1526</v>
      </c>
    </row>
    <row r="79" spans="1:4" x14ac:dyDescent="0.25">
      <c r="A79" t="s">
        <v>371</v>
      </c>
      <c r="B79">
        <v>-8</v>
      </c>
      <c r="C79" s="1" t="s">
        <v>19</v>
      </c>
      <c r="D79" t="s">
        <v>1526</v>
      </c>
    </row>
    <row r="80" spans="1:4" x14ac:dyDescent="0.25">
      <c r="A80" t="s">
        <v>394</v>
      </c>
      <c r="B80">
        <v>-9</v>
      </c>
      <c r="C80" s="1" t="s">
        <v>19</v>
      </c>
      <c r="D80" t="s">
        <v>1526</v>
      </c>
    </row>
    <row r="81" spans="1:4" x14ac:dyDescent="0.25">
      <c r="A81" t="s">
        <v>417</v>
      </c>
      <c r="B81">
        <v>-10</v>
      </c>
      <c r="C81" s="1" t="s">
        <v>19</v>
      </c>
      <c r="D81" t="s">
        <v>1526</v>
      </c>
    </row>
    <row r="82" spans="1:4" x14ac:dyDescent="0.25">
      <c r="A82" t="s">
        <v>202</v>
      </c>
      <c r="B82">
        <v>-4.3737000000000004</v>
      </c>
      <c r="C82" s="1" t="s">
        <v>20</v>
      </c>
      <c r="D82" t="s">
        <v>789</v>
      </c>
    </row>
    <row r="83" spans="1:4" x14ac:dyDescent="0.25">
      <c r="A83" t="s">
        <v>203</v>
      </c>
      <c r="B83">
        <v>-6.0228000000000002</v>
      </c>
      <c r="C83" s="1" t="s">
        <v>20</v>
      </c>
      <c r="D83" t="s">
        <v>789</v>
      </c>
    </row>
    <row r="84" spans="1:4" x14ac:dyDescent="0.25">
      <c r="A84" t="s">
        <v>204</v>
      </c>
      <c r="B84">
        <v>-6.0228000000000002</v>
      </c>
      <c r="C84" s="1" t="s">
        <v>20</v>
      </c>
      <c r="D84" t="s">
        <v>789</v>
      </c>
    </row>
    <row r="85" spans="1:4" x14ac:dyDescent="0.25">
      <c r="A85" t="s">
        <v>205</v>
      </c>
      <c r="B85">
        <v>-4.3737000000000004</v>
      </c>
      <c r="C85" s="1" t="s">
        <v>20</v>
      </c>
      <c r="D85" t="s">
        <v>789</v>
      </c>
    </row>
    <row r="86" spans="1:4" x14ac:dyDescent="0.25">
      <c r="A86" t="s">
        <v>211</v>
      </c>
      <c r="B86">
        <v>-4.1585999999999999</v>
      </c>
      <c r="C86" s="1" t="s">
        <v>20</v>
      </c>
      <c r="D86" t="s">
        <v>789</v>
      </c>
    </row>
    <row r="87" spans="1:4" x14ac:dyDescent="0.25">
      <c r="A87" t="s">
        <v>212</v>
      </c>
      <c r="B87">
        <v>-6.7397999999999998</v>
      </c>
      <c r="C87" s="1" t="s">
        <v>20</v>
      </c>
      <c r="D87" t="s">
        <v>789</v>
      </c>
    </row>
    <row r="88" spans="1:4" x14ac:dyDescent="0.25">
      <c r="A88" t="s">
        <v>213</v>
      </c>
      <c r="B88">
        <v>-6.7397999999999998</v>
      </c>
      <c r="C88" s="1" t="s">
        <v>20</v>
      </c>
      <c r="D88" t="s">
        <v>789</v>
      </c>
    </row>
    <row r="89" spans="1:4" x14ac:dyDescent="0.25">
      <c r="A89" t="s">
        <v>214</v>
      </c>
      <c r="B89">
        <v>-4.1585999999999999</v>
      </c>
      <c r="C89" s="1" t="s">
        <v>20</v>
      </c>
      <c r="D89" t="s">
        <v>789</v>
      </c>
    </row>
    <row r="90" spans="1:4" x14ac:dyDescent="0.25">
      <c r="A90" t="s">
        <v>215</v>
      </c>
      <c r="B90">
        <v>-5.0907</v>
      </c>
      <c r="C90" s="1" t="s">
        <v>20</v>
      </c>
      <c r="D90" t="s">
        <v>789</v>
      </c>
    </row>
    <row r="91" spans="1:4" x14ac:dyDescent="0.25">
      <c r="A91" t="s">
        <v>216</v>
      </c>
      <c r="B91">
        <v>-5.0907</v>
      </c>
      <c r="C91" s="1" t="s">
        <v>20</v>
      </c>
      <c r="D91" t="s">
        <v>789</v>
      </c>
    </row>
    <row r="92" spans="1:4" x14ac:dyDescent="0.25">
      <c r="A92" t="s">
        <v>220</v>
      </c>
      <c r="B92">
        <v>-4.8756000000000004</v>
      </c>
      <c r="C92" s="1" t="s">
        <v>20</v>
      </c>
      <c r="D92" t="s">
        <v>789</v>
      </c>
    </row>
    <row r="93" spans="1:4" x14ac:dyDescent="0.25">
      <c r="A93" t="s">
        <v>221</v>
      </c>
      <c r="B93">
        <v>-4.5888</v>
      </c>
      <c r="C93" s="1" t="s">
        <v>20</v>
      </c>
      <c r="D93" t="s">
        <v>789</v>
      </c>
    </row>
    <row r="94" spans="1:4" x14ac:dyDescent="0.25">
      <c r="A94" t="s">
        <v>222</v>
      </c>
      <c r="B94">
        <v>-4.5888</v>
      </c>
      <c r="C94" s="1" t="s">
        <v>20</v>
      </c>
      <c r="D94" t="s">
        <v>789</v>
      </c>
    </row>
    <row r="95" spans="1:4" x14ac:dyDescent="0.25">
      <c r="A95" t="s">
        <v>223</v>
      </c>
      <c r="B95">
        <v>-4.8756000000000004</v>
      </c>
      <c r="C95" s="1" t="s">
        <v>20</v>
      </c>
      <c r="D95" t="s">
        <v>789</v>
      </c>
    </row>
    <row r="96" spans="1:4" x14ac:dyDescent="0.25">
      <c r="A96" t="s">
        <v>225</v>
      </c>
      <c r="B96">
        <v>-4.1235999999999997</v>
      </c>
      <c r="C96" s="1" t="s">
        <v>20</v>
      </c>
      <c r="D96" t="s">
        <v>789</v>
      </c>
    </row>
    <row r="97" spans="1:4" x14ac:dyDescent="0.25">
      <c r="A97" t="s">
        <v>226</v>
      </c>
      <c r="B97">
        <v>-5.6783999999999999</v>
      </c>
      <c r="C97" s="1" t="s">
        <v>20</v>
      </c>
      <c r="D97" t="s">
        <v>789</v>
      </c>
    </row>
    <row r="98" spans="1:4" x14ac:dyDescent="0.25">
      <c r="A98" t="s">
        <v>227</v>
      </c>
      <c r="B98">
        <v>-5.6783999999999999</v>
      </c>
      <c r="C98" s="1" t="s">
        <v>20</v>
      </c>
      <c r="D98" t="s">
        <v>789</v>
      </c>
    </row>
    <row r="99" spans="1:4" x14ac:dyDescent="0.25">
      <c r="A99" t="s">
        <v>228</v>
      </c>
      <c r="B99">
        <v>-4.1235999999999997</v>
      </c>
      <c r="C99" s="1" t="s">
        <v>20</v>
      </c>
      <c r="D99" t="s">
        <v>789</v>
      </c>
    </row>
    <row r="100" spans="1:4" x14ac:dyDescent="0.25">
      <c r="A100" t="s">
        <v>234</v>
      </c>
      <c r="B100">
        <v>-3.9207999999999998</v>
      </c>
      <c r="C100" s="1" t="s">
        <v>20</v>
      </c>
      <c r="D100" t="s">
        <v>789</v>
      </c>
    </row>
    <row r="101" spans="1:4" x14ac:dyDescent="0.25">
      <c r="A101" t="s">
        <v>235</v>
      </c>
      <c r="B101">
        <v>-6.3544</v>
      </c>
      <c r="C101" s="1" t="s">
        <v>20</v>
      </c>
      <c r="D101" t="s">
        <v>789</v>
      </c>
    </row>
    <row r="102" spans="1:4" x14ac:dyDescent="0.25">
      <c r="A102" t="s">
        <v>236</v>
      </c>
      <c r="B102">
        <v>-6.3544</v>
      </c>
      <c r="C102" s="1" t="s">
        <v>20</v>
      </c>
      <c r="D102" t="s">
        <v>789</v>
      </c>
    </row>
    <row r="103" spans="1:4" x14ac:dyDescent="0.25">
      <c r="A103" t="s">
        <v>237</v>
      </c>
      <c r="B103">
        <v>-3.9207999999999998</v>
      </c>
      <c r="C103" s="1" t="s">
        <v>20</v>
      </c>
      <c r="D103" t="s">
        <v>789</v>
      </c>
    </row>
    <row r="104" spans="1:4" x14ac:dyDescent="0.25">
      <c r="A104" t="s">
        <v>238</v>
      </c>
      <c r="B104">
        <v>-4.7995999999999999</v>
      </c>
      <c r="C104" s="1" t="s">
        <v>20</v>
      </c>
      <c r="D104" t="s">
        <v>789</v>
      </c>
    </row>
    <row r="105" spans="1:4" x14ac:dyDescent="0.25">
      <c r="A105" t="s">
        <v>239</v>
      </c>
      <c r="B105">
        <v>-4.7995999999999999</v>
      </c>
      <c r="C105" s="1" t="s">
        <v>20</v>
      </c>
      <c r="D105" t="s">
        <v>789</v>
      </c>
    </row>
    <row r="106" spans="1:4" x14ac:dyDescent="0.25">
      <c r="A106" t="s">
        <v>243</v>
      </c>
      <c r="B106">
        <v>-4.5968</v>
      </c>
      <c r="C106" s="1" t="s">
        <v>20</v>
      </c>
      <c r="D106" t="s">
        <v>789</v>
      </c>
    </row>
    <row r="107" spans="1:4" x14ac:dyDescent="0.25">
      <c r="A107" t="s">
        <v>244</v>
      </c>
      <c r="B107">
        <v>-4.3263999999999996</v>
      </c>
      <c r="C107" s="1" t="s">
        <v>20</v>
      </c>
      <c r="D107" t="s">
        <v>789</v>
      </c>
    </row>
    <row r="108" spans="1:4" x14ac:dyDescent="0.25">
      <c r="A108" t="s">
        <v>245</v>
      </c>
      <c r="B108">
        <v>-4.3263999999999996</v>
      </c>
      <c r="C108" s="1" t="s">
        <v>20</v>
      </c>
      <c r="D108" t="s">
        <v>789</v>
      </c>
    </row>
    <row r="109" spans="1:4" x14ac:dyDescent="0.25">
      <c r="A109" t="s">
        <v>246</v>
      </c>
      <c r="B109">
        <v>-4.5968</v>
      </c>
      <c r="C109" s="1" t="s">
        <v>20</v>
      </c>
      <c r="D109" t="s">
        <v>789</v>
      </c>
    </row>
    <row r="110" spans="1:4" x14ac:dyDescent="0.25">
      <c r="A110" t="s">
        <v>248</v>
      </c>
      <c r="B110">
        <v>-3.5868000000000002</v>
      </c>
      <c r="C110" s="1" t="s">
        <v>20</v>
      </c>
      <c r="D110" t="s">
        <v>789</v>
      </c>
    </row>
    <row r="111" spans="1:4" x14ac:dyDescent="0.25">
      <c r="A111" t="s">
        <v>249</v>
      </c>
      <c r="B111">
        <v>-4.9391999999999996</v>
      </c>
      <c r="C111" s="1" t="s">
        <v>20</v>
      </c>
      <c r="D111" t="s">
        <v>789</v>
      </c>
    </row>
    <row r="112" spans="1:4" x14ac:dyDescent="0.25">
      <c r="A112" t="s">
        <v>250</v>
      </c>
      <c r="B112">
        <v>-4.9391999999999996</v>
      </c>
      <c r="C112" s="1" t="s">
        <v>20</v>
      </c>
      <c r="D112" t="s">
        <v>789</v>
      </c>
    </row>
    <row r="113" spans="1:4" x14ac:dyDescent="0.25">
      <c r="A113" t="s">
        <v>251</v>
      </c>
      <c r="B113">
        <v>-3.5868000000000002</v>
      </c>
      <c r="C113" s="1" t="s">
        <v>20</v>
      </c>
      <c r="D113" t="s">
        <v>789</v>
      </c>
    </row>
    <row r="114" spans="1:4" x14ac:dyDescent="0.25">
      <c r="A114" t="s">
        <v>257</v>
      </c>
      <c r="B114">
        <v>-3.4104000000000001</v>
      </c>
      <c r="C114" s="1" t="s">
        <v>20</v>
      </c>
      <c r="D114" t="s">
        <v>789</v>
      </c>
    </row>
    <row r="115" spans="1:4" x14ac:dyDescent="0.25">
      <c r="A115" t="s">
        <v>258</v>
      </c>
      <c r="B115">
        <v>-5.5271999999999997</v>
      </c>
      <c r="C115" s="1" t="s">
        <v>20</v>
      </c>
      <c r="D115" t="s">
        <v>789</v>
      </c>
    </row>
    <row r="116" spans="1:4" x14ac:dyDescent="0.25">
      <c r="A116" t="s">
        <v>259</v>
      </c>
      <c r="B116">
        <v>-5.5271999999999997</v>
      </c>
      <c r="C116" s="1" t="s">
        <v>20</v>
      </c>
      <c r="D116" t="s">
        <v>789</v>
      </c>
    </row>
    <row r="117" spans="1:4" x14ac:dyDescent="0.25">
      <c r="A117" t="s">
        <v>260</v>
      </c>
      <c r="B117">
        <v>-3.4104000000000001</v>
      </c>
      <c r="C117" s="1" t="s">
        <v>20</v>
      </c>
      <c r="D117" t="s">
        <v>789</v>
      </c>
    </row>
    <row r="118" spans="1:4" x14ac:dyDescent="0.25">
      <c r="A118" t="s">
        <v>261</v>
      </c>
      <c r="B118">
        <v>-4.1748000000000003</v>
      </c>
      <c r="C118" s="1" t="s">
        <v>20</v>
      </c>
      <c r="D118" t="s">
        <v>789</v>
      </c>
    </row>
    <row r="119" spans="1:4" x14ac:dyDescent="0.25">
      <c r="A119" t="s">
        <v>262</v>
      </c>
      <c r="B119">
        <v>-4.1748000000000003</v>
      </c>
      <c r="C119" s="1" t="s">
        <v>20</v>
      </c>
      <c r="D119" t="s">
        <v>789</v>
      </c>
    </row>
    <row r="120" spans="1:4" x14ac:dyDescent="0.25">
      <c r="A120" t="s">
        <v>266</v>
      </c>
      <c r="B120">
        <v>-3.9984000000000002</v>
      </c>
      <c r="C120" s="1" t="s">
        <v>20</v>
      </c>
      <c r="D120" t="s">
        <v>789</v>
      </c>
    </row>
    <row r="121" spans="1:4" x14ac:dyDescent="0.25">
      <c r="A121" t="s">
        <v>267</v>
      </c>
      <c r="B121">
        <v>-3.7631999999999999</v>
      </c>
      <c r="C121" s="1" t="s">
        <v>20</v>
      </c>
      <c r="D121" t="s">
        <v>789</v>
      </c>
    </row>
    <row r="122" spans="1:4" x14ac:dyDescent="0.25">
      <c r="A122" t="s">
        <v>268</v>
      </c>
      <c r="B122">
        <v>-3.7631999999999999</v>
      </c>
      <c r="C122" s="1" t="s">
        <v>20</v>
      </c>
      <c r="D122" t="s">
        <v>789</v>
      </c>
    </row>
    <row r="123" spans="1:4" x14ac:dyDescent="0.25">
      <c r="A123" t="s">
        <v>269</v>
      </c>
      <c r="B123">
        <v>-3.9984000000000002</v>
      </c>
      <c r="C123" s="1" t="s">
        <v>20</v>
      </c>
      <c r="D123" t="s">
        <v>789</v>
      </c>
    </row>
    <row r="124" spans="1:4" x14ac:dyDescent="0.25">
      <c r="A124" t="s">
        <v>271</v>
      </c>
      <c r="B124">
        <v>-3.4220999999999999</v>
      </c>
      <c r="C124" s="1" t="s">
        <v>20</v>
      </c>
      <c r="D124" t="s">
        <v>789</v>
      </c>
    </row>
    <row r="125" spans="1:4" x14ac:dyDescent="0.25">
      <c r="A125" t="s">
        <v>272</v>
      </c>
      <c r="B125">
        <v>-4.7123999999999997</v>
      </c>
      <c r="C125" s="1" t="s">
        <v>20</v>
      </c>
      <c r="D125" t="s">
        <v>789</v>
      </c>
    </row>
    <row r="126" spans="1:4" x14ac:dyDescent="0.25">
      <c r="A126" t="s">
        <v>273</v>
      </c>
      <c r="B126">
        <v>-4.7123999999999997</v>
      </c>
      <c r="C126" s="1" t="s">
        <v>20</v>
      </c>
      <c r="D126" t="s">
        <v>789</v>
      </c>
    </row>
    <row r="127" spans="1:4" x14ac:dyDescent="0.25">
      <c r="A127" t="s">
        <v>274</v>
      </c>
      <c r="B127">
        <v>-3.4220999999999999</v>
      </c>
      <c r="C127" s="1" t="s">
        <v>20</v>
      </c>
      <c r="D127" t="s">
        <v>789</v>
      </c>
    </row>
    <row r="128" spans="1:4" x14ac:dyDescent="0.25">
      <c r="A128" t="s">
        <v>280</v>
      </c>
      <c r="B128">
        <v>-3.2538</v>
      </c>
      <c r="C128" s="1" t="s">
        <v>20</v>
      </c>
      <c r="D128" t="s">
        <v>789</v>
      </c>
    </row>
    <row r="129" spans="1:4" x14ac:dyDescent="0.25">
      <c r="A129" t="s">
        <v>281</v>
      </c>
      <c r="B129">
        <v>-5.2733999999999996</v>
      </c>
      <c r="C129" s="1" t="s">
        <v>20</v>
      </c>
      <c r="D129" t="s">
        <v>789</v>
      </c>
    </row>
    <row r="130" spans="1:4" x14ac:dyDescent="0.25">
      <c r="A130" t="s">
        <v>282</v>
      </c>
      <c r="B130">
        <v>-5.2733999999999996</v>
      </c>
      <c r="C130" s="1" t="s">
        <v>20</v>
      </c>
      <c r="D130" t="s">
        <v>789</v>
      </c>
    </row>
    <row r="131" spans="1:4" x14ac:dyDescent="0.25">
      <c r="A131" t="s">
        <v>283</v>
      </c>
      <c r="B131">
        <v>-3.2538</v>
      </c>
      <c r="C131" s="1" t="s">
        <v>20</v>
      </c>
      <c r="D131" t="s">
        <v>789</v>
      </c>
    </row>
    <row r="132" spans="1:4" x14ac:dyDescent="0.25">
      <c r="A132" t="s">
        <v>284</v>
      </c>
      <c r="B132">
        <v>-3.9830999999999999</v>
      </c>
      <c r="C132" s="1" t="s">
        <v>20</v>
      </c>
      <c r="D132" t="s">
        <v>789</v>
      </c>
    </row>
    <row r="133" spans="1:4" x14ac:dyDescent="0.25">
      <c r="A133" t="s">
        <v>285</v>
      </c>
      <c r="B133">
        <v>-3.9830999999999999</v>
      </c>
      <c r="C133" s="1" t="s">
        <v>20</v>
      </c>
      <c r="D133" t="s">
        <v>789</v>
      </c>
    </row>
    <row r="134" spans="1:4" x14ac:dyDescent="0.25">
      <c r="A134" t="s">
        <v>289</v>
      </c>
      <c r="B134">
        <v>-3.8148</v>
      </c>
      <c r="C134" s="1" t="s">
        <v>20</v>
      </c>
      <c r="D134" t="s">
        <v>789</v>
      </c>
    </row>
    <row r="135" spans="1:4" x14ac:dyDescent="0.25">
      <c r="A135" t="s">
        <v>290</v>
      </c>
      <c r="B135">
        <v>-3.5903999999999998</v>
      </c>
      <c r="C135" s="1" t="s">
        <v>20</v>
      </c>
      <c r="D135" t="s">
        <v>789</v>
      </c>
    </row>
    <row r="136" spans="1:4" x14ac:dyDescent="0.25">
      <c r="A136" t="s">
        <v>291</v>
      </c>
      <c r="B136">
        <v>-3.5903999999999998</v>
      </c>
      <c r="C136" s="1" t="s">
        <v>20</v>
      </c>
      <c r="D136" t="s">
        <v>789</v>
      </c>
    </row>
    <row r="137" spans="1:4" x14ac:dyDescent="0.25">
      <c r="A137" t="s">
        <v>292</v>
      </c>
      <c r="B137">
        <v>-3.8148</v>
      </c>
      <c r="C137" s="1" t="s">
        <v>20</v>
      </c>
      <c r="D137" t="s">
        <v>789</v>
      </c>
    </row>
    <row r="138" spans="1:4" x14ac:dyDescent="0.25">
      <c r="A138" t="s">
        <v>294</v>
      </c>
      <c r="B138">
        <v>-3.7515000000000001</v>
      </c>
      <c r="C138" s="1" t="s">
        <v>20</v>
      </c>
      <c r="D138" t="s">
        <v>789</v>
      </c>
    </row>
    <row r="139" spans="1:4" x14ac:dyDescent="0.25">
      <c r="A139" t="s">
        <v>295</v>
      </c>
      <c r="B139">
        <v>-5.1660000000000004</v>
      </c>
      <c r="C139" s="1" t="s">
        <v>20</v>
      </c>
      <c r="D139" t="s">
        <v>789</v>
      </c>
    </row>
    <row r="140" spans="1:4" x14ac:dyDescent="0.25">
      <c r="A140" t="s">
        <v>296</v>
      </c>
      <c r="B140">
        <v>-5.1660000000000004</v>
      </c>
      <c r="C140" s="1" t="s">
        <v>20</v>
      </c>
      <c r="D140" t="s">
        <v>789</v>
      </c>
    </row>
    <row r="141" spans="1:4" x14ac:dyDescent="0.25">
      <c r="A141" t="s">
        <v>297</v>
      </c>
      <c r="B141">
        <v>-3.7515000000000001</v>
      </c>
      <c r="C141" s="1" t="s">
        <v>20</v>
      </c>
      <c r="D141" t="s">
        <v>789</v>
      </c>
    </row>
    <row r="142" spans="1:4" x14ac:dyDescent="0.25">
      <c r="A142" t="s">
        <v>303</v>
      </c>
      <c r="B142">
        <v>-3.5670000000000002</v>
      </c>
      <c r="C142" s="1" t="s">
        <v>20</v>
      </c>
      <c r="D142" t="s">
        <v>789</v>
      </c>
    </row>
    <row r="143" spans="1:4" x14ac:dyDescent="0.25">
      <c r="A143" t="s">
        <v>304</v>
      </c>
      <c r="B143">
        <v>-5.7809999999999997</v>
      </c>
      <c r="C143" s="1" t="s">
        <v>20</v>
      </c>
      <c r="D143" t="s">
        <v>789</v>
      </c>
    </row>
    <row r="144" spans="1:4" x14ac:dyDescent="0.25">
      <c r="A144" t="s">
        <v>305</v>
      </c>
      <c r="B144">
        <v>-5.7809999999999997</v>
      </c>
      <c r="C144" s="1" t="s">
        <v>20</v>
      </c>
      <c r="D144" t="s">
        <v>789</v>
      </c>
    </row>
    <row r="145" spans="1:4" x14ac:dyDescent="0.25">
      <c r="A145" t="s">
        <v>306</v>
      </c>
      <c r="B145">
        <v>-3.5670000000000002</v>
      </c>
      <c r="C145" s="1" t="s">
        <v>20</v>
      </c>
      <c r="D145" t="s">
        <v>789</v>
      </c>
    </row>
    <row r="146" spans="1:4" x14ac:dyDescent="0.25">
      <c r="A146" t="s">
        <v>307</v>
      </c>
      <c r="B146">
        <v>-4.3665000000000003</v>
      </c>
      <c r="C146" s="1" t="s">
        <v>20</v>
      </c>
      <c r="D146" t="s">
        <v>789</v>
      </c>
    </row>
    <row r="147" spans="1:4" x14ac:dyDescent="0.25">
      <c r="A147" t="s">
        <v>308</v>
      </c>
      <c r="B147">
        <v>-4.3665000000000003</v>
      </c>
      <c r="C147" s="1" t="s">
        <v>20</v>
      </c>
      <c r="D147" t="s">
        <v>789</v>
      </c>
    </row>
    <row r="148" spans="1:4" x14ac:dyDescent="0.25">
      <c r="A148" t="s">
        <v>312</v>
      </c>
      <c r="B148">
        <v>-4.1820000000000004</v>
      </c>
      <c r="C148" s="1" t="s">
        <v>20</v>
      </c>
      <c r="D148" t="s">
        <v>789</v>
      </c>
    </row>
    <row r="149" spans="1:4" x14ac:dyDescent="0.25">
      <c r="A149" t="s">
        <v>313</v>
      </c>
      <c r="B149">
        <v>-3.9359999999999999</v>
      </c>
      <c r="C149" s="1" t="s">
        <v>20</v>
      </c>
      <c r="D149" t="s">
        <v>789</v>
      </c>
    </row>
    <row r="150" spans="1:4" x14ac:dyDescent="0.25">
      <c r="A150" t="s">
        <v>314</v>
      </c>
      <c r="B150">
        <v>-3.9359999999999999</v>
      </c>
      <c r="C150" s="1" t="s">
        <v>20</v>
      </c>
      <c r="D150" t="s">
        <v>789</v>
      </c>
    </row>
    <row r="151" spans="1:4" x14ac:dyDescent="0.25">
      <c r="A151" t="s">
        <v>315</v>
      </c>
      <c r="B151">
        <v>-4.1820000000000004</v>
      </c>
      <c r="C151" s="1" t="s">
        <v>20</v>
      </c>
      <c r="D151" t="s">
        <v>789</v>
      </c>
    </row>
    <row r="152" spans="1:4" x14ac:dyDescent="0.25">
      <c r="A152" t="s">
        <v>317</v>
      </c>
      <c r="B152">
        <v>-3.3915999999999999</v>
      </c>
      <c r="C152" s="1" t="s">
        <v>20</v>
      </c>
      <c r="D152" t="s">
        <v>789</v>
      </c>
    </row>
    <row r="153" spans="1:4" x14ac:dyDescent="0.25">
      <c r="A153" t="s">
        <v>318</v>
      </c>
      <c r="B153">
        <v>-4.6703999999999999</v>
      </c>
      <c r="C153" s="1" t="s">
        <v>20</v>
      </c>
      <c r="D153" t="s">
        <v>789</v>
      </c>
    </row>
    <row r="154" spans="1:4" x14ac:dyDescent="0.25">
      <c r="A154" t="s">
        <v>319</v>
      </c>
      <c r="B154">
        <v>-4.6703999999999999</v>
      </c>
      <c r="C154" s="1" t="s">
        <v>20</v>
      </c>
      <c r="D154" t="s">
        <v>789</v>
      </c>
    </row>
    <row r="155" spans="1:4" x14ac:dyDescent="0.25">
      <c r="A155" t="s">
        <v>320</v>
      </c>
      <c r="B155">
        <v>-3.3915999999999999</v>
      </c>
      <c r="C155" s="1" t="s">
        <v>20</v>
      </c>
      <c r="D155" t="s">
        <v>789</v>
      </c>
    </row>
    <row r="156" spans="1:4" x14ac:dyDescent="0.25">
      <c r="A156" t="s">
        <v>326</v>
      </c>
      <c r="B156">
        <v>-3.2248000000000001</v>
      </c>
      <c r="C156" s="1" t="s">
        <v>20</v>
      </c>
      <c r="D156" t="s">
        <v>789</v>
      </c>
    </row>
    <row r="157" spans="1:4" x14ac:dyDescent="0.25">
      <c r="A157" t="s">
        <v>327</v>
      </c>
      <c r="B157">
        <v>-5.2263999999999999</v>
      </c>
      <c r="C157" s="1" t="s">
        <v>20</v>
      </c>
      <c r="D157" t="s">
        <v>789</v>
      </c>
    </row>
    <row r="158" spans="1:4" x14ac:dyDescent="0.25">
      <c r="A158" t="s">
        <v>328</v>
      </c>
      <c r="B158">
        <v>-5.2263999999999999</v>
      </c>
      <c r="C158" s="1" t="s">
        <v>20</v>
      </c>
      <c r="D158" t="s">
        <v>789</v>
      </c>
    </row>
    <row r="159" spans="1:4" x14ac:dyDescent="0.25">
      <c r="A159" t="s">
        <v>329</v>
      </c>
      <c r="B159">
        <v>-3.2248000000000001</v>
      </c>
      <c r="C159" s="1" t="s">
        <v>20</v>
      </c>
      <c r="D159" t="s">
        <v>789</v>
      </c>
    </row>
    <row r="160" spans="1:4" x14ac:dyDescent="0.25">
      <c r="A160" t="s">
        <v>330</v>
      </c>
      <c r="B160">
        <v>-3.9476</v>
      </c>
      <c r="C160" s="1" t="s">
        <v>20</v>
      </c>
      <c r="D160" t="s">
        <v>789</v>
      </c>
    </row>
    <row r="161" spans="1:4" x14ac:dyDescent="0.25">
      <c r="A161" t="s">
        <v>331</v>
      </c>
      <c r="B161">
        <v>-3.9476</v>
      </c>
      <c r="C161" s="1" t="s">
        <v>20</v>
      </c>
      <c r="D161" t="s">
        <v>789</v>
      </c>
    </row>
    <row r="162" spans="1:4" x14ac:dyDescent="0.25">
      <c r="A162" t="s">
        <v>335</v>
      </c>
      <c r="B162">
        <v>-3.7808000000000002</v>
      </c>
      <c r="C162" s="1" t="s">
        <v>20</v>
      </c>
      <c r="D162" t="s">
        <v>789</v>
      </c>
    </row>
    <row r="163" spans="1:4" x14ac:dyDescent="0.25">
      <c r="A163" t="s">
        <v>336</v>
      </c>
      <c r="B163">
        <v>-3.5583999999999998</v>
      </c>
      <c r="C163" s="1" t="s">
        <v>20</v>
      </c>
      <c r="D163" t="s">
        <v>789</v>
      </c>
    </row>
    <row r="164" spans="1:4" x14ac:dyDescent="0.25">
      <c r="A164" t="s">
        <v>337</v>
      </c>
      <c r="B164">
        <v>-3.5583999999999998</v>
      </c>
      <c r="C164" s="1" t="s">
        <v>20</v>
      </c>
      <c r="D164" t="s">
        <v>789</v>
      </c>
    </row>
    <row r="165" spans="1:4" x14ac:dyDescent="0.25">
      <c r="A165" t="s">
        <v>338</v>
      </c>
      <c r="B165">
        <v>-3.7808000000000002</v>
      </c>
      <c r="C165" s="1" t="s">
        <v>20</v>
      </c>
      <c r="D165" t="s">
        <v>789</v>
      </c>
    </row>
    <row r="166" spans="1:4" x14ac:dyDescent="0.25">
      <c r="A166" t="s">
        <v>340</v>
      </c>
      <c r="B166">
        <v>-3.6112000000000002</v>
      </c>
      <c r="C166" s="1" t="s">
        <v>20</v>
      </c>
      <c r="D166" t="s">
        <v>789</v>
      </c>
    </row>
    <row r="167" spans="1:4" x14ac:dyDescent="0.25">
      <c r="A167" t="s">
        <v>341</v>
      </c>
      <c r="B167">
        <v>-4.9728000000000003</v>
      </c>
      <c r="C167" s="1" t="s">
        <v>20</v>
      </c>
      <c r="D167" t="s">
        <v>789</v>
      </c>
    </row>
    <row r="168" spans="1:4" x14ac:dyDescent="0.25">
      <c r="A168" t="s">
        <v>342</v>
      </c>
      <c r="B168">
        <v>-4.9728000000000003</v>
      </c>
      <c r="C168" s="1" t="s">
        <v>20</v>
      </c>
      <c r="D168" t="s">
        <v>789</v>
      </c>
    </row>
    <row r="169" spans="1:4" x14ac:dyDescent="0.25">
      <c r="A169" t="s">
        <v>343</v>
      </c>
      <c r="B169">
        <v>-3.6112000000000002</v>
      </c>
      <c r="C169" s="1" t="s">
        <v>20</v>
      </c>
      <c r="D169" t="s">
        <v>789</v>
      </c>
    </row>
    <row r="170" spans="1:4" x14ac:dyDescent="0.25">
      <c r="A170" t="s">
        <v>349</v>
      </c>
      <c r="B170">
        <v>-3.4336000000000002</v>
      </c>
      <c r="C170" s="1" t="s">
        <v>20</v>
      </c>
      <c r="D170" t="s">
        <v>789</v>
      </c>
    </row>
    <row r="171" spans="1:4" x14ac:dyDescent="0.25">
      <c r="A171" t="s">
        <v>350</v>
      </c>
      <c r="B171">
        <v>-5.5648</v>
      </c>
      <c r="C171" s="1" t="s">
        <v>20</v>
      </c>
      <c r="D171" t="s">
        <v>789</v>
      </c>
    </row>
    <row r="172" spans="1:4" x14ac:dyDescent="0.25">
      <c r="A172" t="s">
        <v>351</v>
      </c>
      <c r="B172">
        <v>-5.5648</v>
      </c>
      <c r="C172" s="1" t="s">
        <v>20</v>
      </c>
      <c r="D172" t="s">
        <v>789</v>
      </c>
    </row>
    <row r="173" spans="1:4" x14ac:dyDescent="0.25">
      <c r="A173" t="s">
        <v>352</v>
      </c>
      <c r="B173">
        <v>-3.4336000000000002</v>
      </c>
      <c r="C173" s="1" t="s">
        <v>20</v>
      </c>
      <c r="D173" t="s">
        <v>789</v>
      </c>
    </row>
    <row r="174" spans="1:4" x14ac:dyDescent="0.25">
      <c r="A174" t="s">
        <v>353</v>
      </c>
      <c r="B174">
        <v>-4.2031999999999998</v>
      </c>
      <c r="C174" s="1" t="s">
        <v>20</v>
      </c>
      <c r="D174" t="s">
        <v>789</v>
      </c>
    </row>
    <row r="175" spans="1:4" x14ac:dyDescent="0.25">
      <c r="A175" t="s">
        <v>354</v>
      </c>
      <c r="B175">
        <v>-4.2031999999999998</v>
      </c>
      <c r="C175" s="1" t="s">
        <v>20</v>
      </c>
      <c r="D175" t="s">
        <v>789</v>
      </c>
    </row>
    <row r="176" spans="1:4" x14ac:dyDescent="0.25">
      <c r="A176" t="s">
        <v>358</v>
      </c>
      <c r="B176">
        <v>-4.0255999999999998</v>
      </c>
      <c r="C176" s="1" t="s">
        <v>20</v>
      </c>
      <c r="D176" t="s">
        <v>789</v>
      </c>
    </row>
    <row r="177" spans="1:4" x14ac:dyDescent="0.25">
      <c r="A177" t="s">
        <v>359</v>
      </c>
      <c r="B177">
        <v>-3.7888000000000002</v>
      </c>
      <c r="C177" s="1" t="s">
        <v>20</v>
      </c>
      <c r="D177" t="s">
        <v>789</v>
      </c>
    </row>
    <row r="178" spans="1:4" x14ac:dyDescent="0.25">
      <c r="A178" t="s">
        <v>360</v>
      </c>
      <c r="B178">
        <v>-3.7888000000000002</v>
      </c>
      <c r="C178" s="1" t="s">
        <v>20</v>
      </c>
      <c r="D178" t="s">
        <v>789</v>
      </c>
    </row>
    <row r="179" spans="1:4" x14ac:dyDescent="0.25">
      <c r="A179" t="s">
        <v>361</v>
      </c>
      <c r="B179">
        <v>-4.0255999999999998</v>
      </c>
      <c r="C179" s="1" t="s">
        <v>20</v>
      </c>
      <c r="D179" t="s">
        <v>789</v>
      </c>
    </row>
    <row r="180" spans="1:4" x14ac:dyDescent="0.25">
      <c r="A180" t="s">
        <v>363</v>
      </c>
      <c r="B180">
        <v>-3.5196999999999998</v>
      </c>
      <c r="C180" s="1" t="s">
        <v>20</v>
      </c>
      <c r="D180" t="s">
        <v>789</v>
      </c>
    </row>
    <row r="181" spans="1:4" x14ac:dyDescent="0.25">
      <c r="A181" t="s">
        <v>364</v>
      </c>
      <c r="B181">
        <v>-4.8468</v>
      </c>
      <c r="C181" s="1" t="s">
        <v>20</v>
      </c>
      <c r="D181" t="s">
        <v>789</v>
      </c>
    </row>
    <row r="182" spans="1:4" x14ac:dyDescent="0.25">
      <c r="A182" t="s">
        <v>365</v>
      </c>
      <c r="B182">
        <v>-4.8468</v>
      </c>
      <c r="C182" s="1" t="s">
        <v>20</v>
      </c>
      <c r="D182" t="s">
        <v>789</v>
      </c>
    </row>
    <row r="183" spans="1:4" x14ac:dyDescent="0.25">
      <c r="A183" t="s">
        <v>366</v>
      </c>
      <c r="B183">
        <v>-3.5196999999999998</v>
      </c>
      <c r="C183" s="1" t="s">
        <v>20</v>
      </c>
      <c r="D183" t="s">
        <v>789</v>
      </c>
    </row>
    <row r="184" spans="1:4" x14ac:dyDescent="0.25">
      <c r="A184" t="s">
        <v>372</v>
      </c>
      <c r="B184">
        <v>-3.3466</v>
      </c>
      <c r="C184" s="1" t="s">
        <v>20</v>
      </c>
      <c r="D184" t="s">
        <v>789</v>
      </c>
    </row>
    <row r="185" spans="1:4" x14ac:dyDescent="0.25">
      <c r="A185" t="s">
        <v>373</v>
      </c>
      <c r="B185">
        <v>-5.4238</v>
      </c>
      <c r="C185" s="1" t="s">
        <v>20</v>
      </c>
      <c r="D185" t="s">
        <v>789</v>
      </c>
    </row>
    <row r="186" spans="1:4" x14ac:dyDescent="0.25">
      <c r="A186" t="s">
        <v>374</v>
      </c>
      <c r="B186">
        <v>-5.4238</v>
      </c>
      <c r="C186" s="1" t="s">
        <v>20</v>
      </c>
      <c r="D186" t="s">
        <v>789</v>
      </c>
    </row>
    <row r="187" spans="1:4" x14ac:dyDescent="0.25">
      <c r="A187" t="s">
        <v>375</v>
      </c>
      <c r="B187">
        <v>-3.3466</v>
      </c>
      <c r="C187" s="1" t="s">
        <v>20</v>
      </c>
      <c r="D187" t="s">
        <v>789</v>
      </c>
    </row>
    <row r="188" spans="1:4" x14ac:dyDescent="0.25">
      <c r="A188" t="s">
        <v>376</v>
      </c>
      <c r="B188">
        <v>-4.0967000000000002</v>
      </c>
      <c r="C188" s="1" t="s">
        <v>20</v>
      </c>
      <c r="D188" t="s">
        <v>789</v>
      </c>
    </row>
    <row r="189" spans="1:4" x14ac:dyDescent="0.25">
      <c r="A189" t="s">
        <v>377</v>
      </c>
      <c r="B189">
        <v>-4.0967000000000002</v>
      </c>
      <c r="C189" s="1" t="s">
        <v>20</v>
      </c>
      <c r="D189" t="s">
        <v>789</v>
      </c>
    </row>
    <row r="190" spans="1:4" x14ac:dyDescent="0.25">
      <c r="A190" t="s">
        <v>381</v>
      </c>
      <c r="B190">
        <v>-3.9236</v>
      </c>
      <c r="C190" s="1" t="s">
        <v>20</v>
      </c>
      <c r="D190" t="s">
        <v>789</v>
      </c>
    </row>
    <row r="191" spans="1:4" x14ac:dyDescent="0.25">
      <c r="A191" t="s">
        <v>382</v>
      </c>
      <c r="B191">
        <v>-3.6928000000000001</v>
      </c>
      <c r="C191" s="1" t="s">
        <v>20</v>
      </c>
      <c r="D191" t="s">
        <v>789</v>
      </c>
    </row>
    <row r="192" spans="1:4" x14ac:dyDescent="0.25">
      <c r="A192" t="s">
        <v>383</v>
      </c>
      <c r="B192">
        <v>-3.6928000000000001</v>
      </c>
      <c r="C192" s="1" t="s">
        <v>20</v>
      </c>
      <c r="D192" t="s">
        <v>789</v>
      </c>
    </row>
    <row r="193" spans="1:4" x14ac:dyDescent="0.25">
      <c r="A193" t="s">
        <v>384</v>
      </c>
      <c r="B193">
        <v>-3.9236</v>
      </c>
      <c r="C193" s="1" t="s">
        <v>20</v>
      </c>
      <c r="D193" t="s">
        <v>789</v>
      </c>
    </row>
    <row r="194" spans="1:4" x14ac:dyDescent="0.25">
      <c r="A194" t="s">
        <v>386</v>
      </c>
      <c r="B194">
        <v>-3.3855</v>
      </c>
      <c r="C194" s="1" t="s">
        <v>20</v>
      </c>
      <c r="D194" t="s">
        <v>789</v>
      </c>
    </row>
    <row r="195" spans="1:4" x14ac:dyDescent="0.25">
      <c r="A195" t="s">
        <v>387</v>
      </c>
      <c r="B195">
        <v>-4.6619999999999999</v>
      </c>
      <c r="C195" s="1" t="s">
        <v>20</v>
      </c>
      <c r="D195" t="s">
        <v>789</v>
      </c>
    </row>
    <row r="196" spans="1:4" x14ac:dyDescent="0.25">
      <c r="A196" t="s">
        <v>388</v>
      </c>
      <c r="B196">
        <v>-4.6619999999999999</v>
      </c>
      <c r="C196" s="1" t="s">
        <v>20</v>
      </c>
      <c r="D196" t="s">
        <v>789</v>
      </c>
    </row>
    <row r="197" spans="1:4" x14ac:dyDescent="0.25">
      <c r="A197" t="s">
        <v>389</v>
      </c>
      <c r="B197">
        <v>-3.3855</v>
      </c>
      <c r="C197" s="1" t="s">
        <v>20</v>
      </c>
      <c r="D197" t="s">
        <v>789</v>
      </c>
    </row>
    <row r="198" spans="1:4" x14ac:dyDescent="0.25">
      <c r="A198" t="s">
        <v>395</v>
      </c>
      <c r="B198">
        <v>-3.2189999999999999</v>
      </c>
      <c r="C198" s="1" t="s">
        <v>20</v>
      </c>
      <c r="D198" t="s">
        <v>789</v>
      </c>
    </row>
    <row r="199" spans="1:4" x14ac:dyDescent="0.25">
      <c r="A199" t="s">
        <v>396</v>
      </c>
      <c r="B199">
        <v>-5.2169999999999996</v>
      </c>
      <c r="C199" s="1" t="s">
        <v>20</v>
      </c>
      <c r="D199" t="s">
        <v>789</v>
      </c>
    </row>
    <row r="200" spans="1:4" x14ac:dyDescent="0.25">
      <c r="A200" t="s">
        <v>397</v>
      </c>
      <c r="B200">
        <v>-5.2169999999999996</v>
      </c>
      <c r="C200" s="1" t="s">
        <v>20</v>
      </c>
      <c r="D200" t="s">
        <v>789</v>
      </c>
    </row>
    <row r="201" spans="1:4" x14ac:dyDescent="0.25">
      <c r="A201" t="s">
        <v>398</v>
      </c>
      <c r="B201">
        <v>-3.2189999999999999</v>
      </c>
      <c r="C201" s="1" t="s">
        <v>20</v>
      </c>
      <c r="D201" t="s">
        <v>789</v>
      </c>
    </row>
    <row r="202" spans="1:4" x14ac:dyDescent="0.25">
      <c r="A202" t="s">
        <v>399</v>
      </c>
      <c r="B202">
        <v>-3.9405000000000001</v>
      </c>
      <c r="C202" s="1" t="s">
        <v>20</v>
      </c>
      <c r="D202" t="s">
        <v>789</v>
      </c>
    </row>
    <row r="203" spans="1:4" x14ac:dyDescent="0.25">
      <c r="A203" t="s">
        <v>400</v>
      </c>
      <c r="B203">
        <v>-3.9405000000000001</v>
      </c>
      <c r="C203" s="1" t="s">
        <v>20</v>
      </c>
      <c r="D203" t="s">
        <v>789</v>
      </c>
    </row>
    <row r="204" spans="1:4" x14ac:dyDescent="0.25">
      <c r="A204" t="s">
        <v>404</v>
      </c>
      <c r="B204">
        <v>-3.774</v>
      </c>
      <c r="C204" s="1" t="s">
        <v>20</v>
      </c>
      <c r="D204" t="s">
        <v>789</v>
      </c>
    </row>
    <row r="205" spans="1:4" x14ac:dyDescent="0.25">
      <c r="A205" t="s">
        <v>405</v>
      </c>
      <c r="B205">
        <v>-3.552</v>
      </c>
      <c r="C205" s="1" t="s">
        <v>20</v>
      </c>
      <c r="D205" t="s">
        <v>789</v>
      </c>
    </row>
    <row r="206" spans="1:4" x14ac:dyDescent="0.25">
      <c r="A206" t="s">
        <v>406</v>
      </c>
      <c r="B206">
        <v>-3.552</v>
      </c>
      <c r="C206" s="1" t="s">
        <v>20</v>
      </c>
      <c r="D206" t="s">
        <v>789</v>
      </c>
    </row>
    <row r="207" spans="1:4" x14ac:dyDescent="0.25">
      <c r="A207" t="s">
        <v>407</v>
      </c>
      <c r="B207">
        <v>-3.774</v>
      </c>
      <c r="C207" s="1" t="s">
        <v>20</v>
      </c>
      <c r="D207" t="s">
        <v>789</v>
      </c>
    </row>
    <row r="208" spans="1:4" x14ac:dyDescent="0.25">
      <c r="A208" t="s">
        <v>409</v>
      </c>
      <c r="B208">
        <v>-2.7023000000000001</v>
      </c>
      <c r="C208" s="1" t="s">
        <v>20</v>
      </c>
      <c r="D208" t="s">
        <v>789</v>
      </c>
    </row>
    <row r="209" spans="1:4" x14ac:dyDescent="0.25">
      <c r="A209" t="s">
        <v>410</v>
      </c>
      <c r="B209">
        <v>-3.7212000000000001</v>
      </c>
      <c r="C209" s="1" t="s">
        <v>20</v>
      </c>
      <c r="D209" t="s">
        <v>789</v>
      </c>
    </row>
    <row r="210" spans="1:4" x14ac:dyDescent="0.25">
      <c r="A210" t="s">
        <v>411</v>
      </c>
      <c r="B210">
        <v>-3.7212000000000001</v>
      </c>
      <c r="C210" s="1" t="s">
        <v>20</v>
      </c>
      <c r="D210" t="s">
        <v>789</v>
      </c>
    </row>
    <row r="211" spans="1:4" x14ac:dyDescent="0.25">
      <c r="A211" t="s">
        <v>412</v>
      </c>
      <c r="B211">
        <v>-2.7023000000000001</v>
      </c>
      <c r="C211" s="1" t="s">
        <v>20</v>
      </c>
      <c r="D211" t="s">
        <v>789</v>
      </c>
    </row>
    <row r="212" spans="1:4" x14ac:dyDescent="0.25">
      <c r="A212" t="s">
        <v>418</v>
      </c>
      <c r="B212">
        <v>-2.5693999999999999</v>
      </c>
      <c r="C212" s="1" t="s">
        <v>20</v>
      </c>
      <c r="D212" t="s">
        <v>789</v>
      </c>
    </row>
    <row r="213" spans="1:4" x14ac:dyDescent="0.25">
      <c r="A213" t="s">
        <v>419</v>
      </c>
      <c r="B213">
        <v>-4.1642000000000001</v>
      </c>
      <c r="C213" s="1" t="s">
        <v>20</v>
      </c>
      <c r="D213" t="s">
        <v>789</v>
      </c>
    </row>
    <row r="214" spans="1:4" x14ac:dyDescent="0.25">
      <c r="A214" t="s">
        <v>420</v>
      </c>
      <c r="B214">
        <v>-4.1642000000000001</v>
      </c>
      <c r="C214" s="1" t="s">
        <v>20</v>
      </c>
      <c r="D214" t="s">
        <v>789</v>
      </c>
    </row>
    <row r="215" spans="1:4" x14ac:dyDescent="0.25">
      <c r="A215" t="s">
        <v>421</v>
      </c>
      <c r="B215">
        <v>-2.5693999999999999</v>
      </c>
      <c r="C215" s="1" t="s">
        <v>20</v>
      </c>
      <c r="D215" t="s">
        <v>789</v>
      </c>
    </row>
    <row r="216" spans="1:4" x14ac:dyDescent="0.25">
      <c r="A216" t="s">
        <v>422</v>
      </c>
      <c r="B216">
        <v>-3.1453000000000002</v>
      </c>
      <c r="C216" s="1" t="s">
        <v>20</v>
      </c>
      <c r="D216" t="s">
        <v>789</v>
      </c>
    </row>
    <row r="217" spans="1:4" x14ac:dyDescent="0.25">
      <c r="A217" t="s">
        <v>423</v>
      </c>
      <c r="B217">
        <v>-3.1453000000000002</v>
      </c>
      <c r="C217" s="1" t="s">
        <v>20</v>
      </c>
      <c r="D217" t="s">
        <v>789</v>
      </c>
    </row>
    <row r="218" spans="1:4" x14ac:dyDescent="0.25">
      <c r="A218" t="s">
        <v>427</v>
      </c>
      <c r="B218">
        <v>-3.0124</v>
      </c>
      <c r="C218" s="1" t="s">
        <v>20</v>
      </c>
      <c r="D218" t="s">
        <v>789</v>
      </c>
    </row>
    <row r="219" spans="1:4" x14ac:dyDescent="0.25">
      <c r="A219" t="s">
        <v>428</v>
      </c>
      <c r="B219">
        <v>-2.8351999999999999</v>
      </c>
      <c r="C219" s="1" t="s">
        <v>20</v>
      </c>
      <c r="D219" t="s">
        <v>789</v>
      </c>
    </row>
    <row r="220" spans="1:4" x14ac:dyDescent="0.25">
      <c r="A220" t="s">
        <v>429</v>
      </c>
      <c r="B220">
        <v>-2.8351999999999999</v>
      </c>
      <c r="C220" s="1" t="s">
        <v>20</v>
      </c>
      <c r="D220" t="s">
        <v>789</v>
      </c>
    </row>
    <row r="221" spans="1:4" x14ac:dyDescent="0.25">
      <c r="A221" t="s">
        <v>430</v>
      </c>
      <c r="B221">
        <v>-3.0124</v>
      </c>
      <c r="C221" s="1" t="s">
        <v>20</v>
      </c>
      <c r="D221" t="s">
        <v>789</v>
      </c>
    </row>
    <row r="222" spans="1:4" x14ac:dyDescent="0.25">
      <c r="A222" t="s">
        <v>408</v>
      </c>
      <c r="B222">
        <v>0.17602245476158271</v>
      </c>
      <c r="C222" s="1" t="s">
        <v>18</v>
      </c>
      <c r="D222" t="s">
        <v>2672</v>
      </c>
    </row>
    <row r="223" spans="1:4" x14ac:dyDescent="0.25">
      <c r="A223" t="s">
        <v>385</v>
      </c>
      <c r="B223">
        <v>0.18884798566766162</v>
      </c>
      <c r="C223" s="1" t="s">
        <v>18</v>
      </c>
      <c r="D223" t="s">
        <v>2672</v>
      </c>
    </row>
    <row r="224" spans="1:4" x14ac:dyDescent="0.25">
      <c r="A224" t="s">
        <v>362</v>
      </c>
      <c r="B224">
        <v>0.16514935822034912</v>
      </c>
      <c r="C224" s="1" t="s">
        <v>18</v>
      </c>
      <c r="D224" t="s">
        <v>2672</v>
      </c>
    </row>
    <row r="225" spans="1:4" x14ac:dyDescent="0.25">
      <c r="A225" t="s">
        <v>339</v>
      </c>
      <c r="B225">
        <v>0.13934765245184066</v>
      </c>
      <c r="C225" s="1" t="s">
        <v>18</v>
      </c>
      <c r="D225" t="s">
        <v>2672</v>
      </c>
    </row>
    <row r="226" spans="1:4" x14ac:dyDescent="0.25">
      <c r="A226" t="s">
        <v>316</v>
      </c>
      <c r="B226">
        <v>0.10451424164461499</v>
      </c>
      <c r="C226" s="1" t="s">
        <v>18</v>
      </c>
      <c r="D226" t="s">
        <v>2672</v>
      </c>
    </row>
    <row r="227" spans="1:4" x14ac:dyDescent="0.25">
      <c r="A227" t="s">
        <v>293</v>
      </c>
      <c r="B227">
        <v>8.8720649459491027E-2</v>
      </c>
      <c r="C227" s="1" t="s">
        <v>18</v>
      </c>
      <c r="D227" t="s">
        <v>2672</v>
      </c>
    </row>
    <row r="228" spans="1:4" x14ac:dyDescent="0.25">
      <c r="A228" t="s">
        <v>270</v>
      </c>
      <c r="B228">
        <v>5.8672814532146553E-2</v>
      </c>
      <c r="C228" s="1" t="s">
        <v>18</v>
      </c>
      <c r="D228" t="s">
        <v>2672</v>
      </c>
    </row>
    <row r="229" spans="1:4" x14ac:dyDescent="0.25">
      <c r="A229" t="s">
        <v>247</v>
      </c>
      <c r="B229">
        <v>4.0814709113115286E-2</v>
      </c>
      <c r="C229" s="1" t="s">
        <v>18</v>
      </c>
      <c r="D229" t="s">
        <v>2672</v>
      </c>
    </row>
    <row r="230" spans="1:4" x14ac:dyDescent="0.25">
      <c r="A230" t="s">
        <v>224</v>
      </c>
      <c r="B230">
        <v>2.6644088745951627E-2</v>
      </c>
      <c r="C230" s="1" t="s">
        <v>18</v>
      </c>
      <c r="D230" t="s">
        <v>2672</v>
      </c>
    </row>
    <row r="231" spans="1:4" x14ac:dyDescent="0.25">
      <c r="A231" t="s">
        <v>201</v>
      </c>
      <c r="B231">
        <v>1.1266045403246263E-2</v>
      </c>
      <c r="C231" s="1" t="s">
        <v>18</v>
      </c>
      <c r="D231" t="s">
        <v>2672</v>
      </c>
    </row>
    <row r="232" spans="1:4" x14ac:dyDescent="0.25">
      <c r="A232" t="s">
        <v>408</v>
      </c>
      <c r="B232">
        <v>0.17602245476158271</v>
      </c>
      <c r="C232" s="1" t="s">
        <v>19</v>
      </c>
      <c r="D232" t="s">
        <v>2673</v>
      </c>
    </row>
    <row r="233" spans="1:4" x14ac:dyDescent="0.25">
      <c r="A233" t="s">
        <v>385</v>
      </c>
      <c r="B233">
        <v>0.18884798566766162</v>
      </c>
      <c r="C233" s="1" t="s">
        <v>19</v>
      </c>
      <c r="D233" t="s">
        <v>2673</v>
      </c>
    </row>
    <row r="234" spans="1:4" x14ac:dyDescent="0.25">
      <c r="A234" t="s">
        <v>362</v>
      </c>
      <c r="B234">
        <v>0.16514935822034912</v>
      </c>
      <c r="C234" s="1" t="s">
        <v>19</v>
      </c>
      <c r="D234" t="s">
        <v>2673</v>
      </c>
    </row>
    <row r="235" spans="1:4" x14ac:dyDescent="0.25">
      <c r="A235" t="s">
        <v>339</v>
      </c>
      <c r="B235">
        <v>0.13934765245184066</v>
      </c>
      <c r="C235" s="1" t="s">
        <v>19</v>
      </c>
      <c r="D235" t="s">
        <v>2673</v>
      </c>
    </row>
    <row r="236" spans="1:4" x14ac:dyDescent="0.25">
      <c r="A236" t="s">
        <v>316</v>
      </c>
      <c r="B236">
        <v>0.10451424164461499</v>
      </c>
      <c r="C236" s="1" t="s">
        <v>19</v>
      </c>
      <c r="D236" t="s">
        <v>2673</v>
      </c>
    </row>
    <row r="237" spans="1:4" x14ac:dyDescent="0.25">
      <c r="A237" t="s">
        <v>293</v>
      </c>
      <c r="B237">
        <v>8.8720649459491027E-2</v>
      </c>
      <c r="C237" s="1" t="s">
        <v>19</v>
      </c>
      <c r="D237" t="s">
        <v>2673</v>
      </c>
    </row>
    <row r="238" spans="1:4" x14ac:dyDescent="0.25">
      <c r="A238" t="s">
        <v>270</v>
      </c>
      <c r="B238">
        <v>5.8672814532146553E-2</v>
      </c>
      <c r="C238" s="1" t="s">
        <v>19</v>
      </c>
      <c r="D238" t="s">
        <v>2673</v>
      </c>
    </row>
    <row r="239" spans="1:4" x14ac:dyDescent="0.25">
      <c r="A239" t="s">
        <v>247</v>
      </c>
      <c r="B239">
        <v>4.0814709113115286E-2</v>
      </c>
      <c r="C239" s="1" t="s">
        <v>19</v>
      </c>
      <c r="D239" t="s">
        <v>2673</v>
      </c>
    </row>
    <row r="240" spans="1:4" x14ac:dyDescent="0.25">
      <c r="A240" t="s">
        <v>224</v>
      </c>
      <c r="B240">
        <v>2.6644088745951627E-2</v>
      </c>
      <c r="C240" s="1" t="s">
        <v>19</v>
      </c>
      <c r="D240" t="s">
        <v>2673</v>
      </c>
    </row>
    <row r="241" spans="1:4" x14ac:dyDescent="0.25">
      <c r="A241" t="s">
        <v>201</v>
      </c>
      <c r="B241">
        <v>1.1266045403246263E-2</v>
      </c>
      <c r="C241" s="1" t="s">
        <v>19</v>
      </c>
      <c r="D241" t="s">
        <v>2673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DA648-9EB2-4B5A-841B-BF80EC73979D}">
  <sheetPr codeName="Sheet8">
    <tabColor rgb="FFFFC000"/>
  </sheetPr>
  <dimension ref="A1:D5"/>
  <sheetViews>
    <sheetView workbookViewId="0">
      <selection activeCell="B13" sqref="B13"/>
    </sheetView>
  </sheetViews>
  <sheetFormatPr defaultColWidth="0" defaultRowHeight="15" x14ac:dyDescent="0.25"/>
  <cols>
    <col min="1" max="1" width="14.85546875" customWidth="1"/>
    <col min="2" max="2" width="9.140625" customWidth="1"/>
    <col min="3" max="3" width="9.140625" style="1" customWidth="1"/>
    <col min="4" max="4" width="33.7109375" customWidth="1"/>
    <col min="5" max="16384" width="9.140625" hidden="1"/>
  </cols>
  <sheetData>
    <row r="1" spans="1:4" x14ac:dyDescent="0.25">
      <c r="A1" t="s">
        <v>0</v>
      </c>
      <c r="B1" t="s">
        <v>44</v>
      </c>
      <c r="C1" s="5" t="s">
        <v>42</v>
      </c>
      <c r="D1" t="s">
        <v>43</v>
      </c>
    </row>
    <row r="2" spans="1:4" x14ac:dyDescent="0.25">
      <c r="A2" t="s">
        <v>2651</v>
      </c>
      <c r="B2">
        <v>-6.0392578124999999E-2</v>
      </c>
      <c r="C2" s="1" t="s">
        <v>2653</v>
      </c>
      <c r="D2" t="s">
        <v>789</v>
      </c>
    </row>
    <row r="3" spans="1:4" x14ac:dyDescent="0.25">
      <c r="A3" t="s">
        <v>2652</v>
      </c>
      <c r="B3">
        <v>-6.0392578124999999E-2</v>
      </c>
      <c r="C3" s="1" t="s">
        <v>2653</v>
      </c>
      <c r="D3" t="s">
        <v>789</v>
      </c>
    </row>
    <row r="4" spans="1:4" x14ac:dyDescent="0.25">
      <c r="A4" t="s">
        <v>1523</v>
      </c>
      <c r="B4">
        <v>-4.1584602864583299E-2</v>
      </c>
      <c r="C4" s="1" t="s">
        <v>2653</v>
      </c>
      <c r="D4" t="s">
        <v>789</v>
      </c>
    </row>
    <row r="5" spans="1:4" x14ac:dyDescent="0.25">
      <c r="A5" t="s">
        <v>1521</v>
      </c>
      <c r="B5">
        <v>-4.1584602864583299E-2</v>
      </c>
      <c r="C5" s="1" t="s">
        <v>2653</v>
      </c>
      <c r="D5" t="s">
        <v>789</v>
      </c>
    </row>
  </sheetData>
  <dataValidations count="1">
    <dataValidation type="list" allowBlank="1" showInputMessage="1" showErrorMessage="1" sqref="C2:C1048576" xr:uid="{955210B3-F0BF-4C52-B068-1DED8F49E852}">
      <formula1>"wX,wY,wZ"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E9FD1-280C-45F4-8B39-58240F70F533}">
  <sheetPr codeName="Sheet6">
    <tabColor rgb="FFFFC000"/>
  </sheetPr>
  <dimension ref="A1:T28"/>
  <sheetViews>
    <sheetView workbookViewId="0">
      <selection activeCell="F13" sqref="F13"/>
    </sheetView>
  </sheetViews>
  <sheetFormatPr defaultRowHeight="15" x14ac:dyDescent="0.25"/>
  <cols>
    <col min="1" max="1" width="14.5703125" customWidth="1"/>
    <col min="5" max="5" width="9.5703125" bestFit="1" customWidth="1"/>
    <col min="7" max="8" width="10" bestFit="1" customWidth="1"/>
    <col min="16" max="17" width="9.140625" style="7"/>
    <col min="19" max="19" width="12" bestFit="1" customWidth="1"/>
  </cols>
  <sheetData>
    <row r="1" spans="1:19" x14ac:dyDescent="0.25">
      <c r="A1" t="s">
        <v>10</v>
      </c>
      <c r="B1" t="s">
        <v>6</v>
      </c>
      <c r="C1" t="s">
        <v>7</v>
      </c>
      <c r="D1" t="s">
        <v>8</v>
      </c>
      <c r="E1" t="s">
        <v>9</v>
      </c>
      <c r="F1" t="s">
        <v>13</v>
      </c>
      <c r="G1" t="s">
        <v>14</v>
      </c>
      <c r="H1" t="s">
        <v>15</v>
      </c>
      <c r="I1" t="s">
        <v>16</v>
      </c>
      <c r="J1" t="s">
        <v>35</v>
      </c>
      <c r="K1" t="s">
        <v>36</v>
      </c>
      <c r="L1" t="s">
        <v>37</v>
      </c>
      <c r="M1" t="s">
        <v>2643</v>
      </c>
      <c r="N1" t="s">
        <v>38</v>
      </c>
      <c r="O1" t="s">
        <v>40</v>
      </c>
      <c r="P1" s="1" t="s">
        <v>1527</v>
      </c>
      <c r="Q1" s="1" t="s">
        <v>1528</v>
      </c>
      <c r="R1" t="s">
        <v>1621</v>
      </c>
      <c r="S1" t="s">
        <v>2650</v>
      </c>
    </row>
    <row r="2" spans="1:19" x14ac:dyDescent="0.25">
      <c r="A2" t="s">
        <v>11</v>
      </c>
      <c r="B2" s="10">
        <v>12</v>
      </c>
      <c r="C2" s="10">
        <v>12</v>
      </c>
      <c r="D2" s="13">
        <f>B2*C2</f>
        <v>144</v>
      </c>
      <c r="E2" s="14">
        <v>1238</v>
      </c>
      <c r="F2" s="10">
        <v>1</v>
      </c>
      <c r="G2" s="17">
        <f>B2*C2*(B2^2+C2^2)/12</f>
        <v>3456</v>
      </c>
      <c r="H2" s="17">
        <f>C2*B2^3/12</f>
        <v>1728</v>
      </c>
      <c r="I2" s="17">
        <f>B2*C2^3/12</f>
        <v>1728</v>
      </c>
      <c r="J2" s="9"/>
      <c r="K2" s="9"/>
      <c r="L2" s="9"/>
      <c r="M2" s="9"/>
      <c r="N2" s="9"/>
      <c r="O2" s="9"/>
      <c r="P2" s="9"/>
      <c r="Q2" s="9"/>
      <c r="R2" s="9"/>
      <c r="S2">
        <v>-1</v>
      </c>
    </row>
    <row r="3" spans="1:19" x14ac:dyDescent="0.25">
      <c r="A3" t="s">
        <v>12</v>
      </c>
      <c r="B3" s="10">
        <v>6</v>
      </c>
      <c r="C3" s="10">
        <v>120</v>
      </c>
      <c r="D3" s="13">
        <f>B3*C3</f>
        <v>720</v>
      </c>
      <c r="E3" s="14">
        <v>1238</v>
      </c>
      <c r="F3" s="10">
        <v>1</v>
      </c>
      <c r="G3" s="17">
        <f>B3*C3*(B3^2+C3^2)/12</f>
        <v>866160</v>
      </c>
      <c r="H3" s="17">
        <f>C3*B3^3/12</f>
        <v>2160</v>
      </c>
      <c r="I3" s="17">
        <f>B3*C3^3/12</f>
        <v>864000</v>
      </c>
      <c r="J3" s="9"/>
      <c r="K3" s="9"/>
      <c r="L3" s="9"/>
      <c r="M3" s="9"/>
      <c r="N3" s="9"/>
      <c r="O3" s="9"/>
      <c r="P3" s="9"/>
      <c r="Q3" s="9"/>
      <c r="R3" s="9"/>
      <c r="S3">
        <v>-1</v>
      </c>
    </row>
    <row r="4" spans="1:19" x14ac:dyDescent="0.25">
      <c r="A4" t="s">
        <v>2648</v>
      </c>
      <c r="B4" s="11"/>
      <c r="C4" s="11"/>
      <c r="D4">
        <v>1.1539999999999999</v>
      </c>
      <c r="E4">
        <v>29000</v>
      </c>
      <c r="F4" s="11"/>
      <c r="G4" s="11"/>
      <c r="H4" s="11"/>
      <c r="I4" s="11"/>
      <c r="J4">
        <v>0.01</v>
      </c>
      <c r="K4">
        <v>105</v>
      </c>
      <c r="L4">
        <v>0.05</v>
      </c>
      <c r="M4" s="18">
        <v>54</v>
      </c>
      <c r="N4" s="9"/>
      <c r="O4" s="9"/>
      <c r="P4" s="9"/>
      <c r="Q4" s="9"/>
      <c r="R4" s="9"/>
      <c r="S4" s="9"/>
    </row>
    <row r="5" spans="1:19" x14ac:dyDescent="0.25">
      <c r="A5" t="s">
        <v>2649</v>
      </c>
      <c r="B5" s="11"/>
      <c r="C5" s="11"/>
      <c r="D5">
        <v>1.1539999999999999</v>
      </c>
      <c r="E5">
        <v>29000</v>
      </c>
      <c r="F5" s="11"/>
      <c r="G5" s="11"/>
      <c r="H5" s="11"/>
      <c r="I5" s="11"/>
      <c r="J5">
        <v>0.01</v>
      </c>
      <c r="K5">
        <v>105</v>
      </c>
      <c r="L5">
        <v>0.05</v>
      </c>
      <c r="M5" s="18">
        <v>53.43</v>
      </c>
      <c r="N5" s="9"/>
      <c r="O5" s="9"/>
      <c r="P5" s="9"/>
      <c r="Q5" s="9"/>
      <c r="R5" s="9"/>
      <c r="S5" s="9"/>
    </row>
    <row r="6" spans="1:19" x14ac:dyDescent="0.25">
      <c r="A6" t="s">
        <v>2644</v>
      </c>
      <c r="B6" s="11"/>
      <c r="C6" s="11"/>
      <c r="D6">
        <v>0.96899999999999997</v>
      </c>
      <c r="E6">
        <v>29000</v>
      </c>
      <c r="F6" s="11"/>
      <c r="G6" s="11"/>
      <c r="H6" s="11"/>
      <c r="I6" s="11"/>
      <c r="J6">
        <v>0.01</v>
      </c>
      <c r="K6">
        <v>105</v>
      </c>
      <c r="L6">
        <v>0.05</v>
      </c>
      <c r="M6" s="18">
        <v>50</v>
      </c>
      <c r="N6" s="9"/>
      <c r="O6" s="9"/>
      <c r="P6" s="9"/>
      <c r="Q6" s="9"/>
      <c r="R6" s="9"/>
      <c r="S6" s="9"/>
    </row>
    <row r="7" spans="1:19" x14ac:dyDescent="0.25">
      <c r="A7" t="s">
        <v>2645</v>
      </c>
      <c r="B7" s="11"/>
      <c r="C7" s="11"/>
      <c r="D7">
        <v>2.5</v>
      </c>
      <c r="E7">
        <v>29000</v>
      </c>
      <c r="F7" s="11"/>
      <c r="G7" s="11"/>
      <c r="H7" s="11"/>
      <c r="I7" s="11"/>
      <c r="J7">
        <v>0.01</v>
      </c>
      <c r="K7">
        <v>105</v>
      </c>
      <c r="L7">
        <v>0.05</v>
      </c>
      <c r="M7" s="18">
        <v>50</v>
      </c>
      <c r="N7" s="9"/>
      <c r="O7" s="9"/>
      <c r="P7" s="9"/>
      <c r="Q7" s="9"/>
      <c r="R7" s="9"/>
      <c r="S7" s="9"/>
    </row>
    <row r="8" spans="1:19" x14ac:dyDescent="0.25">
      <c r="A8" t="s">
        <v>2646</v>
      </c>
      <c r="B8" s="11"/>
      <c r="C8" s="11"/>
      <c r="D8">
        <v>0.96899999999999997</v>
      </c>
      <c r="E8">
        <v>29000</v>
      </c>
      <c r="F8" s="11"/>
      <c r="G8" s="11"/>
      <c r="H8" s="11"/>
      <c r="I8" s="11"/>
      <c r="J8">
        <v>0.01</v>
      </c>
      <c r="K8">
        <v>105</v>
      </c>
      <c r="L8">
        <v>0.05</v>
      </c>
      <c r="M8" s="18">
        <v>50</v>
      </c>
      <c r="N8" s="9"/>
      <c r="O8" s="9"/>
      <c r="P8" s="9"/>
      <c r="Q8" s="9"/>
      <c r="R8" s="9"/>
      <c r="S8" s="9"/>
    </row>
    <row r="9" spans="1:19" x14ac:dyDescent="0.25">
      <c r="A9" t="s">
        <v>2647</v>
      </c>
      <c r="B9" s="11"/>
      <c r="C9" s="11"/>
      <c r="D9">
        <v>2.5</v>
      </c>
      <c r="E9">
        <v>29000</v>
      </c>
      <c r="F9" s="11"/>
      <c r="G9" s="11"/>
      <c r="H9" s="11"/>
      <c r="I9" s="11"/>
      <c r="J9">
        <v>0.01</v>
      </c>
      <c r="K9">
        <v>105</v>
      </c>
      <c r="L9">
        <v>0.05</v>
      </c>
      <c r="M9" s="18">
        <v>50</v>
      </c>
      <c r="N9" s="9"/>
      <c r="O9" s="9"/>
      <c r="P9" s="9"/>
      <c r="Q9" s="9"/>
      <c r="R9" s="9"/>
      <c r="S9" s="9"/>
    </row>
    <row r="10" spans="1:19" x14ac:dyDescent="0.25">
      <c r="A10" t="s">
        <v>879</v>
      </c>
      <c r="B10" s="10">
        <v>8</v>
      </c>
      <c r="C10" s="11"/>
      <c r="D10" s="11"/>
      <c r="E10">
        <v>29000</v>
      </c>
      <c r="F10" s="11"/>
      <c r="G10" s="11"/>
      <c r="H10" s="11"/>
      <c r="I10" s="11"/>
      <c r="J10">
        <v>9.0399999999999994E-3</v>
      </c>
      <c r="K10">
        <v>54.6</v>
      </c>
      <c r="L10" s="9"/>
      <c r="M10" s="9"/>
      <c r="N10">
        <f>6.75-O10</f>
        <v>6.375</v>
      </c>
      <c r="O10">
        <v>0.375</v>
      </c>
      <c r="P10" s="9"/>
      <c r="Q10" s="9"/>
      <c r="R10" s="9"/>
      <c r="S10" s="9"/>
    </row>
    <row r="11" spans="1:19" x14ac:dyDescent="0.25">
      <c r="A11" t="s">
        <v>880</v>
      </c>
      <c r="B11" s="10">
        <v>10</v>
      </c>
      <c r="C11" s="11"/>
      <c r="D11" s="11"/>
      <c r="E11">
        <v>29000</v>
      </c>
      <c r="F11" s="11"/>
      <c r="G11" s="11"/>
      <c r="H11" s="11"/>
      <c r="I11" s="11"/>
      <c r="J11">
        <v>9.0399999999999994E-3</v>
      </c>
      <c r="K11">
        <v>54.6</v>
      </c>
      <c r="L11" s="9"/>
      <c r="M11" s="9"/>
      <c r="N11">
        <f>6.75-O11</f>
        <v>6.25</v>
      </c>
      <c r="O11">
        <v>0.5</v>
      </c>
      <c r="P11" s="9"/>
      <c r="Q11" s="9"/>
      <c r="R11" s="9"/>
      <c r="S11" s="9"/>
    </row>
    <row r="12" spans="1:19" x14ac:dyDescent="0.25">
      <c r="A12" t="s">
        <v>148</v>
      </c>
      <c r="B12" s="14">
        <v>12</v>
      </c>
      <c r="C12" s="14">
        <v>12</v>
      </c>
      <c r="D12" s="13">
        <f t="shared" ref="D12:D19" si="0">B12*C12</f>
        <v>144</v>
      </c>
      <c r="E12" s="14">
        <v>1</v>
      </c>
      <c r="F12" s="10">
        <v>1</v>
      </c>
      <c r="G12" s="17">
        <f t="shared" ref="G12:G19" si="1">B12*C12*(B12^2+C12^2)/12</f>
        <v>3456</v>
      </c>
      <c r="H12" s="17">
        <f t="shared" ref="H12:H19" si="2">C12*B12^3/12</f>
        <v>1728</v>
      </c>
      <c r="I12" s="17">
        <f t="shared" ref="I12:I19" si="3">B12*C12^3/12</f>
        <v>1728</v>
      </c>
      <c r="J12" s="9"/>
      <c r="K12" s="9"/>
      <c r="L12" s="9"/>
      <c r="M12" s="9"/>
      <c r="N12" s="9"/>
      <c r="O12" s="9"/>
      <c r="P12" s="9"/>
      <c r="Q12" s="9"/>
      <c r="R12" s="9"/>
      <c r="S12">
        <v>-1</v>
      </c>
    </row>
    <row r="13" spans="1:19" x14ac:dyDescent="0.25">
      <c r="A13" t="s">
        <v>1530</v>
      </c>
      <c r="B13" s="14">
        <v>12</v>
      </c>
      <c r="C13" s="14">
        <v>12</v>
      </c>
      <c r="D13" s="13">
        <f t="shared" si="0"/>
        <v>144</v>
      </c>
      <c r="E13" s="14">
        <v>1</v>
      </c>
      <c r="F13" s="10">
        <v>1</v>
      </c>
      <c r="G13" s="17">
        <f t="shared" si="1"/>
        <v>3456</v>
      </c>
      <c r="H13" s="17">
        <f t="shared" si="2"/>
        <v>1728</v>
      </c>
      <c r="I13" s="17">
        <f t="shared" si="3"/>
        <v>1728</v>
      </c>
      <c r="J13" s="9"/>
      <c r="K13" s="9"/>
      <c r="L13" s="9"/>
      <c r="M13" s="9"/>
      <c r="N13" s="9"/>
      <c r="O13" s="9"/>
      <c r="P13" s="7" t="s">
        <v>72</v>
      </c>
      <c r="Q13" s="7" t="s">
        <v>72</v>
      </c>
      <c r="R13" s="9"/>
      <c r="S13">
        <v>-1</v>
      </c>
    </row>
    <row r="14" spans="1:19" x14ac:dyDescent="0.25">
      <c r="A14" t="s">
        <v>1531</v>
      </c>
      <c r="B14" s="14">
        <v>12</v>
      </c>
      <c r="C14" s="14">
        <v>12</v>
      </c>
      <c r="D14" s="13">
        <f t="shared" si="0"/>
        <v>144</v>
      </c>
      <c r="E14" s="14">
        <v>1</v>
      </c>
      <c r="F14" s="10">
        <v>1</v>
      </c>
      <c r="G14" s="17">
        <f t="shared" si="1"/>
        <v>3456</v>
      </c>
      <c r="H14" s="17">
        <f t="shared" si="2"/>
        <v>1728</v>
      </c>
      <c r="I14" s="17">
        <f t="shared" si="3"/>
        <v>1728</v>
      </c>
      <c r="J14" s="9"/>
      <c r="K14" s="9"/>
      <c r="L14" s="9"/>
      <c r="M14" s="9"/>
      <c r="N14" s="9"/>
      <c r="O14" s="9"/>
      <c r="P14" s="7" t="s">
        <v>14</v>
      </c>
      <c r="Q14" s="7" t="s">
        <v>14</v>
      </c>
      <c r="R14" s="9"/>
      <c r="S14">
        <v>-1</v>
      </c>
    </row>
    <row r="15" spans="1:19" x14ac:dyDescent="0.25">
      <c r="A15" t="s">
        <v>1532</v>
      </c>
      <c r="B15" s="6">
        <v>11.875</v>
      </c>
      <c r="C15" s="15">
        <v>12.25</v>
      </c>
      <c r="D15" s="13">
        <f t="shared" si="0"/>
        <v>145.46875</v>
      </c>
      <c r="E15" s="14">
        <v>1</v>
      </c>
      <c r="F15" s="10">
        <v>1</v>
      </c>
      <c r="G15" s="17">
        <f t="shared" si="1"/>
        <v>3528.564249674479</v>
      </c>
      <c r="H15" s="17">
        <f t="shared" si="2"/>
        <v>1709.4472249348958</v>
      </c>
      <c r="I15" s="17">
        <f t="shared" si="3"/>
        <v>1819.1170247395833</v>
      </c>
      <c r="J15" s="9"/>
      <c r="K15" s="9"/>
      <c r="L15" s="9"/>
      <c r="M15" s="9"/>
      <c r="N15" s="9"/>
      <c r="O15" s="9"/>
      <c r="P15" s="7" t="s">
        <v>1529</v>
      </c>
      <c r="Q15" s="7" t="s">
        <v>1529</v>
      </c>
      <c r="R15" s="9"/>
      <c r="S15">
        <v>-1</v>
      </c>
    </row>
    <row r="16" spans="1:19" x14ac:dyDescent="0.25">
      <c r="A16" t="s">
        <v>146</v>
      </c>
      <c r="B16" s="6">
        <v>11.875</v>
      </c>
      <c r="C16" s="14">
        <v>17.5</v>
      </c>
      <c r="D16" s="13">
        <f t="shared" si="0"/>
        <v>207.8125</v>
      </c>
      <c r="E16" s="10">
        <v>1800</v>
      </c>
      <c r="F16" s="10">
        <v>1</v>
      </c>
      <c r="G16" s="17">
        <f t="shared" si="1"/>
        <v>7745.615641276042</v>
      </c>
      <c r="H16" s="17">
        <f t="shared" si="2"/>
        <v>2442.0674641927085</v>
      </c>
      <c r="I16" s="17">
        <f t="shared" si="3"/>
        <v>5303.548177083333</v>
      </c>
      <c r="J16" s="9"/>
      <c r="K16" s="9"/>
      <c r="L16" s="9"/>
      <c r="M16" s="9"/>
      <c r="N16" s="9"/>
      <c r="O16" s="9"/>
      <c r="P16" s="9"/>
      <c r="Q16" s="9"/>
      <c r="R16" s="9"/>
      <c r="S16">
        <v>-1</v>
      </c>
    </row>
    <row r="17" spans="1:20" x14ac:dyDescent="0.25">
      <c r="A17" t="s">
        <v>147</v>
      </c>
      <c r="B17" s="6">
        <v>11.875</v>
      </c>
      <c r="C17" s="15">
        <v>12.25</v>
      </c>
      <c r="D17" s="13">
        <f t="shared" si="0"/>
        <v>145.46875</v>
      </c>
      <c r="E17" s="10">
        <v>1800</v>
      </c>
      <c r="F17" s="10">
        <v>1</v>
      </c>
      <c r="G17" s="17">
        <f t="shared" si="1"/>
        <v>3528.564249674479</v>
      </c>
      <c r="H17" s="17">
        <f t="shared" si="2"/>
        <v>1709.4472249348958</v>
      </c>
      <c r="I17" s="17">
        <f t="shared" si="3"/>
        <v>1819.1170247395833</v>
      </c>
      <c r="J17" s="9"/>
      <c r="K17" s="9"/>
      <c r="L17" s="9"/>
      <c r="M17" s="9"/>
      <c r="N17" s="9"/>
      <c r="O17" s="9"/>
      <c r="P17" s="9"/>
      <c r="Q17" s="9"/>
      <c r="R17" s="9"/>
      <c r="S17">
        <v>-1</v>
      </c>
    </row>
    <row r="18" spans="1:20" x14ac:dyDescent="0.25">
      <c r="A18" t="s">
        <v>144</v>
      </c>
      <c r="B18" s="6">
        <v>117.125</v>
      </c>
      <c r="C18" s="6">
        <v>12.375</v>
      </c>
      <c r="D18" s="13">
        <f t="shared" si="0"/>
        <v>1449.421875</v>
      </c>
      <c r="E18" s="14">
        <v>1134.8</v>
      </c>
      <c r="F18" s="15">
        <v>66.67</v>
      </c>
      <c r="G18" s="17">
        <f t="shared" si="1"/>
        <v>1675459.9713134766</v>
      </c>
      <c r="H18" s="17">
        <f t="shared" si="2"/>
        <v>1656962.8569946289</v>
      </c>
      <c r="I18" s="17">
        <f t="shared" si="3"/>
        <v>18497.114318847656</v>
      </c>
      <c r="J18" s="9"/>
      <c r="K18" s="9"/>
      <c r="L18" s="9"/>
      <c r="M18" s="9"/>
      <c r="N18" s="9"/>
      <c r="O18" s="9"/>
      <c r="P18" s="9"/>
      <c r="Q18" s="9"/>
      <c r="R18" s="9"/>
      <c r="S18">
        <f>0.060392578125/32.2/12</f>
        <v>1.5629549204192544E-4</v>
      </c>
    </row>
    <row r="19" spans="1:20" x14ac:dyDescent="0.25">
      <c r="A19" t="s">
        <v>145</v>
      </c>
      <c r="B19" s="6">
        <v>105.125</v>
      </c>
      <c r="C19" s="16">
        <v>9.1875</v>
      </c>
      <c r="D19" s="13">
        <f t="shared" si="0"/>
        <v>965.8359375</v>
      </c>
      <c r="E19" s="10">
        <v>2004</v>
      </c>
      <c r="F19" s="15">
        <v>104.17</v>
      </c>
      <c r="G19" s="17">
        <f t="shared" si="1"/>
        <v>896269.65482330322</v>
      </c>
      <c r="H19" s="17">
        <f t="shared" si="2"/>
        <v>889475.7912902832</v>
      </c>
      <c r="I19" s="17">
        <f t="shared" si="3"/>
        <v>6793.8635330200195</v>
      </c>
      <c r="J19" s="9"/>
      <c r="K19" s="9"/>
      <c r="L19" s="9"/>
      <c r="M19" s="9"/>
      <c r="N19" s="9"/>
      <c r="O19" s="9"/>
      <c r="P19" s="9"/>
      <c r="Q19" s="9"/>
      <c r="R19" s="9"/>
      <c r="S19">
        <f>0.0415846028645833/32.2/12</f>
        <v>1.0762060782759653E-4</v>
      </c>
    </row>
    <row r="20" spans="1:20" x14ac:dyDescent="0.25">
      <c r="A20" t="s">
        <v>1057</v>
      </c>
      <c r="B20" s="11"/>
      <c r="C20" s="11"/>
      <c r="D20" s="13">
        <v>1500</v>
      </c>
      <c r="E20" s="10">
        <f>2^20</f>
        <v>1048576</v>
      </c>
      <c r="F20" s="10">
        <f>E20</f>
        <v>1048576</v>
      </c>
      <c r="G20" s="17">
        <f>H20+I20</f>
        <v>3000000</v>
      </c>
      <c r="H20" s="17">
        <v>1500000</v>
      </c>
      <c r="I20" s="17">
        <v>1500000</v>
      </c>
      <c r="J20" s="9"/>
      <c r="K20" s="9"/>
      <c r="L20" s="9"/>
      <c r="M20" s="9"/>
      <c r="N20" s="9"/>
      <c r="O20" s="9"/>
      <c r="P20" s="9"/>
      <c r="Q20" s="9"/>
      <c r="R20" s="9"/>
      <c r="S20" s="9">
        <v>-1</v>
      </c>
    </row>
    <row r="21" spans="1:20" x14ac:dyDescent="0.25">
      <c r="A21" t="s">
        <v>1634</v>
      </c>
      <c r="B21" s="11"/>
      <c r="C21" s="11"/>
      <c r="D21" s="11"/>
      <c r="E21" s="10">
        <f>E18</f>
        <v>1134.8</v>
      </c>
      <c r="F21" s="11"/>
      <c r="G21" s="11"/>
      <c r="H21" s="11"/>
      <c r="I21" s="11"/>
      <c r="J21">
        <v>1E-3</v>
      </c>
      <c r="K21">
        <v>-3.6274999999999999</v>
      </c>
      <c r="L21" s="9"/>
      <c r="M21" s="9"/>
      <c r="N21" s="9"/>
      <c r="O21" s="9"/>
      <c r="P21" s="9"/>
      <c r="Q21" s="9"/>
      <c r="R21">
        <f>2*C18</f>
        <v>24.75</v>
      </c>
      <c r="S21" s="9"/>
    </row>
    <row r="22" spans="1:20" x14ac:dyDescent="0.25">
      <c r="A22" t="s">
        <v>1635</v>
      </c>
      <c r="B22" s="11"/>
      <c r="C22" s="11"/>
      <c r="D22" s="11"/>
      <c r="E22" s="10">
        <f>E19</f>
        <v>2004</v>
      </c>
      <c r="F22" s="11"/>
      <c r="G22" s="11"/>
      <c r="H22" s="11"/>
      <c r="I22" s="11"/>
      <c r="J22">
        <v>1E-3</v>
      </c>
      <c r="K22">
        <v>-3.6274999999999999</v>
      </c>
      <c r="L22" s="9"/>
      <c r="M22" s="9"/>
      <c r="N22" s="9"/>
      <c r="O22" s="9"/>
      <c r="P22" s="9"/>
      <c r="Q22" s="9"/>
      <c r="R22">
        <f>2*C19</f>
        <v>18.375</v>
      </c>
      <c r="S22" s="9"/>
    </row>
    <row r="23" spans="1:20" x14ac:dyDescent="0.25">
      <c r="E23" s="10"/>
    </row>
    <row r="26" spans="1:20" x14ac:dyDescent="0.25">
      <c r="S26" s="12">
        <f>E18*H18/R21</f>
        <v>75972583.843131512</v>
      </c>
    </row>
    <row r="27" spans="1:20" x14ac:dyDescent="0.25">
      <c r="G27" s="10"/>
      <c r="S27" s="12">
        <f>E19*H19/R22</f>
        <v>97007318.952148438</v>
      </c>
      <c r="T27" s="12">
        <f>S27+[1]Sheet1!$C$37</f>
        <v>194643076.35403627</v>
      </c>
    </row>
    <row r="28" spans="1:20" x14ac:dyDescent="0.25">
      <c r="S28" s="12">
        <f>S27*2</f>
        <v>194014637.90429688</v>
      </c>
    </row>
  </sheetData>
  <dataValidations disablePrompts="1" count="1">
    <dataValidation type="decimal" operator="lessThan" allowBlank="1" showInputMessage="1" showErrorMessage="1" errorTitle="Negative Numbers Only" error="Base springs are compression only. The ElasticPPGap material requires a negative yield stress for compression-only springs." sqref="K21:K22" xr:uid="{CE191469-9BEF-41CF-8F08-BB46893B3E22}">
      <formula1>0</formula1>
    </dataValidation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B9F8B-2487-460B-ABA2-5209A7BDB312}">
  <sheetPr codeName="Sheet5">
    <tabColor rgb="FFFFC000"/>
  </sheetPr>
  <dimension ref="A1:M11"/>
  <sheetViews>
    <sheetView workbookViewId="0">
      <pane ySplit="1" topLeftCell="A2" activePane="bottomLeft" state="frozen"/>
      <selection activeCell="H29" sqref="H29"/>
      <selection pane="bottomLeft" activeCell="E4" sqref="E4"/>
    </sheetView>
  </sheetViews>
  <sheetFormatPr defaultColWidth="0" defaultRowHeight="15" x14ac:dyDescent="0.25"/>
  <cols>
    <col min="1" max="1" width="16.5703125" customWidth="1"/>
    <col min="2" max="2" width="7.42578125" customWidth="1"/>
    <col min="3" max="13" width="9.140625" customWidth="1"/>
    <col min="14" max="14" width="0" hidden="1" customWidth="1"/>
  </cols>
  <sheetData>
    <row r="1" spans="1:13" x14ac:dyDescent="0.25">
      <c r="A1" t="s">
        <v>27</v>
      </c>
      <c r="B1" t="s">
        <v>4</v>
      </c>
      <c r="C1" t="s">
        <v>1</v>
      </c>
      <c r="D1" t="s">
        <v>28</v>
      </c>
      <c r="E1" t="s">
        <v>29</v>
      </c>
      <c r="F1" t="s">
        <v>30</v>
      </c>
      <c r="G1" t="s">
        <v>149</v>
      </c>
      <c r="H1" t="s">
        <v>156</v>
      </c>
      <c r="I1" t="s">
        <v>157</v>
      </c>
      <c r="J1" t="s">
        <v>158</v>
      </c>
      <c r="K1" t="s">
        <v>159</v>
      </c>
      <c r="L1" t="s">
        <v>160</v>
      </c>
      <c r="M1" t="s">
        <v>161</v>
      </c>
    </row>
    <row r="2" spans="1:13" x14ac:dyDescent="0.25">
      <c r="A2" t="s">
        <v>31</v>
      </c>
      <c r="B2">
        <v>1</v>
      </c>
      <c r="C2" t="s">
        <v>33</v>
      </c>
      <c r="D2">
        <v>-1</v>
      </c>
      <c r="E2">
        <v>0</v>
      </c>
      <c r="F2">
        <v>0</v>
      </c>
      <c r="G2" t="b">
        <v>0</v>
      </c>
    </row>
    <row r="3" spans="1:13" x14ac:dyDescent="0.25">
      <c r="A3" t="s">
        <v>32</v>
      </c>
      <c r="B3">
        <v>2</v>
      </c>
      <c r="C3" t="s">
        <v>33</v>
      </c>
      <c r="D3">
        <v>0</v>
      </c>
      <c r="E3">
        <v>-1</v>
      </c>
      <c r="F3">
        <v>0</v>
      </c>
      <c r="G3" t="b">
        <v>0</v>
      </c>
    </row>
    <row r="4" spans="1:13" x14ac:dyDescent="0.25">
      <c r="A4" t="s">
        <v>150</v>
      </c>
      <c r="B4">
        <v>3</v>
      </c>
      <c r="C4" t="s">
        <v>33</v>
      </c>
      <c r="D4">
        <v>1</v>
      </c>
      <c r="E4">
        <v>-1</v>
      </c>
      <c r="F4">
        <v>0</v>
      </c>
      <c r="G4" t="b">
        <v>0</v>
      </c>
    </row>
    <row r="5" spans="1:13" x14ac:dyDescent="0.25">
      <c r="A5" t="s">
        <v>1534</v>
      </c>
      <c r="B5">
        <v>4</v>
      </c>
      <c r="C5" t="s">
        <v>33</v>
      </c>
      <c r="D5">
        <v>1</v>
      </c>
      <c r="E5">
        <v>-1</v>
      </c>
      <c r="F5">
        <v>0</v>
      </c>
      <c r="G5" t="b">
        <v>1</v>
      </c>
      <c r="H5">
        <v>9</v>
      </c>
      <c r="I5">
        <v>0</v>
      </c>
      <c r="J5">
        <v>0</v>
      </c>
      <c r="K5">
        <v>-6.125</v>
      </c>
      <c r="L5">
        <v>0</v>
      </c>
      <c r="M5">
        <v>0</v>
      </c>
    </row>
    <row r="6" spans="1:13" x14ac:dyDescent="0.25">
      <c r="A6" t="s">
        <v>1535</v>
      </c>
      <c r="B6">
        <v>5</v>
      </c>
      <c r="C6" t="s">
        <v>33</v>
      </c>
      <c r="D6">
        <v>1</v>
      </c>
      <c r="E6">
        <v>-1</v>
      </c>
      <c r="F6">
        <v>0</v>
      </c>
      <c r="G6" t="b">
        <v>1</v>
      </c>
      <c r="H6">
        <v>6.125</v>
      </c>
      <c r="I6">
        <v>0</v>
      </c>
      <c r="J6">
        <v>0</v>
      </c>
      <c r="K6">
        <v>-9</v>
      </c>
      <c r="L6">
        <v>0</v>
      </c>
      <c r="M6">
        <v>0</v>
      </c>
    </row>
    <row r="7" spans="1:13" x14ac:dyDescent="0.25">
      <c r="A7" t="s">
        <v>1533</v>
      </c>
      <c r="B7">
        <v>6</v>
      </c>
      <c r="C7" t="s">
        <v>33</v>
      </c>
      <c r="D7">
        <v>1</v>
      </c>
      <c r="E7">
        <v>-1</v>
      </c>
      <c r="F7">
        <v>0</v>
      </c>
      <c r="G7" t="b">
        <v>1</v>
      </c>
      <c r="H7">
        <v>6.125</v>
      </c>
      <c r="I7">
        <v>0</v>
      </c>
      <c r="J7">
        <v>0</v>
      </c>
      <c r="K7">
        <v>-6.125</v>
      </c>
      <c r="L7">
        <v>0</v>
      </c>
      <c r="M7">
        <v>0</v>
      </c>
    </row>
    <row r="8" spans="1:13" x14ac:dyDescent="0.25">
      <c r="A8" t="s">
        <v>1536</v>
      </c>
      <c r="B8">
        <v>7</v>
      </c>
      <c r="C8" t="s">
        <v>33</v>
      </c>
      <c r="D8">
        <v>1</v>
      </c>
      <c r="E8">
        <v>-1</v>
      </c>
      <c r="F8">
        <v>0</v>
      </c>
      <c r="G8" t="b">
        <v>1</v>
      </c>
      <c r="H8">
        <v>8.75</v>
      </c>
      <c r="I8">
        <v>0</v>
      </c>
      <c r="J8">
        <v>0</v>
      </c>
      <c r="K8">
        <v>-6.125</v>
      </c>
      <c r="L8">
        <v>0</v>
      </c>
      <c r="M8">
        <v>0</v>
      </c>
    </row>
    <row r="9" spans="1:13" x14ac:dyDescent="0.25">
      <c r="A9" t="s">
        <v>1537</v>
      </c>
      <c r="B9">
        <v>8</v>
      </c>
      <c r="C9" t="s">
        <v>33</v>
      </c>
      <c r="D9">
        <v>1</v>
      </c>
      <c r="E9">
        <v>-1</v>
      </c>
      <c r="F9">
        <v>0</v>
      </c>
      <c r="G9" t="b">
        <v>1</v>
      </c>
      <c r="H9">
        <v>6.125</v>
      </c>
      <c r="I9">
        <v>0</v>
      </c>
      <c r="J9">
        <v>0</v>
      </c>
      <c r="K9">
        <v>-8.75</v>
      </c>
      <c r="L9">
        <v>0</v>
      </c>
      <c r="M9">
        <v>0</v>
      </c>
    </row>
    <row r="10" spans="1:13" x14ac:dyDescent="0.25">
      <c r="A10" t="s">
        <v>1538</v>
      </c>
      <c r="B10">
        <v>9</v>
      </c>
      <c r="C10" t="s">
        <v>33</v>
      </c>
      <c r="D10">
        <v>1</v>
      </c>
      <c r="E10">
        <v>-1</v>
      </c>
      <c r="F10">
        <v>0</v>
      </c>
      <c r="G10" t="b">
        <v>1</v>
      </c>
      <c r="H10">
        <v>0</v>
      </c>
      <c r="I10">
        <v>-8.75</v>
      </c>
      <c r="J10">
        <v>0</v>
      </c>
      <c r="K10">
        <v>0</v>
      </c>
      <c r="L10">
        <v>0</v>
      </c>
      <c r="M10">
        <v>0</v>
      </c>
    </row>
    <row r="11" spans="1:13" x14ac:dyDescent="0.25">
      <c r="A11" t="s">
        <v>1539</v>
      </c>
      <c r="B11">
        <v>10</v>
      </c>
      <c r="C11" t="s">
        <v>33</v>
      </c>
      <c r="D11">
        <v>1</v>
      </c>
      <c r="E11">
        <v>-1</v>
      </c>
      <c r="F11">
        <v>0</v>
      </c>
      <c r="G11" t="b">
        <v>1</v>
      </c>
      <c r="H11">
        <v>0</v>
      </c>
      <c r="I11">
        <v>0</v>
      </c>
      <c r="J11">
        <v>0</v>
      </c>
      <c r="K11">
        <v>0</v>
      </c>
      <c r="L11">
        <v>5.9375</v>
      </c>
      <c r="M11">
        <v>0</v>
      </c>
    </row>
  </sheetData>
  <conditionalFormatting sqref="H2:M1258">
    <cfRule type="expression" dxfId="0" priority="1">
      <formula>IF(NOT($G2),TRUE,FALSE)</formula>
    </cfRule>
  </conditionalFormatting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3A91D-2A71-4756-A0E4-D64C77E31F6E}">
  <sheetPr codeName="Sheet2"/>
  <dimension ref="A1:CV102"/>
  <sheetViews>
    <sheetView topLeftCell="BT1" workbookViewId="0">
      <selection activeCell="CV52" sqref="CV52"/>
    </sheetView>
  </sheetViews>
  <sheetFormatPr defaultRowHeight="15" x14ac:dyDescent="0.25"/>
  <sheetData>
    <row r="1" spans="1:100" x14ac:dyDescent="0.25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  <c r="K1">
        <v>12</v>
      </c>
      <c r="L1">
        <v>13</v>
      </c>
      <c r="M1">
        <v>14</v>
      </c>
      <c r="N1">
        <v>15</v>
      </c>
      <c r="O1">
        <v>16</v>
      </c>
      <c r="P1">
        <v>17</v>
      </c>
      <c r="Q1">
        <v>18</v>
      </c>
      <c r="R1">
        <v>19</v>
      </c>
      <c r="S1">
        <v>20</v>
      </c>
      <c r="T1">
        <v>21</v>
      </c>
      <c r="U1">
        <v>22</v>
      </c>
      <c r="V1">
        <v>23</v>
      </c>
      <c r="W1">
        <v>24</v>
      </c>
      <c r="X1">
        <v>25</v>
      </c>
      <c r="Y1">
        <v>26</v>
      </c>
      <c r="Z1">
        <v>27</v>
      </c>
      <c r="AA1">
        <v>28</v>
      </c>
      <c r="AB1">
        <v>29</v>
      </c>
      <c r="AC1">
        <v>30</v>
      </c>
      <c r="AD1">
        <v>31</v>
      </c>
      <c r="AE1">
        <v>32</v>
      </c>
      <c r="AF1">
        <v>33</v>
      </c>
      <c r="AG1">
        <v>34</v>
      </c>
      <c r="AH1">
        <v>35</v>
      </c>
      <c r="AI1">
        <v>36</v>
      </c>
      <c r="AJ1">
        <v>37</v>
      </c>
      <c r="AK1">
        <v>38</v>
      </c>
      <c r="AL1">
        <v>39</v>
      </c>
      <c r="AM1">
        <v>40</v>
      </c>
      <c r="AN1">
        <v>41</v>
      </c>
      <c r="AO1">
        <v>42</v>
      </c>
      <c r="AP1">
        <v>43</v>
      </c>
      <c r="AQ1">
        <v>44</v>
      </c>
      <c r="AR1">
        <v>45</v>
      </c>
      <c r="AS1">
        <v>46</v>
      </c>
      <c r="AT1">
        <v>47</v>
      </c>
      <c r="AU1">
        <v>48</v>
      </c>
      <c r="AV1">
        <v>49</v>
      </c>
      <c r="AW1">
        <v>50</v>
      </c>
      <c r="AX1">
        <v>51</v>
      </c>
      <c r="AY1">
        <v>52</v>
      </c>
      <c r="AZ1">
        <v>53</v>
      </c>
      <c r="BA1">
        <v>54</v>
      </c>
      <c r="BB1">
        <v>55</v>
      </c>
      <c r="BC1">
        <v>56</v>
      </c>
      <c r="BD1">
        <v>57</v>
      </c>
      <c r="BE1">
        <v>58</v>
      </c>
      <c r="BF1">
        <v>59</v>
      </c>
      <c r="BG1">
        <v>60</v>
      </c>
      <c r="BH1">
        <v>61</v>
      </c>
      <c r="BI1">
        <v>62</v>
      </c>
      <c r="BJ1">
        <v>63</v>
      </c>
      <c r="BK1">
        <v>64</v>
      </c>
      <c r="BL1">
        <v>65</v>
      </c>
      <c r="BM1">
        <v>66</v>
      </c>
      <c r="BN1">
        <v>67</v>
      </c>
      <c r="BO1">
        <v>68</v>
      </c>
      <c r="BP1">
        <v>69</v>
      </c>
      <c r="BQ1">
        <v>70</v>
      </c>
      <c r="BR1">
        <v>71</v>
      </c>
      <c r="BS1">
        <v>72</v>
      </c>
      <c r="BT1">
        <v>73</v>
      </c>
      <c r="BU1">
        <v>74</v>
      </c>
      <c r="BV1">
        <v>75</v>
      </c>
      <c r="BW1">
        <v>76</v>
      </c>
      <c r="BX1">
        <v>77</v>
      </c>
      <c r="BY1">
        <v>78</v>
      </c>
      <c r="BZ1">
        <v>79</v>
      </c>
      <c r="CA1">
        <v>80</v>
      </c>
      <c r="CB1">
        <v>81</v>
      </c>
      <c r="CC1">
        <v>82</v>
      </c>
      <c r="CD1">
        <v>83</v>
      </c>
      <c r="CE1">
        <v>84</v>
      </c>
      <c r="CF1">
        <v>85</v>
      </c>
      <c r="CG1">
        <v>86</v>
      </c>
      <c r="CH1">
        <v>87</v>
      </c>
      <c r="CI1">
        <v>88</v>
      </c>
      <c r="CJ1">
        <v>89</v>
      </c>
      <c r="CK1">
        <v>90</v>
      </c>
      <c r="CL1">
        <v>91</v>
      </c>
      <c r="CM1">
        <v>92</v>
      </c>
      <c r="CN1">
        <v>93</v>
      </c>
      <c r="CO1">
        <v>94</v>
      </c>
      <c r="CP1">
        <v>95</v>
      </c>
      <c r="CQ1">
        <v>96</v>
      </c>
      <c r="CR1">
        <v>97</v>
      </c>
      <c r="CS1">
        <v>98</v>
      </c>
      <c r="CT1">
        <v>99</v>
      </c>
      <c r="CU1">
        <v>100</v>
      </c>
      <c r="CV1">
        <v>101</v>
      </c>
    </row>
    <row r="2" spans="1:100" x14ac:dyDescent="0.25">
      <c r="A2">
        <v>-1</v>
      </c>
      <c r="B2">
        <v>-1</v>
      </c>
      <c r="C2">
        <v>-1</v>
      </c>
      <c r="D2">
        <v>-1</v>
      </c>
      <c r="E2">
        <v>-1</v>
      </c>
      <c r="F2">
        <v>-1</v>
      </c>
      <c r="G2">
        <v>-1</v>
      </c>
      <c r="H2">
        <v>-1</v>
      </c>
      <c r="I2">
        <v>-1</v>
      </c>
      <c r="J2">
        <v>-1</v>
      </c>
      <c r="K2">
        <v>-1</v>
      </c>
      <c r="L2">
        <v>-1</v>
      </c>
      <c r="M2">
        <v>-1</v>
      </c>
      <c r="N2">
        <v>-1</v>
      </c>
      <c r="O2">
        <v>-1</v>
      </c>
      <c r="P2">
        <v>-1</v>
      </c>
      <c r="Q2">
        <v>-1</v>
      </c>
      <c r="R2">
        <v>-1</v>
      </c>
      <c r="S2">
        <v>-1</v>
      </c>
      <c r="T2">
        <v>-1</v>
      </c>
      <c r="U2">
        <v>-1</v>
      </c>
      <c r="V2">
        <v>-1</v>
      </c>
      <c r="W2">
        <v>-1</v>
      </c>
      <c r="X2">
        <v>-1</v>
      </c>
      <c r="Y2">
        <v>-1</v>
      </c>
      <c r="Z2">
        <v>-1</v>
      </c>
      <c r="AA2">
        <v>-1</v>
      </c>
      <c r="AB2">
        <v>-1</v>
      </c>
      <c r="AC2">
        <v>-1</v>
      </c>
      <c r="AD2">
        <v>-1</v>
      </c>
      <c r="AE2">
        <v>-1</v>
      </c>
      <c r="AF2">
        <v>-1</v>
      </c>
      <c r="AG2">
        <v>-1</v>
      </c>
      <c r="AH2">
        <v>-1</v>
      </c>
      <c r="AI2">
        <v>-1</v>
      </c>
      <c r="AJ2">
        <v>-1</v>
      </c>
      <c r="AK2">
        <v>-1</v>
      </c>
      <c r="AL2">
        <v>-1</v>
      </c>
      <c r="AM2">
        <v>-1</v>
      </c>
      <c r="AN2">
        <v>-1</v>
      </c>
      <c r="AO2">
        <v>-1</v>
      </c>
      <c r="AP2">
        <v>-1</v>
      </c>
      <c r="AQ2">
        <v>-1</v>
      </c>
      <c r="AR2">
        <v>-1</v>
      </c>
      <c r="AS2">
        <v>-1</v>
      </c>
      <c r="AT2">
        <v>-1</v>
      </c>
      <c r="AU2">
        <v>-1</v>
      </c>
      <c r="AV2">
        <v>-1</v>
      </c>
      <c r="AW2">
        <v>-1</v>
      </c>
      <c r="AX2">
        <v>-1</v>
      </c>
      <c r="AY2">
        <v>-1</v>
      </c>
      <c r="AZ2">
        <v>-1</v>
      </c>
      <c r="BA2">
        <v>-1</v>
      </c>
      <c r="BB2">
        <v>-1</v>
      </c>
      <c r="BC2">
        <v>-1</v>
      </c>
      <c r="BD2">
        <v>-1</v>
      </c>
      <c r="BE2">
        <v>-1</v>
      </c>
      <c r="BF2">
        <v>-1</v>
      </c>
      <c r="BG2">
        <v>-1</v>
      </c>
      <c r="BH2">
        <v>-1</v>
      </c>
      <c r="BI2">
        <v>-1</v>
      </c>
      <c r="BJ2">
        <v>-1</v>
      </c>
      <c r="BK2">
        <v>-1</v>
      </c>
      <c r="BL2">
        <v>-1</v>
      </c>
      <c r="BM2">
        <v>-1</v>
      </c>
      <c r="BN2">
        <v>-1</v>
      </c>
      <c r="BO2">
        <v>-1</v>
      </c>
      <c r="BP2">
        <v>-1</v>
      </c>
      <c r="BQ2">
        <v>-1</v>
      </c>
      <c r="BR2">
        <v>-1</v>
      </c>
      <c r="BS2">
        <v>-1</v>
      </c>
      <c r="BT2">
        <v>-1</v>
      </c>
      <c r="BU2">
        <v>-1</v>
      </c>
      <c r="BV2">
        <v>-1</v>
      </c>
      <c r="BW2">
        <v>-1</v>
      </c>
      <c r="BX2">
        <v>-1</v>
      </c>
      <c r="BY2">
        <v>-1</v>
      </c>
      <c r="BZ2">
        <v>-1</v>
      </c>
      <c r="CA2">
        <v>-1</v>
      </c>
      <c r="CB2">
        <v>-1</v>
      </c>
      <c r="CC2">
        <v>-1</v>
      </c>
      <c r="CD2">
        <v>-1</v>
      </c>
      <c r="CE2">
        <v>-1</v>
      </c>
      <c r="CF2">
        <v>-1</v>
      </c>
      <c r="CG2">
        <v>-1</v>
      </c>
      <c r="CH2">
        <v>-1</v>
      </c>
      <c r="CI2">
        <v>-1</v>
      </c>
      <c r="CJ2">
        <v>-1</v>
      </c>
      <c r="CK2">
        <v>-1</v>
      </c>
      <c r="CL2">
        <v>-1</v>
      </c>
      <c r="CM2">
        <v>-1</v>
      </c>
      <c r="CN2">
        <v>-1</v>
      </c>
      <c r="CO2">
        <v>-1</v>
      </c>
      <c r="CP2">
        <v>-1</v>
      </c>
      <c r="CQ2">
        <v>-1</v>
      </c>
      <c r="CR2">
        <v>-1</v>
      </c>
      <c r="CS2">
        <v>-1</v>
      </c>
      <c r="CT2">
        <v>-1</v>
      </c>
      <c r="CU2">
        <v>-1</v>
      </c>
      <c r="CV2">
        <v>-1</v>
      </c>
    </row>
    <row r="3" spans="1:100" x14ac:dyDescent="0.25">
      <c r="A3">
        <v>1</v>
      </c>
      <c r="B3">
        <v>-8.2046407952365389E-15</v>
      </c>
      <c r="C3">
        <v>-0.44721359549996109</v>
      </c>
      <c r="D3">
        <v>-0.65465367070798053</v>
      </c>
      <c r="E3">
        <v>-0.76505532392946174</v>
      </c>
      <c r="F3">
        <v>-0.83022389627856519</v>
      </c>
      <c r="G3">
        <v>-0.8717401485096079</v>
      </c>
      <c r="H3">
        <v>-0.89975799541146162</v>
      </c>
      <c r="I3">
        <v>-0.91953390816645642</v>
      </c>
      <c r="J3">
        <v>-0.93400143040806261</v>
      </c>
      <c r="K3">
        <v>-0.94489927222288395</v>
      </c>
      <c r="L3">
        <v>-0.95330984664216889</v>
      </c>
      <c r="M3">
        <v>-0.95993504526726747</v>
      </c>
      <c r="N3">
        <v>-0.96524592650384</v>
      </c>
      <c r="O3">
        <v>-0.96956804627021498</v>
      </c>
      <c r="P3">
        <v>-0.9731321766314176</v>
      </c>
      <c r="Q3">
        <v>-0.97610555741219196</v>
      </c>
      <c r="R3">
        <v>-0.97861176622207646</v>
      </c>
      <c r="S3">
        <v>-0.98074370489391982</v>
      </c>
      <c r="T3">
        <v>-0.98257229660454337</v>
      </c>
      <c r="U3">
        <v>-0.98415243845765166</v>
      </c>
      <c r="V3">
        <v>-0.9855271558787333</v>
      </c>
      <c r="W3">
        <v>-0.98673055350516337</v>
      </c>
      <c r="X3">
        <v>-0.9877899449314953</v>
      </c>
      <c r="Y3">
        <v>-0.98872741231147931</v>
      </c>
      <c r="Z3">
        <v>-0.98956096372854807</v>
      </c>
      <c r="AA3">
        <v>-0.99030540261845867</v>
      </c>
      <c r="AB3">
        <v>-0.99097298826857605</v>
      </c>
      <c r="AC3">
        <v>-0.99157394284050504</v>
      </c>
      <c r="AD3">
        <v>-0.99211684434648029</v>
      </c>
      <c r="AE3">
        <v>-0.99260893397276018</v>
      </c>
      <c r="AF3">
        <v>-0.99305635843366225</v>
      </c>
      <c r="AG3">
        <v>-0.99346436258750748</v>
      </c>
      <c r="AH3">
        <v>-0.99383744364438309</v>
      </c>
      <c r="AI3">
        <v>-0.99417947547312968</v>
      </c>
      <c r="AJ3">
        <v>-0.99449380945325783</v>
      </c>
      <c r="AK3">
        <v>-0.9947833567954516</v>
      </c>
      <c r="AL3">
        <v>-0.99505065612148136</v>
      </c>
      <c r="AM3">
        <v>-0.99529792924434857</v>
      </c>
      <c r="AN3">
        <v>-0.9955271274452786</v>
      </c>
      <c r="AO3">
        <v>-0.99573997005351378</v>
      </c>
      <c r="AP3">
        <v>-0.9959379767577734</v>
      </c>
      <c r="AQ3">
        <v>-0.99612249478679504</v>
      </c>
      <c r="AR3">
        <v>-0.99629472186908596</v>
      </c>
      <c r="AS3">
        <v>-0.99645572570481977</v>
      </c>
      <c r="AT3">
        <v>-0.99660646054212432</v>
      </c>
      <c r="AU3">
        <v>-0.99674778133985842</v>
      </c>
      <c r="AV3">
        <v>-0.99688045591001351</v>
      </c>
      <c r="AW3">
        <v>-0.99700517536263544</v>
      </c>
      <c r="AX3">
        <v>-0.99712256311899328</v>
      </c>
      <c r="AY3">
        <v>-0.99723318271304517</v>
      </c>
      <c r="AZ3">
        <v>-0.99733754456387969</v>
      </c>
      <c r="BA3">
        <v>-0.99743611187115877</v>
      </c>
      <c r="BB3">
        <v>-0.99752930576127663</v>
      </c>
      <c r="BC3">
        <v>-0.99761750979072361</v>
      </c>
      <c r="BD3">
        <v>-0.99770107389728058</v>
      </c>
      <c r="BE3">
        <v>-0.99778031787458465</v>
      </c>
      <c r="BF3">
        <v>-0.99785553443509267</v>
      </c>
      <c r="BG3">
        <v>-0.99792699191581169</v>
      </c>
      <c r="BH3">
        <v>-0.99799493667406136</v>
      </c>
      <c r="BI3">
        <v>-0.99805959521278287</v>
      </c>
      <c r="BJ3">
        <v>-0.99812117607008721</v>
      </c>
      <c r="BK3">
        <v>-0.99817987150216858</v>
      </c>
      <c r="BL3">
        <v>-0.99823585898516431</v>
      </c>
      <c r="BM3">
        <v>-0.99828930255796777</v>
      </c>
      <c r="BN3">
        <v>-0.99834035402465493</v>
      </c>
      <c r="BO3">
        <v>-0.99838915403338768</v>
      </c>
      <c r="BP3">
        <v>-0.99843583304587336</v>
      </c>
      <c r="BQ3">
        <v>-0.9984805122099718</v>
      </c>
      <c r="BR3">
        <v>-0.99852330414625445</v>
      </c>
      <c r="BS3">
        <v>-0.99856431365829679</v>
      </c>
      <c r="BT3">
        <v>-0.99860363837473665</v>
      </c>
      <c r="BU3">
        <v>-0.99864136933072645</v>
      </c>
      <c r="BV3">
        <v>-0.99867759149518187</v>
      </c>
      <c r="BW3">
        <v>-0.99871238424935449</v>
      </c>
      <c r="BX3">
        <v>-0.99874582182210225</v>
      </c>
      <c r="BY3">
        <v>-0.99877797368600219</v>
      </c>
      <c r="BZ3">
        <v>-0.9988089049184059</v>
      </c>
      <c r="CA3">
        <v>-0.99883867653092784</v>
      </c>
      <c r="CB3">
        <v>-0.9988673457705044</v>
      </c>
      <c r="CC3">
        <v>-0.99889496639469078</v>
      </c>
      <c r="CD3">
        <v>-0.99892158892385852</v>
      </c>
      <c r="CE3">
        <v>-0.9989472608722505</v>
      </c>
      <c r="CF3">
        <v>-0.99897202696015919</v>
      </c>
      <c r="CG3">
        <v>-0.99899592930871794</v>
      </c>
      <c r="CH3">
        <v>-0.99901900761914386</v>
      </c>
      <c r="CI3">
        <v>-0.99904129933760522</v>
      </c>
      <c r="CJ3">
        <v>-0.99906283980724142</v>
      </c>
      <c r="CK3">
        <v>-0.99908366240830215</v>
      </c>
      <c r="CL3">
        <v>-0.99910379868749533</v>
      </c>
      <c r="CM3">
        <v>-0.99912327847754878</v>
      </c>
      <c r="CN3">
        <v>-0.99914213000775065</v>
      </c>
      <c r="CO3">
        <v>-0.99916038000625695</v>
      </c>
      <c r="CP3">
        <v>-0.99917805379488378</v>
      </c>
      <c r="CQ3">
        <v>-0.99919517537693392</v>
      </c>
      <c r="CR3">
        <v>-0.99921176751877649</v>
      </c>
      <c r="CS3">
        <v>-0.99922785182552765</v>
      </c>
      <c r="CT3">
        <v>-0.9992434488114319</v>
      </c>
      <c r="CU3">
        <v>-0.99925857796525119</v>
      </c>
      <c r="CV3">
        <v>-0.99927325781121401</v>
      </c>
    </row>
    <row r="4" spans="1:100" x14ac:dyDescent="0.25">
      <c r="B4">
        <v>1</v>
      </c>
      <c r="C4">
        <v>0.44721359549996109</v>
      </c>
      <c r="D4">
        <v>-9.6628424326143065E-15</v>
      </c>
      <c r="E4">
        <v>-0.28523151648064321</v>
      </c>
      <c r="F4">
        <v>-0.46884879347070962</v>
      </c>
      <c r="G4">
        <v>-0.59170018143313885</v>
      </c>
      <c r="H4">
        <v>-0.67718627951073462</v>
      </c>
      <c r="I4">
        <v>-0.73877386510549947</v>
      </c>
      <c r="J4">
        <v>-0.78448347366314386</v>
      </c>
      <c r="K4">
        <v>-0.81927932164401196</v>
      </c>
      <c r="L4">
        <v>-0.84634756465187755</v>
      </c>
      <c r="M4">
        <v>-0.86780105383035022</v>
      </c>
      <c r="N4">
        <v>-0.88508204422297165</v>
      </c>
      <c r="O4">
        <v>-0.89920053309347692</v>
      </c>
      <c r="P4">
        <v>-0.91087999591557101</v>
      </c>
      <c r="Q4">
        <v>-0.92064918534752649</v>
      </c>
      <c r="R4">
        <v>-0.92890152815258964</v>
      </c>
      <c r="S4">
        <v>-0.93593449881266655</v>
      </c>
      <c r="T4">
        <v>-0.94197629695973972</v>
      </c>
      <c r="U4">
        <v>-0.94720428399922629</v>
      </c>
      <c r="V4">
        <v>-0.95175795571071653</v>
      </c>
      <c r="W4">
        <v>-0.95574822092988176</v>
      </c>
      <c r="X4">
        <v>-0.95926413825254275</v>
      </c>
      <c r="Y4">
        <v>-0.9623778747677153</v>
      </c>
      <c r="Z4">
        <v>-0.96514840245081412</v>
      </c>
      <c r="AA4">
        <v>-0.96762428585713578</v>
      </c>
      <c r="AB4">
        <v>-0.96984580728793501</v>
      </c>
      <c r="AC4">
        <v>-0.97184660316626426</v>
      </c>
      <c r="AD4">
        <v>-0.9736549358157407</v>
      </c>
      <c r="AE4">
        <v>-0.97529469048270667</v>
      </c>
      <c r="AF4">
        <v>-0.9767861633169016</v>
      </c>
      <c r="AG4">
        <v>-0.97814668887993594</v>
      </c>
      <c r="AH4">
        <v>-0.9793911434299214</v>
      </c>
      <c r="AI4">
        <v>-0.98053235128252259</v>
      </c>
      <c r="AJ4">
        <v>-0.98158141498697105</v>
      </c>
      <c r="AK4">
        <v>-0.98254798519852349</v>
      </c>
      <c r="AL4">
        <v>-0.9834404825028481</v>
      </c>
      <c r="AM4">
        <v>-0.98426628071750266</v>
      </c>
      <c r="AN4">
        <v>-0.98503185912472879</v>
      </c>
      <c r="AO4">
        <v>-0.98574292950669884</v>
      </c>
      <c r="AP4">
        <v>-0.98640454263597221</v>
      </c>
      <c r="AQ4">
        <v>-0.98702117792982902</v>
      </c>
      <c r="AR4">
        <v>-0.98759681924130827</v>
      </c>
      <c r="AS4">
        <v>-0.98813501918221003</v>
      </c>
      <c r="AT4">
        <v>-0.98863895391808798</v>
      </c>
      <c r="AU4">
        <v>-0.98911147001363942</v>
      </c>
      <c r="AV4">
        <v>-0.98955512461922968</v>
      </c>
      <c r="AW4">
        <v>-0.98997222005801699</v>
      </c>
      <c r="AX4">
        <v>-0.9903648336875055</v>
      </c>
      <c r="AY4">
        <v>-0.99073484375891319</v>
      </c>
      <c r="AZ4">
        <v>-0.99108395187549991</v>
      </c>
      <c r="BA4">
        <v>-0.99141370255149641</v>
      </c>
      <c r="BB4">
        <v>-0.99172550029128081</v>
      </c>
      <c r="BC4">
        <v>-0.99202062454186535</v>
      </c>
      <c r="BD4">
        <v>-0.99230024281555895</v>
      </c>
      <c r="BE4">
        <v>-0.99256542223455091</v>
      </c>
      <c r="BF4">
        <v>-0.99281713971025443</v>
      </c>
      <c r="BG4">
        <v>-0.99305629093909187</v>
      </c>
      <c r="BH4">
        <v>-0.99328369836906094</v>
      </c>
      <c r="BI4">
        <v>-0.99350011826968632</v>
      </c>
      <c r="BJ4">
        <v>-0.99370624701870192</v>
      </c>
      <c r="BK4">
        <v>-0.99390272670305846</v>
      </c>
      <c r="BL4">
        <v>-0.99409015011842894</v>
      </c>
      <c r="BM4">
        <v>-0.99426906523986136</v>
      </c>
      <c r="BN4">
        <v>-0.99443997922663385</v>
      </c>
      <c r="BO4">
        <v>-0.9946033620157062</v>
      </c>
      <c r="BP4">
        <v>-0.99475964955172458</v>
      </c>
      <c r="BQ4">
        <v>-0.99490924669457748</v>
      </c>
      <c r="BR4">
        <v>-0.99505252984116954</v>
      </c>
      <c r="BS4">
        <v>-0.99518984929261689</v>
      </c>
      <c r="BT4">
        <v>-0.99532153139518986</v>
      </c>
      <c r="BU4">
        <v>-0.9954478804789556</v>
      </c>
      <c r="BV4">
        <v>-0.99556918061602739</v>
      </c>
      <c r="BW4">
        <v>-0.99568569721703426</v>
      </c>
      <c r="BX4">
        <v>-0.99579767848287304</v>
      </c>
      <c r="BY4">
        <v>-0.9959053567263052</v>
      </c>
      <c r="BZ4">
        <v>-0.99600894957678365</v>
      </c>
      <c r="CA4">
        <v>-0.99610866107990836</v>
      </c>
      <c r="CB4">
        <v>-0.99620468270218265</v>
      </c>
      <c r="CC4">
        <v>-0.99629719425003993</v>
      </c>
      <c r="CD4">
        <v>-0.99638636471151298</v>
      </c>
      <c r="CE4">
        <v>-0.99647235302790449</v>
      </c>
      <c r="CF4">
        <v>-0.99655530880197341</v>
      </c>
      <c r="CG4">
        <v>-0.99663537294859728</v>
      </c>
      <c r="CH4">
        <v>-0.99671267829316013</v>
      </c>
      <c r="CI4">
        <v>-0.99678735012238762</v>
      </c>
      <c r="CJ4">
        <v>-0.99685950669192369</v>
      </c>
      <c r="CK4">
        <v>-0.99692925969452117</v>
      </c>
      <c r="CL4">
        <v>-0.99699671469221207</v>
      </c>
      <c r="CM4">
        <v>-0.99706197151572862</v>
      </c>
      <c r="CN4">
        <v>-0.99712512463374126</v>
      </c>
      <c r="CO4">
        <v>-0.99718626349482664</v>
      </c>
      <c r="CP4">
        <v>-0.99724547284411758</v>
      </c>
      <c r="CQ4">
        <v>-0.99730283301700351</v>
      </c>
      <c r="CR4">
        <v>-0.99735842021157706</v>
      </c>
      <c r="CS4">
        <v>-0.99741230674166403</v>
      </c>
      <c r="CT4">
        <v>-0.99746456127203553</v>
      </c>
      <c r="CU4">
        <v>-0.99751524903712352</v>
      </c>
      <c r="CV4">
        <v>-0.99756443204458334</v>
      </c>
    </row>
    <row r="5" spans="1:100" x14ac:dyDescent="0.25">
      <c r="C5">
        <v>1</v>
      </c>
      <c r="D5">
        <v>0.65465367070798053</v>
      </c>
      <c r="E5">
        <v>0.28523151648064321</v>
      </c>
      <c r="F5">
        <v>-6.7819651713761269E-15</v>
      </c>
      <c r="G5">
        <v>-0.20929921790247691</v>
      </c>
      <c r="H5">
        <v>-0.36311746382618221</v>
      </c>
      <c r="I5">
        <v>-0.47792494981043798</v>
      </c>
      <c r="J5">
        <v>-0.56523532699619816</v>
      </c>
      <c r="K5">
        <v>-0.63287615303185718</v>
      </c>
      <c r="L5">
        <v>-0.68618846908176023</v>
      </c>
      <c r="M5">
        <v>-0.72886859909132284</v>
      </c>
      <c r="N5">
        <v>-0.76351968995181929</v>
      </c>
      <c r="O5">
        <v>-0.79200829186181654</v>
      </c>
      <c r="P5">
        <v>-0.81569625122176848</v>
      </c>
      <c r="Q5">
        <v>-0.83559353521809576</v>
      </c>
      <c r="R5">
        <v>-0.85246057779664874</v>
      </c>
      <c r="S5">
        <v>-0.86687797808995848</v>
      </c>
      <c r="T5">
        <v>-0.87929475532358559</v>
      </c>
      <c r="U5">
        <v>-0.89006229019091077</v>
      </c>
      <c r="V5">
        <v>-0.89945855804034269</v>
      </c>
      <c r="W5">
        <v>-0.90770567511351175</v>
      </c>
      <c r="X5">
        <v>-0.91498277073462597</v>
      </c>
      <c r="Y5">
        <v>-0.92143554681755524</v>
      </c>
      <c r="Z5">
        <v>-0.92718345872511443</v>
      </c>
      <c r="AA5">
        <v>-0.93232516712155644</v>
      </c>
      <c r="AB5">
        <v>-0.93694271852097766</v>
      </c>
      <c r="AC5">
        <v>-0.94110478095105132</v>
      </c>
      <c r="AD5">
        <v>-0.94486917020803995</v>
      </c>
      <c r="AE5">
        <v>-0.9482848384172361</v>
      </c>
      <c r="AF5">
        <v>-0.95139345139699227</v>
      </c>
      <c r="AG5">
        <v>-0.95423064891280363</v>
      </c>
      <c r="AH5">
        <v>-0.95682705843698557</v>
      </c>
      <c r="AI5">
        <v>-0.95920911586873037</v>
      </c>
      <c r="AJ5">
        <v>-0.96139973400684642</v>
      </c>
      <c r="AK5">
        <v>-0.96341885014356188</v>
      </c>
      <c r="AL5">
        <v>-0.96528387707648333</v>
      </c>
      <c r="AM5">
        <v>-0.96701007648798354</v>
      </c>
      <c r="AN5">
        <v>-0.96861086956768572</v>
      </c>
      <c r="AO5">
        <v>-0.97009809662776103</v>
      </c>
      <c r="AP5">
        <v>-0.97148223504767706</v>
      </c>
      <c r="AQ5">
        <v>-0.97277258300810887</v>
      </c>
      <c r="AR5">
        <v>-0.97397741500696688</v>
      </c>
      <c r="AS5">
        <v>-0.97510411399681129</v>
      </c>
      <c r="AT5">
        <v>-0.97615928406971486</v>
      </c>
      <c r="AU5">
        <v>-0.97714884689083714</v>
      </c>
      <c r="AV5">
        <v>-0.97807812450136966</v>
      </c>
      <c r="AW5">
        <v>-0.97895191064672182</v>
      </c>
      <c r="AX5">
        <v>-0.97977453240959644</v>
      </c>
      <c r="AY5">
        <v>-0.98054990362374406</v>
      </c>
      <c r="AZ5">
        <v>-0.9812815712962486</v>
      </c>
      <c r="BA5">
        <v>-0.98197275606385404</v>
      </c>
      <c r="BB5">
        <v>-0.982626387543029</v>
      </c>
      <c r="BC5">
        <v>-0.98324513529644242</v>
      </c>
      <c r="BD5">
        <v>-0.98383143602579981</v>
      </c>
      <c r="BE5">
        <v>-0.98438751750702447</v>
      </c>
      <c r="BF5">
        <v>-0.98491541970597818</v>
      </c>
      <c r="BG5">
        <v>-0.98541701344775068</v>
      </c>
      <c r="BH5">
        <v>-0.98589401695770484</v>
      </c>
      <c r="BI5">
        <v>-0.98634801054711507</v>
      </c>
      <c r="BJ5">
        <v>-0.98678044967716405</v>
      </c>
      <c r="BK5">
        <v>-0.98719267660273824</v>
      </c>
      <c r="BL5">
        <v>-0.98758593076950596</v>
      </c>
      <c r="BM5">
        <v>-0.98796135811458152</v>
      </c>
      <c r="BN5">
        <v>-0.9883200194007622</v>
      </c>
      <c r="BO5">
        <v>-0.98866289769736349</v>
      </c>
      <c r="BP5">
        <v>-0.98899090510612431</v>
      </c>
      <c r="BQ5">
        <v>-0.98930488881776646</v>
      </c>
      <c r="BR5">
        <v>-0.98960563657441836</v>
      </c>
      <c r="BS5">
        <v>-0.98989388160340996</v>
      </c>
      <c r="BT5">
        <v>-0.99017030708021037</v>
      </c>
      <c r="BU5">
        <v>-0.99043555017096896</v>
      </c>
      <c r="BV5">
        <v>-0.9906902056995065</v>
      </c>
      <c r="BW5">
        <v>-0.99093482947785283</v>
      </c>
      <c r="BX5">
        <v>-0.9911699413353976</v>
      </c>
      <c r="BY5">
        <v>-0.99139602787712355</v>
      </c>
      <c r="BZ5">
        <v>-0.99161354499852716</v>
      </c>
      <c r="CA5">
        <v>-0.99182292018121399</v>
      </c>
      <c r="CB5">
        <v>-0.99202455459093597</v>
      </c>
      <c r="CC5">
        <v>-0.99221882499706104</v>
      </c>
      <c r="CD5">
        <v>-0.99240608553084886</v>
      </c>
      <c r="CE5">
        <v>-0.99258666929761186</v>
      </c>
      <c r="CF5">
        <v>-0.99276088985662114</v>
      </c>
      <c r="CG5">
        <v>-0.99292904258087811</v>
      </c>
      <c r="CH5">
        <v>-0.99309140590793765</v>
      </c>
      <c r="CI5">
        <v>-0.99324824249136978</v>
      </c>
      <c r="CJ5">
        <v>-0.99339980026213592</v>
      </c>
      <c r="CK5">
        <v>-0.99354631340751665</v>
      </c>
      <c r="CL5">
        <v>-0.99368800327501483</v>
      </c>
      <c r="CM5">
        <v>-0.99382507920762952</v>
      </c>
      <c r="CN5">
        <v>-0.99395773931650244</v>
      </c>
      <c r="CO5">
        <v>-0.99408617119615927</v>
      </c>
      <c r="CP5">
        <v>-0.99421055258717461</v>
      </c>
      <c r="CQ5">
        <v>-0.99433105199060701</v>
      </c>
      <c r="CR5">
        <v>-0.99444782923831587</v>
      </c>
      <c r="CS5">
        <v>-0.99456103602252433</v>
      </c>
      <c r="CT5">
        <v>-0.99467081638809396</v>
      </c>
      <c r="CU5">
        <v>-0.99477730719045188</v>
      </c>
      <c r="CV5">
        <v>-0.99488063852175102</v>
      </c>
    </row>
    <row r="6" spans="1:100" x14ac:dyDescent="0.25">
      <c r="D6">
        <v>1</v>
      </c>
      <c r="E6">
        <v>0.76505532392946174</v>
      </c>
      <c r="F6">
        <v>0.46884879347070962</v>
      </c>
      <c r="G6">
        <v>0.20929921790247691</v>
      </c>
      <c r="H6">
        <v>-5.2135261084813986E-15</v>
      </c>
      <c r="I6">
        <v>-0.16527895766637971</v>
      </c>
      <c r="J6">
        <v>-0.29575813558693897</v>
      </c>
      <c r="K6">
        <v>-0.39953094096534919</v>
      </c>
      <c r="L6">
        <v>-0.48290982109133379</v>
      </c>
      <c r="M6">
        <v>-0.55063940292864788</v>
      </c>
      <c r="N6">
        <v>-0.60625320546985439</v>
      </c>
      <c r="O6">
        <v>-0.65238870288249085</v>
      </c>
      <c r="P6">
        <v>-0.69102898062768525</v>
      </c>
      <c r="Q6">
        <v>-0.72367932928324752</v>
      </c>
      <c r="R6">
        <v>-0.75149420255261212</v>
      </c>
      <c r="S6">
        <v>-0.77536826095205291</v>
      </c>
      <c r="T6">
        <v>-0.79600192607771536</v>
      </c>
      <c r="U6">
        <v>-0.81394892761191728</v>
      </c>
      <c r="V6">
        <v>-0.82965109665128534</v>
      </c>
      <c r="W6">
        <v>-0.84346407015486835</v>
      </c>
      <c r="X6">
        <v>-0.85567646583532309</v>
      </c>
      <c r="Y6">
        <v>-0.86652432395912993</v>
      </c>
      <c r="Z6">
        <v>-0.87620208621452744</v>
      </c>
      <c r="AA6">
        <v>-0.88487101721130657</v>
      </c>
      <c r="AB6">
        <v>-0.89266571997609379</v>
      </c>
      <c r="AC6">
        <v>-0.8996992181992729</v>
      </c>
      <c r="AD6">
        <v>-0.90606695144127947</v>
      </c>
      <c r="AE6">
        <v>-0.91184993906372558</v>
      </c>
      <c r="AF6">
        <v>-0.9171173034509349</v>
      </c>
      <c r="AG6">
        <v>-0.92192829567745216</v>
      </c>
      <c r="AH6">
        <v>-0.92633393201608727</v>
      </c>
      <c r="AI6">
        <v>-0.93037832398293596</v>
      </c>
      <c r="AJ6">
        <v>-0.9340997654697033</v>
      </c>
      <c r="AK6">
        <v>-0.93753162613981766</v>
      </c>
      <c r="AL6">
        <v>-0.94070308939532021</v>
      </c>
      <c r="AM6">
        <v>-0.94363976494360191</v>
      </c>
      <c r="AN6">
        <v>-0.94636419964748808</v>
      </c>
      <c r="AO6">
        <v>-0.94889630544543302</v>
      </c>
      <c r="AP6">
        <v>-0.9512537193273688</v>
      </c>
      <c r="AQ6">
        <v>-0.95345210738307307</v>
      </c>
      <c r="AR6">
        <v>-0.95550542260811078</v>
      </c>
      <c r="AS6">
        <v>-0.95742612431139862</v>
      </c>
      <c r="AT6">
        <v>-0.95922536550699311</v>
      </c>
      <c r="AU6">
        <v>-0.96091315350638273</v>
      </c>
      <c r="AV6">
        <v>-0.962498487993247</v>
      </c>
      <c r="AW6">
        <v>-0.96398948010997132</v>
      </c>
      <c r="AX6">
        <v>-0.96539345547588584</v>
      </c>
      <c r="AY6">
        <v>-0.96671704356331079</v>
      </c>
      <c r="AZ6">
        <v>-0.96796625545321602</v>
      </c>
      <c r="BA6">
        <v>-0.96914655166265562</v>
      </c>
      <c r="BB6">
        <v>-0.9702629014639339</v>
      </c>
      <c r="BC6">
        <v>-0.97131983489168527</v>
      </c>
      <c r="BD6">
        <v>-0.97232148844841604</v>
      </c>
      <c r="BE6">
        <v>-0.97327164536473987</v>
      </c>
      <c r="BF6">
        <v>-0.97417377114232262</v>
      </c>
      <c r="BG6">
        <v>-0.97503104499970061</v>
      </c>
      <c r="BH6">
        <v>-0.97584638775126742</v>
      </c>
      <c r="BI6">
        <v>-0.97662248657381912</v>
      </c>
      <c r="BJ6">
        <v>-0.97736181705093517</v>
      </c>
      <c r="BK6">
        <v>-0.97806666283139365</v>
      </c>
      <c r="BL6">
        <v>-0.97873913319199879</v>
      </c>
      <c r="BM6">
        <v>-0.97938117875579578</v>
      </c>
      <c r="BN6">
        <v>-0.97999460558378926</v>
      </c>
      <c r="BO6">
        <v>-0.98058108782920794</v>
      </c>
      <c r="BP6">
        <v>-0.98114217911959101</v>
      </c>
      <c r="BQ6">
        <v>-0.98167932281044901</v>
      </c>
      <c r="BR6">
        <v>-0.98219386123643782</v>
      </c>
      <c r="BS6">
        <v>-0.9826870440705483</v>
      </c>
      <c r="BT6">
        <v>-0.98316003588796785</v>
      </c>
      <c r="BU6">
        <v>-0.98361392302002904</v>
      </c>
      <c r="BV6">
        <v>-0.98404971977320654</v>
      </c>
      <c r="BW6">
        <v>-0.98446837407949617</v>
      </c>
      <c r="BX6">
        <v>-0.98487077263673939</v>
      </c>
      <c r="BY6">
        <v>-0.98525774559087276</v>
      </c>
      <c r="BZ6">
        <v>-0.98563007080599396</v>
      </c>
      <c r="CA6">
        <v>-0.98598847776335519</v>
      </c>
      <c r="CB6">
        <v>-0.98633365112543447</v>
      </c>
      <c r="CC6">
        <v>-0.98666623399774833</v>
      </c>
      <c r="CD6">
        <v>-0.98698683091717632</v>
      </c>
      <c r="CE6">
        <v>-0.98729601059276295</v>
      </c>
      <c r="CF6">
        <v>-0.98759430842208173</v>
      </c>
      <c r="CG6">
        <v>-0.98788222880399301</v>
      </c>
      <c r="CH6">
        <v>-0.98816024726622764</v>
      </c>
      <c r="CI6">
        <v>-0.98842881242479264</v>
      </c>
      <c r="CJ6">
        <v>-0.98868834778993064</v>
      </c>
      <c r="CK6">
        <v>-0.98893925343240441</v>
      </c>
      <c r="CL6">
        <v>-0.98918190752229318</v>
      </c>
      <c r="CM6">
        <v>-0.98941666775116088</v>
      </c>
      <c r="CN6">
        <v>-0.98964387264779696</v>
      </c>
      <c r="CO6">
        <v>-0.98986384279640371</v>
      </c>
      <c r="CP6">
        <v>-0.99007688196538357</v>
      </c>
      <c r="CQ6">
        <v>-0.99028327815433215</v>
      </c>
      <c r="CR6">
        <v>-0.99048330456558298</v>
      </c>
      <c r="CS6">
        <v>-0.99067722050686302</v>
      </c>
      <c r="CT6">
        <v>-0.99086527223030119</v>
      </c>
      <c r="CU6">
        <v>-0.99104769371292722</v>
      </c>
      <c r="CV6">
        <v>-0.99122470738337487</v>
      </c>
    </row>
    <row r="7" spans="1:100" x14ac:dyDescent="0.25">
      <c r="E7">
        <v>1</v>
      </c>
      <c r="F7">
        <v>0.83022389627856519</v>
      </c>
      <c r="G7">
        <v>0.59170018143313885</v>
      </c>
      <c r="H7">
        <v>0.36311746382618221</v>
      </c>
      <c r="I7">
        <v>0.16527895766637971</v>
      </c>
      <c r="J7">
        <v>-8.4625264083587786E-15</v>
      </c>
      <c r="K7">
        <v>-0.13655293285492159</v>
      </c>
      <c r="L7">
        <v>-0.24928693010624151</v>
      </c>
      <c r="M7">
        <v>-0.3427240133427184</v>
      </c>
      <c r="N7">
        <v>-0.42063805471366927</v>
      </c>
      <c r="O7">
        <v>-0.48605942188713902</v>
      </c>
      <c r="P7">
        <v>-0.541385399330093</v>
      </c>
      <c r="Q7">
        <v>-0.58850483431865563</v>
      </c>
      <c r="R7">
        <v>-0.62890813726522654</v>
      </c>
      <c r="S7">
        <v>-0.66377640229030943</v>
      </c>
      <c r="T7">
        <v>-0.6940510260622228</v>
      </c>
      <c r="U7">
        <v>-0.7204872399611979</v>
      </c>
      <c r="V7">
        <v>-0.74369504117206553</v>
      </c>
      <c r="W7">
        <v>-0.7641704824204929</v>
      </c>
      <c r="X7">
        <v>-0.78231965924072489</v>
      </c>
      <c r="Y7">
        <v>-0.79847718310743443</v>
      </c>
      <c r="Z7">
        <v>-0.81292048689580954</v>
      </c>
      <c r="AA7">
        <v>-0.82588097005633654</v>
      </c>
      <c r="AB7">
        <v>-0.83755273628178073</v>
      </c>
      <c r="AC7">
        <v>-0.84809948718019501</v>
      </c>
      <c r="AD7">
        <v>-0.8576599952974584</v>
      </c>
      <c r="AE7">
        <v>-0.86635247601267584</v>
      </c>
      <c r="AF7">
        <v>-0.87427810075055912</v>
      </c>
      <c r="AG7">
        <v>-0.88152383651227617</v>
      </c>
      <c r="AH7">
        <v>-0.88816475371795711</v>
      </c>
      <c r="AI7">
        <v>-0.89426591198562433</v>
      </c>
      <c r="AJ7">
        <v>-0.89988390897660786</v>
      </c>
      <c r="AK7">
        <v>-0.90506815879722813</v>
      </c>
      <c r="AL7">
        <v>-0.90986195218028265</v>
      </c>
      <c r="AM7">
        <v>-0.91430333969020339</v>
      </c>
      <c r="AN7">
        <v>-0.9184258706979106</v>
      </c>
      <c r="AO7">
        <v>-0.92225921425862234</v>
      </c>
      <c r="AP7">
        <v>-0.92582968285309142</v>
      </c>
      <c r="AQ7">
        <v>-0.92916067588415452</v>
      </c>
      <c r="AR7">
        <v>-0.93227305660553728</v>
      </c>
      <c r="AS7">
        <v>-0.93518547360661142</v>
      </c>
      <c r="AT7">
        <v>-0.93791463593864344</v>
      </c>
      <c r="AU7">
        <v>-0.94047554933508604</v>
      </c>
      <c r="AV7">
        <v>-0.94288171966319356</v>
      </c>
      <c r="AW7">
        <v>-0.9451453286808843</v>
      </c>
      <c r="AX7">
        <v>-0.94727738630888814</v>
      </c>
      <c r="AY7">
        <v>-0.94928786292511047</v>
      </c>
      <c r="AZ7">
        <v>-0.95118580461104418</v>
      </c>
      <c r="BA7">
        <v>-0.95297943380783712</v>
      </c>
      <c r="BB7">
        <v>-0.95467623744892971</v>
      </c>
      <c r="BC7">
        <v>-0.95628304431370781</v>
      </c>
      <c r="BD7">
        <v>-0.95780609307870979</v>
      </c>
      <c r="BE7">
        <v>-0.95925109231985495</v>
      </c>
      <c r="BF7">
        <v>-0.96062327353288368</v>
      </c>
      <c r="BG7">
        <v>-0.96192743808293069</v>
      </c>
      <c r="BH7">
        <v>-0.96316799886299442</v>
      </c>
      <c r="BI7">
        <v>-0.96434901733043665</v>
      </c>
      <c r="BJ7">
        <v>-0.96547423649701458</v>
      </c>
      <c r="BK7">
        <v>-0.96654711036910079</v>
      </c>
      <c r="BL7">
        <v>-0.96757083026691459</v>
      </c>
      <c r="BM7">
        <v>-0.96854834839456572</v>
      </c>
      <c r="BN7">
        <v>-0.9694823989836705</v>
      </c>
      <c r="BO7">
        <v>-0.97037551729137284</v>
      </c>
      <c r="BP7">
        <v>-0.97123005669746365</v>
      </c>
      <c r="BQ7">
        <v>-0.97204820411477033</v>
      </c>
      <c r="BR7">
        <v>-0.97283199389974739</v>
      </c>
      <c r="BS7">
        <v>-0.97358332042782236</v>
      </c>
      <c r="BT7">
        <v>-0.9743039494774528</v>
      </c>
      <c r="BU7">
        <v>-0.97499552855029026</v>
      </c>
      <c r="BV7">
        <v>-0.97565959623905463</v>
      </c>
      <c r="BW7">
        <v>-0.97629759074244249</v>
      </c>
      <c r="BX7">
        <v>-0.97691085761427909</v>
      </c>
      <c r="BY7">
        <v>-0.97750065682468135</v>
      </c>
      <c r="BZ7">
        <v>-0.97806816920202522</v>
      </c>
      <c r="CA7">
        <v>-0.97861450231691505</v>
      </c>
      <c r="CB7">
        <v>-0.97914069586263774</v>
      </c>
      <c r="CC7">
        <v>-0.97964772658074839</v>
      </c>
      <c r="CD7">
        <v>-0.98013651277507496</v>
      </c>
      <c r="CE7">
        <v>-0.98060791845301809</v>
      </c>
      <c r="CF7">
        <v>-0.98106275712878488</v>
      </c>
      <c r="CG7">
        <v>-0.98150179531984749</v>
      </c>
      <c r="CH7">
        <v>-0.98192575576426666</v>
      </c>
      <c r="CI7">
        <v>-0.98233532038443261</v>
      </c>
      <c r="CJ7">
        <v>-0.98273113301938242</v>
      </c>
      <c r="CK7">
        <v>-0.9831138019464436</v>
      </c>
      <c r="CL7">
        <v>-0.9834839022102575</v>
      </c>
      <c r="CM7">
        <v>-0.98384197777604276</v>
      </c>
      <c r="CN7">
        <v>-0.98418854352190444</v>
      </c>
      <c r="CO7">
        <v>-0.98452408708390093</v>
      </c>
      <c r="CP7">
        <v>-0.98484907056604953</v>
      </c>
      <c r="CQ7">
        <v>-0.98516393212661701</v>
      </c>
      <c r="CR7">
        <v>-0.98546908745054651</v>
      </c>
      <c r="CS7">
        <v>-0.9857649311175859</v>
      </c>
      <c r="CT7">
        <v>-0.98605183787413864</v>
      </c>
      <c r="CU7">
        <v>-0.98633016381680938</v>
      </c>
      <c r="CV7">
        <v>-0.98660024749425745</v>
      </c>
    </row>
    <row r="8" spans="1:100" x14ac:dyDescent="0.25">
      <c r="F8">
        <v>1</v>
      </c>
      <c r="G8">
        <v>0.8717401485096079</v>
      </c>
      <c r="H8">
        <v>0.67718627951073462</v>
      </c>
      <c r="I8">
        <v>0.47792494981043798</v>
      </c>
      <c r="J8">
        <v>0.29575813558693897</v>
      </c>
      <c r="K8">
        <v>0.13655293285492159</v>
      </c>
      <c r="L8">
        <v>-7.1186950953841102E-15</v>
      </c>
      <c r="M8">
        <v>-0.1163318688837077</v>
      </c>
      <c r="N8">
        <v>-0.2153539553637934</v>
      </c>
      <c r="O8">
        <v>-0.29983046890076648</v>
      </c>
      <c r="P8">
        <v>-0.37217443356546909</v>
      </c>
      <c r="Q8">
        <v>-0.43441503691213063</v>
      </c>
      <c r="R8">
        <v>-0.48822928568071938</v>
      </c>
      <c r="S8">
        <v>-0.53499286403188595</v>
      </c>
      <c r="T8">
        <v>-0.57583196026183492</v>
      </c>
      <c r="U8">
        <v>-0.61166943828425901</v>
      </c>
      <c r="V8">
        <v>-0.64326364446013773</v>
      </c>
      <c r="W8">
        <v>-0.67124010526413247</v>
      </c>
      <c r="X8">
        <v>-0.69611704881513281</v>
      </c>
      <c r="Y8">
        <v>-0.7183258163626709</v>
      </c>
      <c r="Z8">
        <v>-0.73822714984646431</v>
      </c>
      <c r="AA8">
        <v>-0.75612419400556719</v>
      </c>
      <c r="AB8">
        <v>-0.77227289720646497</v>
      </c>
      <c r="AC8">
        <v>-0.78689035723754774</v>
      </c>
      <c r="AD8">
        <v>-0.80016154319246846</v>
      </c>
      <c r="AE8">
        <v>-0.81224473177743706</v>
      </c>
      <c r="AF8">
        <v>-0.82327592300406782</v>
      </c>
      <c r="AG8">
        <v>-0.83337244280314626</v>
      </c>
      <c r="AH8">
        <v>-0.84263589538220307</v>
      </c>
      <c r="AI8">
        <v>-0.85115459340254174</v>
      </c>
      <c r="AJ8">
        <v>-0.85900556704651887</v>
      </c>
      <c r="AK8">
        <v>-0.86625623202567348</v>
      </c>
      <c r="AL8">
        <v>-0.87296578017958559</v>
      </c>
      <c r="AM8">
        <v>-0.87918634347934232</v>
      </c>
      <c r="AN8">
        <v>-0.88496397216960898</v>
      </c>
      <c r="AO8">
        <v>-0.89033945983799612</v>
      </c>
      <c r="AP8">
        <v>-0.89534904191295794</v>
      </c>
      <c r="AQ8">
        <v>-0.90002498909782447</v>
      </c>
      <c r="AR8">
        <v>-0.9043961132643068</v>
      </c>
      <c r="AS8">
        <v>-0.9084882001398692</v>
      </c>
      <c r="AT8">
        <v>-0.91232438055863674</v>
      </c>
      <c r="AU8">
        <v>-0.91592544997624481</v>
      </c>
      <c r="AV8">
        <v>-0.91931014427258795</v>
      </c>
      <c r="AW8">
        <v>-0.92249537850274765</v>
      </c>
      <c r="AX8">
        <v>-0.92549645414410531</v>
      </c>
      <c r="AY8">
        <v>-0.92832723947565188</v>
      </c>
      <c r="AZ8">
        <v>-0.93100032697698198</v>
      </c>
      <c r="BA8">
        <v>-0.93352717101599181</v>
      </c>
      <c r="BB8">
        <v>-0.93591820858328101</v>
      </c>
      <c r="BC8">
        <v>-0.93818296540685475</v>
      </c>
      <c r="BD8">
        <v>-0.94033014942688098</v>
      </c>
      <c r="BE8">
        <v>-0.94236773331550661</v>
      </c>
      <c r="BF8">
        <v>-0.9443030274787434</v>
      </c>
      <c r="BG8">
        <v>-0.94614274477020288</v>
      </c>
      <c r="BH8">
        <v>-0.94789305797071255</v>
      </c>
      <c r="BI8">
        <v>-0.94955965094059147</v>
      </c>
      <c r="BJ8">
        <v>-0.95114776422517266</v>
      </c>
      <c r="BK8">
        <v>-0.95266223578865783</v>
      </c>
      <c r="BL8">
        <v>-0.9541075374600263</v>
      </c>
      <c r="BM8">
        <v>-0.9554878075976172</v>
      </c>
      <c r="BN8">
        <v>-0.95680688041318529</v>
      </c>
      <c r="BO8">
        <v>-0.95806831233881562</v>
      </c>
      <c r="BP8">
        <v>-0.95927540577202708</v>
      </c>
      <c r="BQ8">
        <v>-0.96043123049182455</v>
      </c>
      <c r="BR8">
        <v>-0.96153864300275949</v>
      </c>
      <c r="BS8">
        <v>-0.96260030403219798</v>
      </c>
      <c r="BT8">
        <v>-0.9636186943792262</v>
      </c>
      <c r="BU8">
        <v>-0.96459612928996563</v>
      </c>
      <c r="BV8">
        <v>-0.96553477151329981</v>
      </c>
      <c r="BW8">
        <v>-0.96643664317355094</v>
      </c>
      <c r="BX8">
        <v>-0.96730363658060914</v>
      </c>
      <c r="BY8">
        <v>-0.96813752408489728</v>
      </c>
      <c r="BZ8">
        <v>-0.96893996707182029</v>
      </c>
      <c r="CA8">
        <v>-0.9697125241807989</v>
      </c>
      <c r="CB8">
        <v>-0.97045665882379506</v>
      </c>
      <c r="CC8">
        <v>-0.97117374607098661</v>
      </c>
      <c r="CD8">
        <v>-0.97186507896334073</v>
      </c>
      <c r="CE8">
        <v>-0.97253187430608357</v>
      </c>
      <c r="CF8">
        <v>-0.97317527799110604</v>
      </c>
      <c r="CG8">
        <v>-0.97379636989147667</v>
      </c>
      <c r="CH8">
        <v>-0.97439616836692433</v>
      </c>
      <c r="CI8">
        <v>-0.97497563441523105</v>
      </c>
      <c r="CJ8">
        <v>-0.97553567550077647</v>
      </c>
      <c r="CK8">
        <v>-0.97607714908871612</v>
      </c>
      <c r="CL8">
        <v>-0.97660086591028794</v>
      </c>
      <c r="CM8">
        <v>-0.97710759298237537</v>
      </c>
      <c r="CN8">
        <v>-0.97759805640206232</v>
      </c>
      <c r="CO8">
        <v>-0.97807294393541944</v>
      </c>
      <c r="CP8">
        <v>-0.97853290741725774</v>
      </c>
      <c r="CQ8">
        <v>-0.97897856497778235</v>
      </c>
      <c r="CR8">
        <v>-0.979410503109996</v>
      </c>
      <c r="CS8">
        <v>-0.97982927859086855</v>
      </c>
      <c r="CT8">
        <v>-0.98023542026794974</v>
      </c>
      <c r="CU8">
        <v>-0.98062943072201558</v>
      </c>
      <c r="CV8">
        <v>-0.98101178781546827</v>
      </c>
    </row>
    <row r="9" spans="1:100" x14ac:dyDescent="0.25">
      <c r="G9">
        <v>1</v>
      </c>
      <c r="H9">
        <v>0.89975799541146162</v>
      </c>
      <c r="I9">
        <v>0.73877386510549947</v>
      </c>
      <c r="J9">
        <v>0.56523532699619816</v>
      </c>
      <c r="K9">
        <v>0.39953094096534919</v>
      </c>
      <c r="L9">
        <v>0.24928693010624151</v>
      </c>
      <c r="M9">
        <v>0.1163318688837077</v>
      </c>
      <c r="N9">
        <v>-6.1422127093546593E-15</v>
      </c>
      <c r="O9">
        <v>-0.1013262735219497</v>
      </c>
      <c r="P9">
        <v>-0.18951197351832169</v>
      </c>
      <c r="Q9">
        <v>-0.26636265287828209</v>
      </c>
      <c r="R9">
        <v>-0.33350484782449402</v>
      </c>
      <c r="S9">
        <v>-0.39235318371391181</v>
      </c>
      <c r="T9">
        <v>-0.44411578327900447</v>
      </c>
      <c r="U9">
        <v>-0.4898148751898973</v>
      </c>
      <c r="V9">
        <v>-0.53031177113683792</v>
      </c>
      <c r="W9">
        <v>-0.56633135797929701</v>
      </c>
      <c r="X9">
        <v>-0.59848414727999044</v>
      </c>
      <c r="Y9">
        <v>-0.62728529949231715</v>
      </c>
      <c r="Z9">
        <v>-0.65317066369681243</v>
      </c>
      <c r="AA9">
        <v>-0.67651012892956874</v>
      </c>
      <c r="AB9">
        <v>-0.6976186613563643</v>
      </c>
      <c r="AC9">
        <v>-0.71676539863709277</v>
      </c>
      <c r="AD9">
        <v>-0.73418113630908288</v>
      </c>
      <c r="AE9">
        <v>-0.75006449393667229</v>
      </c>
      <c r="AF9">
        <v>-0.76458700179352657</v>
      </c>
      <c r="AG9">
        <v>-0.77789730643186195</v>
      </c>
      <c r="AH9">
        <v>-0.79012465708480073</v>
      </c>
      <c r="AI9">
        <v>-0.8013818044645733</v>
      </c>
      <c r="AJ9">
        <v>-0.81176741858365276</v>
      </c>
      <c r="AK9">
        <v>-0.82136811196148696</v>
      </c>
      <c r="AL9">
        <v>-0.8302601382070911</v>
      </c>
      <c r="AM9">
        <v>-0.8385108227781124</v>
      </c>
      <c r="AN9">
        <v>-0.84617977210398332</v>
      </c>
      <c r="AO9">
        <v>-0.85331989872065717</v>
      </c>
      <c r="AP9">
        <v>-0.85997829318375452</v>
      </c>
      <c r="AQ9">
        <v>-0.86619696797694323</v>
      </c>
      <c r="AR9">
        <v>-0.87201349414244522</v>
      </c>
      <c r="AS9">
        <v>-0.87746154772404061</v>
      </c>
      <c r="AT9">
        <v>-0.88257138015533931</v>
      </c>
      <c r="AU9">
        <v>-0.8873702243182211</v>
      </c>
      <c r="AV9">
        <v>-0.89188264602644529</v>
      </c>
      <c r="AW9">
        <v>-0.8961308490768336</v>
      </c>
      <c r="AX9">
        <v>-0.90013494068322175</v>
      </c>
      <c r="AY9">
        <v>-0.9039131630151489</v>
      </c>
      <c r="AZ9">
        <v>-0.90748209565875304</v>
      </c>
      <c r="BA9">
        <v>-0.91085683306761989</v>
      </c>
      <c r="BB9">
        <v>-0.91405114044717362</v>
      </c>
      <c r="BC9">
        <v>-0.91707759099649944</v>
      </c>
      <c r="BD9">
        <v>-0.91994768699587082</v>
      </c>
      <c r="BE9">
        <v>-0.92267196686373598</v>
      </c>
      <c r="BF9">
        <v>-0.92526009999967584</v>
      </c>
      <c r="BG9">
        <v>-0.92772097097141482</v>
      </c>
      <c r="BH9">
        <v>-0.93006275438529551</v>
      </c>
      <c r="BI9">
        <v>-0.93229298159356389</v>
      </c>
      <c r="BJ9">
        <v>-0.93441860023572487</v>
      </c>
      <c r="BK9">
        <v>-0.9364460274756371</v>
      </c>
      <c r="BL9">
        <v>-0.93838119768267247</v>
      </c>
      <c r="BM9">
        <v>-0.94022960520694487</v>
      </c>
      <c r="BN9">
        <v>-0.94199634281468236</v>
      </c>
      <c r="BO9">
        <v>-0.94368613627760534</v>
      </c>
      <c r="BP9">
        <v>-0.94530337554851496</v>
      </c>
      <c r="BQ9">
        <v>-0.94685214290097153</v>
      </c>
      <c r="BR9">
        <v>-0.94833623836550762</v>
      </c>
      <c r="BS9">
        <v>-0.94975920275368786</v>
      </c>
      <c r="BT9">
        <v>-0.95112433852751865</v>
      </c>
      <c r="BU9">
        <v>-0.95243472874047352</v>
      </c>
      <c r="BV9">
        <v>-0.95369325425081652</v>
      </c>
      <c r="BW9">
        <v>-0.95490260938410998</v>
      </c>
      <c r="BX9">
        <v>-0.95606531620246138</v>
      </c>
      <c r="BY9">
        <v>-0.95718373751968633</v>
      </c>
      <c r="BZ9">
        <v>-0.9582600887864885</v>
      </c>
      <c r="CA9">
        <v>-0.95929644895628052</v>
      </c>
      <c r="CB9">
        <v>-0.96029477042986178</v>
      </c>
      <c r="CC9">
        <v>-0.9612568881669995</v>
      </c>
      <c r="CD9">
        <v>-0.96218452804360621</v>
      </c>
      <c r="CE9">
        <v>-0.96307931452478857</v>
      </c>
      <c r="CF9">
        <v>-0.9639427777168591</v>
      </c>
      <c r="CG9">
        <v>-0.96477635985511101</v>
      </c>
      <c r="CH9">
        <v>-0.96558142127817925</v>
      </c>
      <c r="CI9">
        <v>-0.96635924593466949</v>
      </c>
      <c r="CJ9">
        <v>-0.96711104646363188</v>
      </c>
      <c r="CK9">
        <v>-0.96783796888588047</v>
      </c>
      <c r="CL9">
        <v>-0.968541096939735</v>
      </c>
      <c r="CM9">
        <v>-0.96922145609184107</v>
      </c>
      <c r="CN9">
        <v>-0.96988001725034412</v>
      </c>
      <c r="CO9">
        <v>-0.97051770020536843</v>
      </c>
      <c r="CP9">
        <v>-0.97113537681958462</v>
      </c>
      <c r="CQ9">
        <v>-0.97173387398905864</v>
      </c>
      <c r="CR9">
        <v>-0.9723139763933808</v>
      </c>
      <c r="CS9">
        <v>-0.9728764290518005</v>
      </c>
      <c r="CT9">
        <v>-0.97342193970084123</v>
      </c>
      <c r="CU9">
        <v>-0.97395118100765377</v>
      </c>
      <c r="CV9">
        <v>-0.97446479263170116</v>
      </c>
    </row>
    <row r="10" spans="1:100" x14ac:dyDescent="0.25">
      <c r="H10">
        <v>1</v>
      </c>
      <c r="I10">
        <v>0.91953390816645642</v>
      </c>
      <c r="J10">
        <v>0.78448347366314386</v>
      </c>
      <c r="K10">
        <v>0.63287615303185718</v>
      </c>
      <c r="L10">
        <v>0.48290982109133379</v>
      </c>
      <c r="M10">
        <v>0.3427240133427184</v>
      </c>
      <c r="N10">
        <v>0.2153539553637934</v>
      </c>
      <c r="O10">
        <v>0.1013262735219497</v>
      </c>
      <c r="P10">
        <v>-5.4008358937174679E-15</v>
      </c>
      <c r="Q10">
        <v>-8.9749093484652293E-2</v>
      </c>
      <c r="R10">
        <v>-0.16918602340927399</v>
      </c>
      <c r="S10">
        <v>-0.2395517059229807</v>
      </c>
      <c r="T10">
        <v>-0.3019898565087632</v>
      </c>
      <c r="U10">
        <v>-0.35752071013891362</v>
      </c>
      <c r="V10">
        <v>-0.40703793791447801</v>
      </c>
      <c r="W10">
        <v>-0.45131637321432688</v>
      </c>
      <c r="X10">
        <v>-0.4910241148188752</v>
      </c>
      <c r="Y10">
        <v>-0.52673574202987772</v>
      </c>
      <c r="Z10">
        <v>-0.55894506094255569</v>
      </c>
      <c r="AA10">
        <v>-0.58807668983717254</v>
      </c>
      <c r="AB10">
        <v>-0.61449625220342863</v>
      </c>
      <c r="AC10">
        <v>-0.63851917580755835</v>
      </c>
      <c r="AD10">
        <v>-0.66041820261152151</v>
      </c>
      <c r="AE10">
        <v>-0.6804297556155573</v>
      </c>
      <c r="AF10">
        <v>-0.69875931661815527</v>
      </c>
      <c r="AG10">
        <v>-0.71558596072022207</v>
      </c>
      <c r="AH10">
        <v>-0.7310661783787602</v>
      </c>
      <c r="AI10">
        <v>-0.7453370987717296</v>
      </c>
      <c r="AJ10">
        <v>-0.7585192115735726</v>
      </c>
      <c r="AK10">
        <v>-0.77071866905969544</v>
      </c>
      <c r="AL10">
        <v>-0.78202923714946659</v>
      </c>
      <c r="AM10">
        <v>-0.79253395260155468</v>
      </c>
      <c r="AN10">
        <v>-0.80230653395809337</v>
      </c>
      <c r="AO10">
        <v>-0.8114125857934269</v>
      </c>
      <c r="AP10">
        <v>-0.8199106291389584</v>
      </c>
      <c r="AQ10">
        <v>-0.82785298541961694</v>
      </c>
      <c r="AR10">
        <v>-0.83528653665999331</v>
      </c>
      <c r="AS10">
        <v>-0.84225338093663926</v>
      </c>
      <c r="AT10">
        <v>-0.84879139892917621</v>
      </c>
      <c r="AU10">
        <v>-0.85493474483876741</v>
      </c>
      <c r="AV10">
        <v>-0.86071427280478607</v>
      </c>
      <c r="AW10">
        <v>-0.86615790817735683</v>
      </c>
      <c r="AX10">
        <v>-0.87129097153121016</v>
      </c>
      <c r="AY10">
        <v>-0.87613646208133233</v>
      </c>
      <c r="AZ10">
        <v>-0.88071530613927007</v>
      </c>
      <c r="BA10">
        <v>-0.88504657539568798</v>
      </c>
      <c r="BB10">
        <v>-0.88914767909967374</v>
      </c>
      <c r="BC10">
        <v>-0.89303453360578988</v>
      </c>
      <c r="BD10">
        <v>-0.89672171225481789</v>
      </c>
      <c r="BE10">
        <v>-0.90022257812875339</v>
      </c>
      <c r="BF10">
        <v>-0.90354940186116872</v>
      </c>
      <c r="BG10">
        <v>-0.90671346637925643</v>
      </c>
      <c r="BH10">
        <v>-0.90972516019541949</v>
      </c>
      <c r="BI10">
        <v>-0.91259406064637449</v>
      </c>
      <c r="BJ10">
        <v>-0.91532900829000041</v>
      </c>
      <c r="BK10">
        <v>-0.91793817351028562</v>
      </c>
      <c r="BL10">
        <v>-0.9204291162429985</v>
      </c>
      <c r="BM10">
        <v>-0.92280883961732618</v>
      </c>
      <c r="BN10">
        <v>-0.92508383820753459</v>
      </c>
      <c r="BO10">
        <v>-0.92726014150108282</v>
      </c>
      <c r="BP10">
        <v>-0.929343353114777</v>
      </c>
      <c r="BQ10">
        <v>-0.93133868622532434</v>
      </c>
      <c r="BR10">
        <v>-0.93325099562383684</v>
      </c>
      <c r="BS10">
        <v>-0.93508480675552108</v>
      </c>
      <c r="BT10">
        <v>-0.93684434206260891</v>
      </c>
      <c r="BU10">
        <v>-0.93853354491166718</v>
      </c>
      <c r="BV10">
        <v>-0.94015610135426697</v>
      </c>
      <c r="BW10">
        <v>-0.94171545994113037</v>
      </c>
      <c r="BX10">
        <v>-0.94321484978566517</v>
      </c>
      <c r="BY10">
        <v>-0.94465729705068302</v>
      </c>
      <c r="BZ10">
        <v>-0.94604564001290015</v>
      </c>
      <c r="CA10">
        <v>-0.9473825428435696</v>
      </c>
      <c r="CB10">
        <v>-0.94867050822791454</v>
      </c>
      <c r="CC10">
        <v>-0.94991188893384559</v>
      </c>
      <c r="CD10">
        <v>-0.95110889842813329</v>
      </c>
      <c r="CE10">
        <v>-0.95226362062857584</v>
      </c>
      <c r="CF10">
        <v>-0.95337801887115314</v>
      </c>
      <c r="CG10">
        <v>-0.95445394416347829</v>
      </c>
      <c r="CH10">
        <v>-0.95549314278840725</v>
      </c>
      <c r="CI10">
        <v>-0.95649726331569762</v>
      </c>
      <c r="CJ10">
        <v>-0.95746786307327825</v>
      </c>
      <c r="CK10">
        <v>-0.95840641412550265</v>
      </c>
      <c r="CL10">
        <v>-0.95931430880040791</v>
      </c>
      <c r="CM10">
        <v>-0.96019286480444044</v>
      </c>
      <c r="CN10">
        <v>-0.96104332995952502</v>
      </c>
      <c r="CO10">
        <v>-0.96186688659369912</v>
      </c>
      <c r="CP10">
        <v>-0.96266465561406722</v>
      </c>
      <c r="CQ10">
        <v>-0.96343770028791909</v>
      </c>
      <c r="CR10">
        <v>-0.96418702975566528</v>
      </c>
      <c r="CS10">
        <v>-0.96491360229698842</v>
      </c>
      <c r="CT10">
        <v>-0.96561832836999972</v>
      </c>
      <c r="CU10">
        <v>-0.96630207344081764</v>
      </c>
      <c r="CV10">
        <v>-0.96696566062032063</v>
      </c>
    </row>
    <row r="11" spans="1:100" x14ac:dyDescent="0.25">
      <c r="I11">
        <v>1</v>
      </c>
      <c r="J11">
        <v>0.93400143040806261</v>
      </c>
      <c r="K11">
        <v>0.81927932164401196</v>
      </c>
      <c r="L11">
        <v>0.68618846908176023</v>
      </c>
      <c r="M11">
        <v>0.55063940292864788</v>
      </c>
      <c r="N11">
        <v>0.42063805471366927</v>
      </c>
      <c r="O11">
        <v>0.29983046890076648</v>
      </c>
      <c r="P11">
        <v>0.18951197351832169</v>
      </c>
      <c r="Q11">
        <v>8.9749093484652293E-2</v>
      </c>
      <c r="R11">
        <v>-9.6378031505236458E-15</v>
      </c>
      <c r="S11">
        <v>-8.0545937238812801E-2</v>
      </c>
      <c r="T11">
        <v>-0.15278551580218661</v>
      </c>
      <c r="U11">
        <v>-0.21760658515928771</v>
      </c>
      <c r="V11">
        <v>-0.27584154894578872</v>
      </c>
      <c r="W11">
        <v>-0.32824761337551778</v>
      </c>
      <c r="X11">
        <v>-0.37550145785922118</v>
      </c>
      <c r="Y11">
        <v>-0.41820138706624849</v>
      </c>
      <c r="Z11">
        <v>-0.45687307561408658</v>
      </c>
      <c r="AA11">
        <v>-0.49197675393157908</v>
      </c>
      <c r="AB11">
        <v>-0.52391467437196737</v>
      </c>
      <c r="AC11">
        <v>-0.55303826009505319</v>
      </c>
      <c r="AD11">
        <v>-0.57965465720799525</v>
      </c>
      <c r="AE11">
        <v>-0.60403258714841856</v>
      </c>
      <c r="AF11">
        <v>-0.62640749128126083</v>
      </c>
      <c r="AG11">
        <v>-0.6469860079360138</v>
      </c>
      <c r="AH11">
        <v>-0.66594984386577738</v>
      </c>
      <c r="AI11">
        <v>-0.68345910915004482</v>
      </c>
      <c r="AJ11">
        <v>-0.69965518373232805</v>
      </c>
      <c r="AK11">
        <v>-0.71466317903038301</v>
      </c>
      <c r="AL11">
        <v>-0.72859405162312985</v>
      </c>
      <c r="AM11">
        <v>-0.74154641914738995</v>
      </c>
      <c r="AN11">
        <v>-0.75360812188694681</v>
      </c>
      <c r="AO11">
        <v>-0.76485756742647726</v>
      </c>
      <c r="AP11">
        <v>-0.77536489029935773</v>
      </c>
      <c r="AQ11">
        <v>-0.78519295380487963</v>
      </c>
      <c r="AR11">
        <v>-0.79439821707030944</v>
      </c>
      <c r="AS11">
        <v>-0.80303148692894655</v>
      </c>
      <c r="AT11">
        <v>-0.81113857120658484</v>
      </c>
      <c r="AU11">
        <v>-0.81876084748560252</v>
      </c>
      <c r="AV11">
        <v>-0.82593575928507523</v>
      </c>
      <c r="AW11">
        <v>-0.8326972497964511</v>
      </c>
      <c r="AX11">
        <v>-0.83907614179777212</v>
      </c>
      <c r="AY11">
        <v>-0.8451004710895359</v>
      </c>
      <c r="AZ11">
        <v>-0.85079577971624665</v>
      </c>
      <c r="BA11">
        <v>-0.85618537432525588</v>
      </c>
      <c r="BB11">
        <v>-0.86129055424330181</v>
      </c>
      <c r="BC11">
        <v>-0.86613081319881458</v>
      </c>
      <c r="BD11">
        <v>-0.87072401806362443</v>
      </c>
      <c r="BE11">
        <v>-0.87508656751836034</v>
      </c>
      <c r="BF11">
        <v>-0.8792335331450698</v>
      </c>
      <c r="BG11">
        <v>-0.88317878511056103</v>
      </c>
      <c r="BH11">
        <v>-0.88693510431230405</v>
      </c>
      <c r="BI11">
        <v>-0.89051428261057053</v>
      </c>
      <c r="BJ11">
        <v>-0.89392721255682317</v>
      </c>
      <c r="BK11">
        <v>-0.89718396784584131</v>
      </c>
      <c r="BL11">
        <v>-0.90029387556160223</v>
      </c>
      <c r="BM11">
        <v>-0.90326558115134725</v>
      </c>
      <c r="BN11">
        <v>-0.90610710694574093</v>
      </c>
      <c r="BO11">
        <v>-0.90882590494149618</v>
      </c>
      <c r="BP11">
        <v>-0.91142890447573865</v>
      </c>
      <c r="BQ11">
        <v>-0.91392255534519207</v>
      </c>
      <c r="BR11">
        <v>-0.91631286685757385</v>
      </c>
      <c r="BS11">
        <v>-0.91860544324473203</v>
      </c>
      <c r="BT11">
        <v>-0.92080551581768455</v>
      </c>
      <c r="BU11">
        <v>-0.92291797219921368</v>
      </c>
      <c r="BV11">
        <v>-0.92494738293221546</v>
      </c>
      <c r="BW11">
        <v>-0.92689802572776014</v>
      </c>
      <c r="BX11">
        <v>-0.92877390758803369</v>
      </c>
      <c r="BY11">
        <v>-0.93057878501317992</v>
      </c>
      <c r="BZ11">
        <v>-0.93231618247844494</v>
      </c>
      <c r="CA11">
        <v>-0.93398940934788133</v>
      </c>
      <c r="CB11">
        <v>-0.93560157537325428</v>
      </c>
      <c r="CC11">
        <v>-0.93715560491136796</v>
      </c>
      <c r="CD11">
        <v>-0.93865424997864833</v>
      </c>
      <c r="CE11">
        <v>-0.94010010225019114</v>
      </c>
      <c r="CF11">
        <v>-0.94149560409920729</v>
      </c>
      <c r="CG11">
        <v>-0.9428430587631067</v>
      </c>
      <c r="CH11">
        <v>-0.9441446397141654</v>
      </c>
      <c r="CI11">
        <v>-0.94540239930472203</v>
      </c>
      <c r="CJ11">
        <v>-0.94661827675020038</v>
      </c>
      <c r="CK11">
        <v>-0.94779410550703824</v>
      </c>
      <c r="CL11">
        <v>-0.94893162009722243</v>
      </c>
      <c r="CM11">
        <v>-0.95003246242622041</v>
      </c>
      <c r="CN11">
        <v>-0.95109818763664733</v>
      </c>
      <c r="CO11">
        <v>-0.95213026953609381</v>
      </c>
      <c r="CP11">
        <v>-0.9531301056342083</v>
      </c>
      <c r="CQ11">
        <v>-0.95409902182053896</v>
      </c>
      <c r="CR11">
        <v>-0.95503827671212982</v>
      </c>
      <c r="CS11">
        <v>-0.95594906569724136</v>
      </c>
      <c r="CT11">
        <v>-0.95683252469897906</v>
      </c>
      <c r="CU11">
        <v>-0.95768973368097976</v>
      </c>
      <c r="CV11">
        <v>-0.95852171991478252</v>
      </c>
    </row>
    <row r="12" spans="1:100" x14ac:dyDescent="0.25">
      <c r="J12">
        <v>1</v>
      </c>
      <c r="K12">
        <v>0.94489927222288395</v>
      </c>
      <c r="L12">
        <v>0.84634756465187755</v>
      </c>
      <c r="M12">
        <v>0.72886859909132284</v>
      </c>
      <c r="N12">
        <v>0.60625320546985439</v>
      </c>
      <c r="O12">
        <v>0.48605942188713902</v>
      </c>
      <c r="P12">
        <v>0.37217443356546909</v>
      </c>
      <c r="Q12">
        <v>0.26636265287828209</v>
      </c>
      <c r="R12">
        <v>0.16918602340927399</v>
      </c>
      <c r="S12">
        <v>8.0545937238812801E-2</v>
      </c>
      <c r="T12">
        <v>-8.7000581895037268E-15</v>
      </c>
      <c r="U12">
        <v>-7.305454001090439E-2</v>
      </c>
      <c r="V12">
        <v>-0.13927620404066879</v>
      </c>
      <c r="W12">
        <v>-0.19932125339083501</v>
      </c>
      <c r="X12">
        <v>-0.25381306416887128</v>
      </c>
      <c r="Y12">
        <v>-0.30332751285925452</v>
      </c>
      <c r="Z12">
        <v>-0.34838758198902259</v>
      </c>
      <c r="AA12">
        <v>-0.38946313757636508</v>
      </c>
      <c r="AB12">
        <v>-0.42697347171349581</v>
      </c>
      <c r="AC12">
        <v>-0.46129119016823578</v>
      </c>
      <c r="AD12">
        <v>-0.49274661909883161</v>
      </c>
      <c r="AE12">
        <v>-0.52163226288155851</v>
      </c>
      <c r="AF12">
        <v>-0.54820705991910468</v>
      </c>
      <c r="AG12">
        <v>-0.57270031127491783</v>
      </c>
      <c r="AH12">
        <v>-0.59531523208008674</v>
      </c>
      <c r="AI12">
        <v>-0.61623211860390681</v>
      </c>
      <c r="AJ12">
        <v>-0.63561114734643231</v>
      </c>
      <c r="AK12">
        <v>-0.65359483427890408</v>
      </c>
      <c r="AL12">
        <v>-0.67031018720634972</v>
      </c>
      <c r="AM12">
        <v>-0.68587058508431309</v>
      </c>
      <c r="AN12">
        <v>-0.70037741678068377</v>
      </c>
      <c r="AO12">
        <v>-0.71392150931480591</v>
      </c>
      <c r="AP12">
        <v>-0.72658437267562359</v>
      </c>
      <c r="AQ12">
        <v>-0.73843928529285452</v>
      </c>
      <c r="AR12">
        <v>-0.74955224131806375</v>
      </c>
      <c r="AS12">
        <v>-0.75998277817333193</v>
      </c>
      <c r="AT12">
        <v>-0.76978470039008129</v>
      </c>
      <c r="AU12">
        <v>-0.7790067135998352</v>
      </c>
      <c r="AV12">
        <v>-0.78769298064365745</v>
      </c>
      <c r="AW12">
        <v>-0.79588361011772524</v>
      </c>
      <c r="AX12">
        <v>-0.80361508624563993</v>
      </c>
      <c r="AY12">
        <v>-0.81092064773680395</v>
      </c>
      <c r="AZ12">
        <v>-0.81783062223280512</v>
      </c>
      <c r="BA12">
        <v>-0.82437272203455092</v>
      </c>
      <c r="BB12">
        <v>-0.83057230602370935</v>
      </c>
      <c r="BC12">
        <v>-0.83645261202364707</v>
      </c>
      <c r="BD12">
        <v>-0.84203496327161509</v>
      </c>
      <c r="BE12">
        <v>-0.8473389521824507</v>
      </c>
      <c r="BF12">
        <v>-0.85238260416164047</v>
      </c>
      <c r="BG12">
        <v>-0.85718252386283789</v>
      </c>
      <c r="BH12">
        <v>-0.86175402597306539</v>
      </c>
      <c r="BI12">
        <v>-0.86611125233992325</v>
      </c>
      <c r="BJ12">
        <v>-0.87026727702376594</v>
      </c>
      <c r="BK12">
        <v>-0.87423420065763291</v>
      </c>
      <c r="BL12">
        <v>-0.87802323532494442</v>
      </c>
      <c r="BM12">
        <v>-0.88164478101544175</v>
      </c>
      <c r="BN12">
        <v>-0.88510849458988416</v>
      </c>
      <c r="BO12">
        <v>-0.88842335207180367</v>
      </c>
      <c r="BP12">
        <v>-0.89159770498627366</v>
      </c>
      <c r="BQ12">
        <v>-0.89463933138080354</v>
      </c>
      <c r="BR12">
        <v>-0.89755548208883762</v>
      </c>
      <c r="BS12">
        <v>-0.90035292273154388</v>
      </c>
      <c r="BT12">
        <v>-0.90303797189696677</v>
      </c>
      <c r="BU12">
        <v>-0.90561653588549618</v>
      </c>
      <c r="BV12">
        <v>-0.90809414036749159</v>
      </c>
      <c r="BW12">
        <v>-0.91047595926025471</v>
      </c>
      <c r="BX12">
        <v>-0.91276684109781392</v>
      </c>
      <c r="BY12">
        <v>-0.91497133313780454</v>
      </c>
      <c r="BZ12">
        <v>-0.91709370342275576</v>
      </c>
      <c r="CA12">
        <v>-0.91913796099088296</v>
      </c>
      <c r="CB12">
        <v>-0.9211078744101695</v>
      </c>
      <c r="CC12">
        <v>-0.92300698879219412</v>
      </c>
      <c r="CD12">
        <v>-0.92483864142543759</v>
      </c>
      <c r="CE12">
        <v>-0.92660597615409435</v>
      </c>
      <c r="CF12">
        <v>-0.92831195661536803</v>
      </c>
      <c r="CG12">
        <v>-0.92995937843717247</v>
      </c>
      <c r="CH12">
        <v>-0.93155088048790491</v>
      </c>
      <c r="CI12">
        <v>-0.93308895526136471</v>
      </c>
      <c r="CJ12">
        <v>-0.93457595847126851</v>
      </c>
      <c r="CK12">
        <v>-0.93601411792337652</v>
      </c>
      <c r="CL12">
        <v>-0.93740554172623503</v>
      </c>
      <c r="CM12">
        <v>-0.93875222589610563</v>
      </c>
      <c r="CN12">
        <v>-0.940056061406356</v>
      </c>
      <c r="CO12">
        <v>-0.94131884072713379</v>
      </c>
      <c r="CP12">
        <v>-0.9425422638966714</v>
      </c>
      <c r="CQ12">
        <v>-0.94372794416218742</v>
      </c>
      <c r="CR12">
        <v>-0.94487741322463092</v>
      </c>
      <c r="CS12">
        <v>-0.94599212611869632</v>
      </c>
      <c r="CT12">
        <v>-0.94707346575667817</v>
      </c>
      <c r="CU12">
        <v>-0.9481227471623499</v>
      </c>
      <c r="CV12">
        <v>-0.94914122141852864</v>
      </c>
    </row>
    <row r="13" spans="1:100" x14ac:dyDescent="0.25">
      <c r="K13">
        <v>1</v>
      </c>
      <c r="L13">
        <v>0.95330984664216889</v>
      </c>
      <c r="M13">
        <v>0.86780105383035022</v>
      </c>
      <c r="N13">
        <v>0.76351968995181929</v>
      </c>
      <c r="O13">
        <v>0.65238870288249085</v>
      </c>
      <c r="P13">
        <v>0.541385399330093</v>
      </c>
      <c r="Q13">
        <v>0.43441503691213063</v>
      </c>
      <c r="R13">
        <v>0.33350484782449402</v>
      </c>
      <c r="S13">
        <v>0.2395517059229807</v>
      </c>
      <c r="T13">
        <v>0.15278551580218649</v>
      </c>
      <c r="U13">
        <v>7.305454001090439E-2</v>
      </c>
      <c r="V13">
        <v>-7.9284374487226776E-15</v>
      </c>
      <c r="W13">
        <v>-6.6837993737229956E-2</v>
      </c>
      <c r="X13">
        <v>-0.1279570594831097</v>
      </c>
      <c r="Y13">
        <v>-0.18385549527005099</v>
      </c>
      <c r="Z13">
        <v>-0.23501148310291911</v>
      </c>
      <c r="AA13">
        <v>-0.28187226662160542</v>
      </c>
      <c r="AB13">
        <v>-0.32484938284190551</v>
      </c>
      <c r="AC13">
        <v>-0.36431750042244709</v>
      </c>
      <c r="AD13">
        <v>-0.40061533828055979</v>
      </c>
      <c r="AE13">
        <v>-0.43404771720185148</v>
      </c>
      <c r="AF13">
        <v>-0.46488816163211472</v>
      </c>
      <c r="AG13">
        <v>-0.49338169867326859</v>
      </c>
      <c r="AH13">
        <v>-0.51974764606220236</v>
      </c>
      <c r="AI13">
        <v>-0.54418227174041967</v>
      </c>
      <c r="AJ13">
        <v>-0.56686126417869553</v>
      </c>
      <c r="AK13">
        <v>-0.58794198737053094</v>
      </c>
      <c r="AL13">
        <v>-0.60756551529529568</v>
      </c>
      <c r="AM13">
        <v>-0.62585845275525886</v>
      </c>
      <c r="AN13">
        <v>-0.64293455606458416</v>
      </c>
      <c r="AO13">
        <v>-0.65889617020259128</v>
      </c>
      <c r="AP13">
        <v>-0.67383550007645954</v>
      </c>
      <c r="AQ13">
        <v>-0.68783573332654857</v>
      </c>
      <c r="AR13">
        <v>-0.70097203119471185</v>
      </c>
      <c r="AS13">
        <v>-0.71331240270410867</v>
      </c>
      <c r="AT13">
        <v>-0.72491847598114578</v>
      </c>
      <c r="AU13">
        <v>-0.735846179112847</v>
      </c>
      <c r="AV13">
        <v>-0.74614634155177262</v>
      </c>
      <c r="AW13">
        <v>-0.75586522579404669</v>
      </c>
      <c r="AX13">
        <v>-0.76504499788357494</v>
      </c>
      <c r="AY13">
        <v>-0.77372414424214153</v>
      </c>
      <c r="AZ13">
        <v>-0.78193784138822453</v>
      </c>
      <c r="BA13">
        <v>-0.78971828427977075</v>
      </c>
      <c r="BB13">
        <v>-0.79709497829007225</v>
      </c>
      <c r="BC13">
        <v>-0.80409499919008087</v>
      </c>
      <c r="BD13">
        <v>-0.81074322495539419</v>
      </c>
      <c r="BE13">
        <v>-0.81706254273320944</v>
      </c>
      <c r="BF13">
        <v>-0.82307403388383582</v>
      </c>
      <c r="BG13">
        <v>-0.82879713964553559</v>
      </c>
      <c r="BH13">
        <v>-0.83424980965400597</v>
      </c>
      <c r="BI13">
        <v>-0.83944863527074287</v>
      </c>
      <c r="BJ13">
        <v>-0.84440896943479726</v>
      </c>
      <c r="BK13">
        <v>-0.84914503454299228</v>
      </c>
      <c r="BL13">
        <v>-0.85367001968145129</v>
      </c>
      <c r="BM13">
        <v>-0.85799616837298864</v>
      </c>
      <c r="BN13">
        <v>-0.86213485786616373</v>
      </c>
      <c r="BO13">
        <v>-0.86609667087113795</v>
      </c>
      <c r="BP13">
        <v>-0.86989146054197941</v>
      </c>
      <c r="BQ13">
        <v>-0.87352840941240828</v>
      </c>
      <c r="BR13">
        <v>-0.87701608291145416</v>
      </c>
      <c r="BS13">
        <v>-0.88036247801414769</v>
      </c>
      <c r="BT13">
        <v>-0.88357506752037207</v>
      </c>
      <c r="BU13">
        <v>-0.88666084040015891</v>
      </c>
      <c r="BV13">
        <v>-0.88962633859550888</v>
      </c>
      <c r="BW13">
        <v>-0.89247769062618942</v>
      </c>
      <c r="BX13">
        <v>-0.89522064231013376</v>
      </c>
      <c r="BY13">
        <v>-0.89786058487486253</v>
      </c>
      <c r="BZ13">
        <v>-0.90040258070848467</v>
      </c>
      <c r="CA13">
        <v>-0.90285138697154688</v>
      </c>
      <c r="CB13">
        <v>-0.90521147726916795</v>
      </c>
      <c r="CC13">
        <v>-0.90748706156176207</v>
      </c>
      <c r="CD13">
        <v>-0.90968210447475473</v>
      </c>
      <c r="CE13">
        <v>-0.9118003421519113</v>
      </c>
      <c r="CF13">
        <v>-0.9138452977819973</v>
      </c>
      <c r="CG13">
        <v>-0.91582029591590963</v>
      </c>
      <c r="CH13">
        <v>-0.91772847568031579</v>
      </c>
      <c r="CI13">
        <v>-0.91957280298309918</v>
      </c>
      <c r="CJ13">
        <v>-0.92135608179694439</v>
      </c>
      <c r="CK13">
        <v>-0.92308096459962707</v>
      </c>
      <c r="CL13">
        <v>-0.92474996204144611</v>
      </c>
      <c r="CM13">
        <v>-0.92636545190442743</v>
      </c>
      <c r="CN13">
        <v>-0.92792968741148107</v>
      </c>
      <c r="CO13">
        <v>-0.9294448049386117</v>
      </c>
      <c r="CP13">
        <v>-0.93091283117851065</v>
      </c>
      <c r="CQ13">
        <v>-0.9323356897992624</v>
      </c>
      <c r="CR13">
        <v>-0.93371520763849536</v>
      </c>
      <c r="CS13">
        <v>-0.93505312046919076</v>
      </c>
      <c r="CT13">
        <v>-0.93635107837073428</v>
      </c>
      <c r="CU13">
        <v>-0.9376106507355122</v>
      </c>
      <c r="CV13">
        <v>-0.93883333093900379</v>
      </c>
    </row>
    <row r="14" spans="1:100" x14ac:dyDescent="0.25">
      <c r="L14">
        <v>1</v>
      </c>
      <c r="M14">
        <v>0.95993504526726747</v>
      </c>
      <c r="N14">
        <v>0.88508204422297165</v>
      </c>
      <c r="O14">
        <v>0.79200829186181654</v>
      </c>
      <c r="P14">
        <v>0.69102898062768525</v>
      </c>
      <c r="Q14">
        <v>0.58850483431865563</v>
      </c>
      <c r="R14">
        <v>0.48822928568071938</v>
      </c>
      <c r="S14">
        <v>0.39235318371391181</v>
      </c>
      <c r="T14">
        <v>0.3019898565087632</v>
      </c>
      <c r="U14">
        <v>0.21760658515928771</v>
      </c>
      <c r="V14">
        <v>0.1392762040406689</v>
      </c>
      <c r="W14">
        <v>6.6837993737229956E-2</v>
      </c>
      <c r="X14">
        <v>-7.2824255838219904E-15</v>
      </c>
      <c r="Y14">
        <v>-6.1596411781915231E-2</v>
      </c>
      <c r="Z14">
        <v>-0.1183363338985205</v>
      </c>
      <c r="AA14">
        <v>-0.17060675530800451</v>
      </c>
      <c r="AB14">
        <v>-0.2187820582842587</v>
      </c>
      <c r="AC14">
        <v>-0.26321594371957341</v>
      </c>
      <c r="AD14">
        <v>-0.30423743127286801</v>
      </c>
      <c r="AE14">
        <v>-0.34214940653887771</v>
      </c>
      <c r="AF14">
        <v>-0.37722872425339249</v>
      </c>
      <c r="AG14">
        <v>-0.40972722655959293</v>
      </c>
      <c r="AH14">
        <v>-0.43987326413171052</v>
      </c>
      <c r="AI14">
        <v>-0.46787345770806521</v>
      </c>
      <c r="AJ14">
        <v>-0.49391453563342891</v>
      </c>
      <c r="AK14">
        <v>-0.51816514710052963</v>
      </c>
      <c r="AL14">
        <v>-0.54077759250507063</v>
      </c>
      <c r="AM14">
        <v>-0.56188943929472512</v>
      </c>
      <c r="AN14">
        <v>-0.58162500891520763</v>
      </c>
      <c r="AO14">
        <v>-0.60009673124864116</v>
      </c>
      <c r="AP14">
        <v>-0.61740636950196182</v>
      </c>
      <c r="AQ14">
        <v>-0.63364612229852779</v>
      </c>
      <c r="AR14">
        <v>-0.64889961172478772</v>
      </c>
      <c r="AS14">
        <v>-0.66324276693585948</v>
      </c>
      <c r="AT14">
        <v>-0.67674461305636202</v>
      </c>
      <c r="AU14">
        <v>-0.68946797481109356</v>
      </c>
      <c r="AV14">
        <v>-0.70147010377105723</v>
      </c>
      <c r="AW14">
        <v>-0.71280323742365037</v>
      </c>
      <c r="AX14">
        <v>-0.72351509755119525</v>
      </c>
      <c r="AY14">
        <v>-0.73364933467587667</v>
      </c>
      <c r="AZ14">
        <v>-0.74324592463193628</v>
      </c>
      <c r="BA14">
        <v>-0.75234152267297483</v>
      </c>
      <c r="BB14">
        <v>-0.76096977992244696</v>
      </c>
      <c r="BC14">
        <v>-0.76916162643025188</v>
      </c>
      <c r="BD14">
        <v>-0.7769455246084207</v>
      </c>
      <c r="BE14">
        <v>-0.78434769638110624</v>
      </c>
      <c r="BF14">
        <v>-0.79139232699429685</v>
      </c>
      <c r="BG14">
        <v>-0.79810174808624779</v>
      </c>
      <c r="BH14">
        <v>-0.80449660231445885</v>
      </c>
      <c r="BI14">
        <v>-0.8105959915664398</v>
      </c>
      <c r="BJ14">
        <v>-0.81641761054456263</v>
      </c>
      <c r="BK14">
        <v>-0.82197786730751199</v>
      </c>
      <c r="BL14">
        <v>-0.82729199216693883</v>
      </c>
      <c r="BM14">
        <v>-0.83237413617744793</v>
      </c>
      <c r="BN14">
        <v>-0.83723746031607127</v>
      </c>
      <c r="BO14">
        <v>-0.84189421632285377</v>
      </c>
      <c r="BP14">
        <v>-0.84635582006448318</v>
      </c>
      <c r="BQ14">
        <v>-0.8506329181864154</v>
      </c>
      <c r="BR14">
        <v>-0.85473544873393859</v>
      </c>
      <c r="BS14">
        <v>-0.85867269634748378</v>
      </c>
      <c r="BT14">
        <v>-0.86245334257144779</v>
      </c>
      <c r="BU14">
        <v>-0.86608551175744863</v>
      </c>
      <c r="BV14">
        <v>-0.86957681299113587</v>
      </c>
      <c r="BW14">
        <v>-0.87293437842596522</v>
      </c>
      <c r="BX14">
        <v>-0.87616489836719025</v>
      </c>
      <c r="BY14">
        <v>-0.87927465341318756</v>
      </c>
      <c r="BZ14">
        <v>-0.88226954392945656</v>
      </c>
      <c r="CA14">
        <v>-0.88515511710238148</v>
      </c>
      <c r="CB14">
        <v>-0.88793659179497997</v>
      </c>
      <c r="CC14">
        <v>-0.89061888140390799</v>
      </c>
      <c r="CD14">
        <v>-0.89320661489784925</v>
      </c>
      <c r="CE14">
        <v>-0.89570415619879773</v>
      </c>
      <c r="CF14">
        <v>-0.89811562205273676</v>
      </c>
      <c r="CG14">
        <v>-0.90044489852119369</v>
      </c>
      <c r="CH14">
        <v>-0.9026956562132411</v>
      </c>
      <c r="CI14">
        <v>-0.90487136436557336</v>
      </c>
      <c r="CJ14">
        <v>-0.90697530386845215</v>
      </c>
      <c r="CK14">
        <v>-0.90901057932598173</v>
      </c>
      <c r="CL14">
        <v>-0.91098013023103286</v>
      </c>
      <c r="CM14">
        <v>-0.91288674132794811</v>
      </c>
      <c r="CN14">
        <v>-0.91473305222911372</v>
      </c>
      <c r="CO14">
        <v>-0.91652156634575654</v>
      </c>
      <c r="CP14">
        <v>-0.91825465918816418</v>
      </c>
      <c r="CQ14">
        <v>-0.91993458608504619</v>
      </c>
      <c r="CR14">
        <v>-0.92156348936793742</v>
      </c>
      <c r="CS14">
        <v>-0.92314340506234049</v>
      </c>
      <c r="CT14">
        <v>-0.92467626912354306</v>
      </c>
      <c r="CU14">
        <v>-0.92616392325222641</v>
      </c>
      <c r="CV14">
        <v>-0.92760812032144102</v>
      </c>
    </row>
    <row r="15" spans="1:100" x14ac:dyDescent="0.25">
      <c r="M15">
        <v>1</v>
      </c>
      <c r="N15">
        <v>0.96524592650384</v>
      </c>
      <c r="O15">
        <v>0.89920053309347692</v>
      </c>
      <c r="P15">
        <v>0.81569625122176848</v>
      </c>
      <c r="Q15">
        <v>0.72367932928324752</v>
      </c>
      <c r="R15">
        <v>0.62890813726522654</v>
      </c>
      <c r="S15">
        <v>0.53499286403188595</v>
      </c>
      <c r="T15">
        <v>0.44411578327900447</v>
      </c>
      <c r="U15">
        <v>0.35752071013891362</v>
      </c>
      <c r="V15">
        <v>0.27584154894578872</v>
      </c>
      <c r="W15">
        <v>0.19932125339083501</v>
      </c>
      <c r="X15">
        <v>0.1279570594831097</v>
      </c>
      <c r="Y15">
        <v>6.1596411781915231E-2</v>
      </c>
      <c r="Z15">
        <v>-6.7336820199344818E-15</v>
      </c>
      <c r="AA15">
        <v>-5.7117121693516751E-2</v>
      </c>
      <c r="AB15">
        <v>-0.1100590133955881</v>
      </c>
      <c r="AC15">
        <v>-0.15913204262585201</v>
      </c>
      <c r="AD15">
        <v>-0.20463452924752301</v>
      </c>
      <c r="AE15">
        <v>-0.24685065885020421</v>
      </c>
      <c r="AF15">
        <v>-0.28604720148767332</v>
      </c>
      <c r="AG15">
        <v>-0.3224720545114857</v>
      </c>
      <c r="AH15">
        <v>-0.3563539515654589</v>
      </c>
      <c r="AI15">
        <v>-0.38790289736602901</v>
      </c>
      <c r="AJ15">
        <v>-0.41731103463382629</v>
      </c>
      <c r="AK15">
        <v>-0.44475374868283829</v>
      </c>
      <c r="AL15">
        <v>-0.47039088220905367</v>
      </c>
      <c r="AM15">
        <v>-0.4943679781252609</v>
      </c>
      <c r="AN15">
        <v>-0.51681749884713257</v>
      </c>
      <c r="AO15">
        <v>-0.53785999096259529</v>
      </c>
      <c r="AP15">
        <v>-0.55760517791055408</v>
      </c>
      <c r="AQ15">
        <v>-0.57615297233386453</v>
      </c>
      <c r="AR15">
        <v>-0.59359440563963117</v>
      </c>
      <c r="AS15">
        <v>-0.61001247601549524</v>
      </c>
      <c r="AT15">
        <v>-0.62548291840984782</v>
      </c>
      <c r="AU15">
        <v>-0.64007490126595634</v>
      </c>
      <c r="AV15">
        <v>-0.65385165543221202</v>
      </c>
      <c r="AW15">
        <v>-0.66687104087904681</v>
      </c>
      <c r="AX15">
        <v>-0.67918605679051425</v>
      </c>
      <c r="AY15">
        <v>-0.69084530037006542</v>
      </c>
      <c r="AZ15">
        <v>-0.70189337937620222</v>
      </c>
      <c r="BA15">
        <v>-0.71237128303148856</v>
      </c>
      <c r="BB15">
        <v>-0.72231671555962129</v>
      </c>
      <c r="BC15">
        <v>-0.73176439621792044</v>
      </c>
      <c r="BD15">
        <v>-0.74074632932215279</v>
      </c>
      <c r="BE15">
        <v>-0.74929204741019961</v>
      </c>
      <c r="BF15">
        <v>-0.75742883036859809</v>
      </c>
      <c r="BG15">
        <v>-0.76518190304898659</v>
      </c>
      <c r="BH15">
        <v>-0.77257461363321234</v>
      </c>
      <c r="BI15">
        <v>-0.77962859476244217</v>
      </c>
      <c r="BJ15">
        <v>-0.78636390922805433</v>
      </c>
      <c r="BK15">
        <v>-0.79279918182620901</v>
      </c>
      <c r="BL15">
        <v>-0.79895171880436378</v>
      </c>
      <c r="BM15">
        <v>-0.80483761617193417</v>
      </c>
      <c r="BN15">
        <v>-0.81047185800940513</v>
      </c>
      <c r="BO15">
        <v>-0.81586840578732522</v>
      </c>
      <c r="BP15">
        <v>-0.821040279597131</v>
      </c>
      <c r="BQ15">
        <v>-0.825999632099085</v>
      </c>
      <c r="BR15">
        <v>-0.83075781590632836</v>
      </c>
      <c r="BS15">
        <v>-0.83532544504756467</v>
      </c>
      <c r="BT15">
        <v>-0.83971245108322301</v>
      </c>
      <c r="BU15">
        <v>-0.84392813438932357</v>
      </c>
      <c r="BV15">
        <v>-0.84798121106979152</v>
      </c>
      <c r="BW15">
        <v>-0.85187985591036763</v>
      </c>
      <c r="BX15">
        <v>-0.85563174174463474</v>
      </c>
      <c r="BY15">
        <v>-0.85924407556516547</v>
      </c>
      <c r="BZ15">
        <v>-0.86272363167871935</v>
      </c>
      <c r="CA15">
        <v>-0.86607678217505302</v>
      </c>
      <c r="CB15">
        <v>-0.86930952495135594</v>
      </c>
      <c r="CC15">
        <v>-0.87242750951111803</v>
      </c>
      <c r="CD15">
        <v>-0.87543606073433677</v>
      </c>
      <c r="CE15">
        <v>-0.87834020079707398</v>
      </c>
      <c r="CF15">
        <v>-0.88114466940141911</v>
      </c>
      <c r="CG15">
        <v>-0.88385394246107141</v>
      </c>
      <c r="CH15">
        <v>-0.88647224937456326</v>
      </c>
      <c r="CI15">
        <v>-0.88900358900534937</v>
      </c>
      <c r="CJ15">
        <v>-0.89145174447726094</v>
      </c>
      <c r="CK15">
        <v>-0.89382029688338682</v>
      </c>
      <c r="CL15">
        <v>-0.89611263799808671</v>
      </c>
      <c r="CM15">
        <v>-0.89833198207297937</v>
      </c>
      <c r="CN15">
        <v>-0.90048137679123674</v>
      </c>
      <c r="CO15">
        <v>-0.90256371344727637</v>
      </c>
      <c r="CP15">
        <v>-0.90458173641349893</v>
      </c>
      <c r="CQ15">
        <v>-0.90653805194988479</v>
      </c>
      <c r="CR15">
        <v>-0.90843513640792461</v>
      </c>
      <c r="CS15">
        <v>-0.91027534387537434</v>
      </c>
      <c r="CT15">
        <v>-0.91206091330482475</v>
      </c>
      <c r="CU15">
        <v>-0.9137939751652373</v>
      </c>
      <c r="CV15">
        <v>-0.9154765576522208</v>
      </c>
    </row>
    <row r="16" spans="1:100" x14ac:dyDescent="0.25">
      <c r="N16">
        <v>1</v>
      </c>
      <c r="O16">
        <v>0.96956804627021498</v>
      </c>
      <c r="P16">
        <v>0.91087999591557101</v>
      </c>
      <c r="Q16">
        <v>0.83559353521809576</v>
      </c>
      <c r="R16">
        <v>0.75149420255261212</v>
      </c>
      <c r="S16">
        <v>0.66377640229030943</v>
      </c>
      <c r="T16">
        <v>0.57583196026183492</v>
      </c>
      <c r="U16">
        <v>0.4898148751898973</v>
      </c>
      <c r="V16">
        <v>0.40703793791447801</v>
      </c>
      <c r="W16">
        <v>0.32824761337551778</v>
      </c>
      <c r="X16">
        <v>0.25381306416887128</v>
      </c>
      <c r="Y16">
        <v>0.18385549527005099</v>
      </c>
      <c r="Z16">
        <v>0.1183363338985205</v>
      </c>
      <c r="AA16">
        <v>5.7117121693516751E-2</v>
      </c>
      <c r="AB16">
        <v>-6.2617902908680447E-15</v>
      </c>
      <c r="AC16">
        <v>-5.3245110485484283E-2</v>
      </c>
      <c r="AD16">
        <v>-0.10286244876068509</v>
      </c>
      <c r="AE16">
        <v>-0.1490985968136456</v>
      </c>
      <c r="AF16">
        <v>-0.19219493146748251</v>
      </c>
      <c r="AG16">
        <v>-0.23238298486911901</v>
      </c>
      <c r="AH16">
        <v>-0.26988177638172411</v>
      </c>
      <c r="AI16">
        <v>-0.30489646941706339</v>
      </c>
      <c r="AJ16">
        <v>-0.33761790729576041</v>
      </c>
      <c r="AK16">
        <v>-0.36822272088804292</v>
      </c>
      <c r="AL16">
        <v>-0.3968737968734195</v>
      </c>
      <c r="AM16">
        <v>-0.42372096215555038</v>
      </c>
      <c r="AN16">
        <v>-0.44890178631483402</v>
      </c>
      <c r="AO16">
        <v>-0.47254243619484371</v>
      </c>
      <c r="AP16">
        <v>-0.49475853908846301</v>
      </c>
      <c r="AQ16">
        <v>-0.51565602648911413</v>
      </c>
      <c r="AR16">
        <v>-0.53533194106868842</v>
      </c>
      <c r="AS16">
        <v>-0.55387519687695874</v>
      </c>
      <c r="AT16">
        <v>-0.5713672877371313</v>
      </c>
      <c r="AU16">
        <v>-0.58788294214547998</v>
      </c>
      <c r="AV16">
        <v>-0.6034907251667706</v>
      </c>
      <c r="AW16">
        <v>-0.61825358920153362</v>
      </c>
      <c r="AX16">
        <v>-0.63222937633338772</v>
      </c>
      <c r="AY16">
        <v>-0.64547127541689098</v>
      </c>
      <c r="AZ16">
        <v>-0.65802823726283943</v>
      </c>
      <c r="BA16">
        <v>-0.66994535130365229</v>
      </c>
      <c r="BB16">
        <v>-0.68126418703655323</v>
      </c>
      <c r="BC16">
        <v>-0.6920231033890516</v>
      </c>
      <c r="BD16">
        <v>-0.70225752895938021</v>
      </c>
      <c r="BE16">
        <v>-0.71200021587168272</v>
      </c>
      <c r="BF16">
        <v>-0.72128146976861718</v>
      </c>
      <c r="BG16">
        <v>-0.73012935824793868</v>
      </c>
      <c r="BH16">
        <v>-0.73856989984276722</v>
      </c>
      <c r="BI16">
        <v>-0.74662723544948073</v>
      </c>
      <c r="BJ16">
        <v>-0.75432378392514643</v>
      </c>
      <c r="BK16">
        <v>-0.76168038340812561</v>
      </c>
      <c r="BL16">
        <v>-0.76871641976162186</v>
      </c>
      <c r="BM16">
        <v>-0.77544994340010587</v>
      </c>
      <c r="BN16">
        <v>-0.78189777563100704</v>
      </c>
      <c r="BO16">
        <v>-0.78807560553009759</v>
      </c>
      <c r="BP16">
        <v>-0.79399807826498359</v>
      </c>
      <c r="BQ16">
        <v>-0.79967887568864371</v>
      </c>
      <c r="BR16">
        <v>-0.80513078994110598</v>
      </c>
      <c r="BS16">
        <v>-0.81036579072305148</v>
      </c>
      <c r="BT16">
        <v>-0.8153950868374078</v>
      </c>
      <c r="BU16">
        <v>-0.82022918253553012</v>
      </c>
      <c r="BV16">
        <v>-0.82487792915037594</v>
      </c>
      <c r="BW16">
        <v>-0.82935057245099686</v>
      </c>
      <c r="BX16">
        <v>-0.83365579610973306</v>
      </c>
      <c r="BY16">
        <v>-0.83780176163451436</v>
      </c>
      <c r="BZ16">
        <v>-0.84179614508449463</v>
      </c>
      <c r="CA16">
        <v>-0.84564617085577831</v>
      </c>
      <c r="CB16">
        <v>-0.84935864279676143</v>
      </c>
      <c r="CC16">
        <v>-0.85293997288697287</v>
      </c>
      <c r="CD16">
        <v>-0.85639620769176439</v>
      </c>
      <c r="CE16">
        <v>-0.85973305278429113</v>
      </c>
      <c r="CF16">
        <v>-0.86295589530872541</v>
      </c>
      <c r="CG16">
        <v>-0.86606982484239214</v>
      </c>
      <c r="CH16">
        <v>-0.86907965269938114</v>
      </c>
      <c r="CI16">
        <v>-0.87198992980581735</v>
      </c>
      <c r="CJ16">
        <v>-0.87480496326464308</v>
      </c>
      <c r="CK16">
        <v>-0.87752883171697638</v>
      </c>
      <c r="CL16">
        <v>-0.88016539959800477</v>
      </c>
      <c r="CM16">
        <v>-0.88271833037620273</v>
      </c>
      <c r="CN16">
        <v>-0.88519109885692993</v>
      </c>
      <c r="CO16">
        <v>-0.88758700262445278</v>
      </c>
      <c r="CP16">
        <v>-0.88990917268996905</v>
      </c>
      <c r="CQ16">
        <v>-0.89216058340720805</v>
      </c>
      <c r="CR16">
        <v>-0.89434406171221181</v>
      </c>
      <c r="CS16">
        <v>-0.89646229573876846</v>
      </c>
      <c r="CT16">
        <v>-0.89851784285698511</v>
      </c>
      <c r="CU16">
        <v>-0.9005131371781534</v>
      </c>
      <c r="CV16">
        <v>-0.90245049656575071</v>
      </c>
    </row>
    <row r="17" spans="15:100" x14ac:dyDescent="0.25">
      <c r="O17">
        <v>1</v>
      </c>
      <c r="P17">
        <v>0.9731321766314176</v>
      </c>
      <c r="Q17">
        <v>0.92064918534752649</v>
      </c>
      <c r="R17">
        <v>0.85246057779664874</v>
      </c>
      <c r="S17">
        <v>0.77536826095205291</v>
      </c>
      <c r="T17">
        <v>0.6940510260622228</v>
      </c>
      <c r="U17">
        <v>0.61166943828425901</v>
      </c>
      <c r="V17">
        <v>0.53031177113683792</v>
      </c>
      <c r="W17">
        <v>0.45131637321432688</v>
      </c>
      <c r="X17">
        <v>0.37550145785922118</v>
      </c>
      <c r="Y17">
        <v>0.30332751285925452</v>
      </c>
      <c r="Z17">
        <v>0.23501148310291911</v>
      </c>
      <c r="AA17">
        <v>0.17060675530800451</v>
      </c>
      <c r="AB17">
        <v>0.1100590133955882</v>
      </c>
      <c r="AC17">
        <v>5.3245110485484283E-2</v>
      </c>
      <c r="AD17">
        <v>-5.8516710118189741E-15</v>
      </c>
      <c r="AE17">
        <v>-4.9864725046591632E-2</v>
      </c>
      <c r="AF17">
        <v>-9.654818817611116E-2</v>
      </c>
      <c r="AG17">
        <v>-0.1402517241761925</v>
      </c>
      <c r="AH17">
        <v>-0.18117327476559869</v>
      </c>
      <c r="AI17">
        <v>-0.21950381216926451</v>
      </c>
      <c r="AJ17">
        <v>-0.25542517408079513</v>
      </c>
      <c r="AK17">
        <v>-0.28910887428658327</v>
      </c>
      <c r="AL17">
        <v>-0.32071558094263491</v>
      </c>
      <c r="AM17">
        <v>-0.35039504491418461</v>
      </c>
      <c r="AN17">
        <v>-0.37828632473109058</v>
      </c>
      <c r="AO17">
        <v>-0.40451820029152857</v>
      </c>
      <c r="AP17">
        <v>-0.42920969987409863</v>
      </c>
      <c r="AQ17">
        <v>-0.45247068810283853</v>
      </c>
      <c r="AR17">
        <v>-0.47440247894090021</v>
      </c>
      <c r="AS17">
        <v>-0.49509844946839648</v>
      </c>
      <c r="AT17">
        <v>-0.51464463848540887</v>
      </c>
      <c r="AU17">
        <v>-0.53312031983277852</v>
      </c>
      <c r="AV17">
        <v>-0.55059854443323419</v>
      </c>
      <c r="AW17">
        <v>-0.56714664791567415</v>
      </c>
      <c r="AX17">
        <v>-0.58282672265148228</v>
      </c>
      <c r="AY17">
        <v>-0.59769605435825657</v>
      </c>
      <c r="AZ17">
        <v>-0.6118075242972969</v>
      </c>
      <c r="BA17">
        <v>-0.62520997863920991</v>
      </c>
      <c r="BB17">
        <v>-0.63794856689183232</v>
      </c>
      <c r="BC17">
        <v>-0.65006505144654536</v>
      </c>
      <c r="BD17">
        <v>-0.66159809035127903</v>
      </c>
      <c r="BE17">
        <v>-0.67258349539710394</v>
      </c>
      <c r="BF17">
        <v>-0.68305446753644472</v>
      </c>
      <c r="BG17">
        <v>-0.69304181155131683</v>
      </c>
      <c r="BH17">
        <v>-0.70257413177373196</v>
      </c>
      <c r="BI17">
        <v>-0.71167801053557</v>
      </c>
      <c r="BJ17">
        <v>-0.72037817089838474</v>
      </c>
      <c r="BK17">
        <v>-0.72869762508883462</v>
      </c>
      <c r="BL17">
        <v>-0.73665780994495145</v>
      </c>
      <c r="BM17">
        <v>-0.74427871056473771</v>
      </c>
      <c r="BN17">
        <v>-0.7515789732419127</v>
      </c>
      <c r="BO17">
        <v>-0.75857600867447172</v>
      </c>
      <c r="BP17">
        <v>-0.76528608634062145</v>
      </c>
      <c r="BQ17">
        <v>-0.77172442085273119</v>
      </c>
      <c r="BR17">
        <v>-0.77790525102375807</v>
      </c>
      <c r="BS17">
        <v>-0.78384191231068723</v>
      </c>
      <c r="BT17">
        <v>-0.78954690323657073</v>
      </c>
      <c r="BU17">
        <v>-0.79503194633541541</v>
      </c>
      <c r="BV17">
        <v>-0.80030804411209333</v>
      </c>
      <c r="BW17">
        <v>-0.80538553046305483</v>
      </c>
      <c r="BX17">
        <v>-0.81027411796074778</v>
      </c>
      <c r="BY17">
        <v>-0.81498294136704086</v>
      </c>
      <c r="BZ17">
        <v>-0.81952059770590957</v>
      </c>
      <c r="CA17">
        <v>-0.82389518319510624</v>
      </c>
      <c r="CB17">
        <v>-0.82811432730805645</v>
      </c>
      <c r="CC17">
        <v>-0.83218522421225627</v>
      </c>
      <c r="CD17">
        <v>-0.83611466180748684</v>
      </c>
      <c r="CE17">
        <v>-0.83990904856665405</v>
      </c>
      <c r="CF17">
        <v>-0.84357443836340362</v>
      </c>
      <c r="CG17">
        <v>-0.84711655345402992</v>
      </c>
      <c r="CH17">
        <v>-0.85054080576603353</v>
      </c>
      <c r="CI17">
        <v>-0.85385231663181516</v>
      </c>
      <c r="CJ17">
        <v>-0.85705593509383482</v>
      </c>
      <c r="CK17">
        <v>-0.86015625489652447</v>
      </c>
      <c r="CL17">
        <v>-0.8631576302694659</v>
      </c>
      <c r="CM17">
        <v>-0.86606419059802664</v>
      </c>
      <c r="CN17">
        <v>-0.86887985406882062</v>
      </c>
      <c r="CO17">
        <v>-0.87160834036969592</v>
      </c>
      <c r="CP17">
        <v>-0.87425318251782502</v>
      </c>
      <c r="CQ17">
        <v>-0.87681773788235717</v>
      </c>
      <c r="CR17">
        <v>-0.87930519846320765</v>
      </c>
      <c r="CS17">
        <v>-0.88171860048200035</v>
      </c>
      <c r="CT17">
        <v>-0.88406083333672114</v>
      </c>
      <c r="CU17">
        <v>-0.886334647967294</v>
      </c>
      <c r="CV17">
        <v>-0.88854266467553955</v>
      </c>
    </row>
    <row r="18" spans="15:100" x14ac:dyDescent="0.25">
      <c r="P18">
        <v>1</v>
      </c>
      <c r="Q18">
        <v>0.97610555741219196</v>
      </c>
      <c r="R18">
        <v>0.92890152815258964</v>
      </c>
      <c r="S18">
        <v>0.86687797808995848</v>
      </c>
      <c r="T18">
        <v>0.79600192607771536</v>
      </c>
      <c r="U18">
        <v>0.7204872399611979</v>
      </c>
      <c r="V18">
        <v>0.64326364446013773</v>
      </c>
      <c r="W18">
        <v>0.56633135797929701</v>
      </c>
      <c r="X18">
        <v>0.4910241148188752</v>
      </c>
      <c r="Y18">
        <v>0.41820138706624849</v>
      </c>
      <c r="Z18">
        <v>0.34838758198902259</v>
      </c>
      <c r="AA18">
        <v>0.28187226662160542</v>
      </c>
      <c r="AB18">
        <v>0.2187820582842587</v>
      </c>
      <c r="AC18">
        <v>0.15913204262585201</v>
      </c>
      <c r="AD18">
        <v>0.10286244876068509</v>
      </c>
      <c r="AE18">
        <v>4.9864725046591632E-2</v>
      </c>
      <c r="AF18">
        <v>-5.4919457497519873E-15</v>
      </c>
      <c r="AG18">
        <v>-4.6887925712974392E-2</v>
      </c>
      <c r="AH18">
        <v>-9.0963513696703857E-2</v>
      </c>
      <c r="AI18">
        <v>-0.13239323930265209</v>
      </c>
      <c r="AJ18">
        <v>-0.17134136155372351</v>
      </c>
      <c r="AK18">
        <v>-0.2079671359669685</v>
      </c>
      <c r="AL18">
        <v>-0.24242305505355449</v>
      </c>
      <c r="AM18">
        <v>-0.2748538167143324</v>
      </c>
      <c r="AN18">
        <v>-0.30539580402945332</v>
      </c>
      <c r="AO18">
        <v>-0.33417692013945671</v>
      </c>
      <c r="AP18">
        <v>-0.36131666550730762</v>
      </c>
      <c r="AQ18">
        <v>-0.38692637647100742</v>
      </c>
      <c r="AR18">
        <v>-0.4111095669597491</v>
      </c>
      <c r="AS18">
        <v>-0.43396233193629219</v>
      </c>
      <c r="AT18">
        <v>-0.4555737832627505</v>
      </c>
      <c r="AU18">
        <v>-0.47602649750285619</v>
      </c>
      <c r="AV18">
        <v>-0.49539696157274732</v>
      </c>
      <c r="AW18">
        <v>-0.513756006783054</v>
      </c>
      <c r="AX18">
        <v>-0.53116922515504839</v>
      </c>
      <c r="AY18">
        <v>-0.54769736428887961</v>
      </c>
      <c r="AZ18">
        <v>-0.56339669876501064</v>
      </c>
      <c r="BA18">
        <v>-0.57831937725886651</v>
      </c>
      <c r="BB18">
        <v>-0.59251374537831314</v>
      </c>
      <c r="BC18">
        <v>-0.60602464479431983</v>
      </c>
      <c r="BD18">
        <v>-0.61889368960244262</v>
      </c>
      <c r="BE18">
        <v>-0.63115952107840589</v>
      </c>
      <c r="BF18">
        <v>-0.64285804211744968</v>
      </c>
      <c r="BG18">
        <v>-0.6540226327020795</v>
      </c>
      <c r="BH18">
        <v>-0.66468434774783436</v>
      </c>
      <c r="BI18">
        <v>-0.67487209864979525</v>
      </c>
      <c r="BJ18">
        <v>-0.68461281980100941</v>
      </c>
      <c r="BK18">
        <v>-0.69393162129070751</v>
      </c>
      <c r="BL18">
        <v>-0.70285192891794057</v>
      </c>
      <c r="BM18">
        <v>-0.71139561258059347</v>
      </c>
      <c r="BN18">
        <v>-0.71958310402342818</v>
      </c>
      <c r="BO18">
        <v>-0.72743350485382163</v>
      </c>
      <c r="BP18">
        <v>-0.73496468566173312</v>
      </c>
      <c r="BQ18">
        <v>-0.74219337701180632</v>
      </c>
      <c r="BR18">
        <v>-0.74913525301062101</v>
      </c>
      <c r="BS18">
        <v>-0.7558050080923161</v>
      </c>
      <c r="BT18">
        <v>-0.7622164276096588</v>
      </c>
      <c r="BU18">
        <v>-0.76838245276584227</v>
      </c>
      <c r="BV18">
        <v>-0.77431524037541744</v>
      </c>
      <c r="BW18">
        <v>-0.78002621789872084</v>
      </c>
      <c r="BX18">
        <v>-0.78552613415475436</v>
      </c>
      <c r="BY18">
        <v>-0.79082510608116641</v>
      </c>
      <c r="BZ18">
        <v>-0.79593266187675105</v>
      </c>
      <c r="CA18">
        <v>-0.80085778083200942</v>
      </c>
      <c r="CB18">
        <v>-0.80560893012584367</v>
      </c>
      <c r="CC18">
        <v>-0.81019409884172999</v>
      </c>
      <c r="CD18">
        <v>-0.81462082943390146</v>
      </c>
      <c r="CE18">
        <v>-0.81889624685395557</v>
      </c>
      <c r="CF18">
        <v>-0.82302708552926584</v>
      </c>
      <c r="CG18">
        <v>-0.82701971436816646</v>
      </c>
      <c r="CH18">
        <v>-0.83088015995106779</v>
      </c>
      <c r="CI18">
        <v>-0.83461412805316371</v>
      </c>
      <c r="CJ18">
        <v>-0.83822702363168333</v>
      </c>
      <c r="CK18">
        <v>-0.8417239693987062</v>
      </c>
      <c r="CL18">
        <v>-0.8451098230909877</v>
      </c>
      <c r="CM18">
        <v>-0.84838919353807363</v>
      </c>
      <c r="CN18">
        <v>-0.85156645562155098</v>
      </c>
      <c r="CO18">
        <v>-0.85464576421071992</v>
      </c>
      <c r="CP18">
        <v>-0.85763106715248671</v>
      </c>
      <c r="CQ18">
        <v>-0.86052611738703899</v>
      </c>
      <c r="CR18">
        <v>-0.86333448425479509</v>
      </c>
      <c r="CS18">
        <v>-0.86605956405500328</v>
      </c>
      <c r="CT18">
        <v>-0.86870458991095201</v>
      </c>
      <c r="CU18">
        <v>-0.87127264099303781</v>
      </c>
      <c r="CV18">
        <v>-0.87376665114599184</v>
      </c>
    </row>
    <row r="19" spans="15:100" x14ac:dyDescent="0.25">
      <c r="Q19">
        <v>1</v>
      </c>
      <c r="R19">
        <v>0.97861176622207646</v>
      </c>
      <c r="S19">
        <v>0.93593449881266655</v>
      </c>
      <c r="T19">
        <v>0.87929475532358559</v>
      </c>
      <c r="U19">
        <v>0.81394892761191728</v>
      </c>
      <c r="V19">
        <v>0.74369504117206553</v>
      </c>
      <c r="W19">
        <v>0.67124010526413247</v>
      </c>
      <c r="X19">
        <v>0.59848414727999044</v>
      </c>
      <c r="Y19">
        <v>0.52673574202987772</v>
      </c>
      <c r="Z19">
        <v>0.45687307561408658</v>
      </c>
      <c r="AA19">
        <v>0.38946313757636508</v>
      </c>
      <c r="AB19">
        <v>0.32484938284190551</v>
      </c>
      <c r="AC19">
        <v>0.26321594371957341</v>
      </c>
      <c r="AD19">
        <v>0.20463452924752301</v>
      </c>
      <c r="AE19">
        <v>0.1490985968136456</v>
      </c>
      <c r="AF19">
        <v>9.654818817611116E-2</v>
      </c>
      <c r="AG19">
        <v>4.6887925712974392E-2</v>
      </c>
      <c r="AH19">
        <v>-5.1738677431220119E-15</v>
      </c>
      <c r="AI19">
        <v>-4.4246509451454669E-2</v>
      </c>
      <c r="AJ19">
        <v>-8.5988997104456455E-2</v>
      </c>
      <c r="AK19">
        <v>-0.12536665715777359</v>
      </c>
      <c r="AL19">
        <v>-0.16251724326221961</v>
      </c>
      <c r="AM19">
        <v>-0.19757487371891849</v>
      </c>
      <c r="AN19">
        <v>-0.23066859655953861</v>
      </c>
      <c r="AO19">
        <v>-0.26192150439014672</v>
      </c>
      <c r="AP19">
        <v>-0.29145024435634959</v>
      </c>
      <c r="AQ19">
        <v>-0.31936480943336237</v>
      </c>
      <c r="AR19">
        <v>-0.34576852736866781</v>
      </c>
      <c r="AS19">
        <v>-0.37075818585393888</v>
      </c>
      <c r="AT19">
        <v>-0.39442424895810052</v>
      </c>
      <c r="AU19">
        <v>-0.41685113203270863</v>
      </c>
      <c r="AV19">
        <v>-0.4381175113207359</v>
      </c>
      <c r="AW19">
        <v>-0.45829665117929641</v>
      </c>
      <c r="AX19">
        <v>-0.47745673676935302</v>
      </c>
      <c r="AY19">
        <v>-0.49566120371805422</v>
      </c>
      <c r="AZ19">
        <v>-0.51296905895113887</v>
      </c>
      <c r="BA19">
        <v>-0.52943518886972207</v>
      </c>
      <c r="BB19">
        <v>-0.54511065249044766</v>
      </c>
      <c r="BC19">
        <v>-0.56004295821512828</v>
      </c>
      <c r="BD19">
        <v>-0.57427632364823067</v>
      </c>
      <c r="BE19">
        <v>-0.58785191841291029</v>
      </c>
      <c r="BF19">
        <v>-0.60080809028599047</v>
      </c>
      <c r="BG19">
        <v>-0.61318057522149116</v>
      </c>
      <c r="BH19">
        <v>-0.62500269199291003</v>
      </c>
      <c r="BI19">
        <v>-0.63630552228040527</v>
      </c>
      <c r="BJ19">
        <v>-0.64711807707821256</v>
      </c>
      <c r="BK19">
        <v>-0.65746745031297826</v>
      </c>
      <c r="BL19">
        <v>-0.6673789605555891</v>
      </c>
      <c r="BM19">
        <v>-0.67687628168501202</v>
      </c>
      <c r="BN19">
        <v>-0.68598156332729809</v>
      </c>
      <c r="BO19">
        <v>-0.69471554185132711</v>
      </c>
      <c r="BP19">
        <v>-0.70309764265744412</v>
      </c>
      <c r="BQ19">
        <v>-0.71114607444768907</v>
      </c>
      <c r="BR19">
        <v>-0.71887791611951535</v>
      </c>
      <c r="BS19">
        <v>-0.72630919687778461</v>
      </c>
      <c r="BT19">
        <v>-0.73345497011597893</v>
      </c>
      <c r="BU19">
        <v>-0.74032938157410733</v>
      </c>
      <c r="BV19">
        <v>-0.74694573224125471</v>
      </c>
      <c r="BW19">
        <v>-0.75331653643221252</v>
      </c>
      <c r="BX19">
        <v>-0.75945357543307312</v>
      </c>
      <c r="BY19">
        <v>-0.76536794707778033</v>
      </c>
      <c r="BZ19">
        <v>-0.77107011158715411</v>
      </c>
      <c r="CA19">
        <v>-0.77656993397442309</v>
      </c>
      <c r="CB19">
        <v>-0.7818767232955921</v>
      </c>
      <c r="CC19">
        <v>-0.78699926899927064</v>
      </c>
      <c r="CD19">
        <v>-0.79194587460908794</v>
      </c>
      <c r="CE19">
        <v>-0.79672438895233877</v>
      </c>
      <c r="CF19">
        <v>-0.80134223512994596</v>
      </c>
      <c r="CG19">
        <v>-0.80580643740674784</v>
      </c>
      <c r="CH19">
        <v>-0.81012364618587662</v>
      </c>
      <c r="CI19">
        <v>-0.81430016121715165</v>
      </c>
      <c r="CJ19">
        <v>-0.81834195317679992</v>
      </c>
      <c r="CK19">
        <v>-0.82225468374468358</v>
      </c>
      <c r="CL19">
        <v>-0.82604372429429995</v>
      </c>
      <c r="CM19">
        <v>-0.82971417330135178</v>
      </c>
      <c r="CN19">
        <v>-0.83327087256836485</v>
      </c>
      <c r="CO19">
        <v>-0.83671842235417804</v>
      </c>
      <c r="CP19">
        <v>-0.84006119549036784</v>
      </c>
      <c r="CQ19">
        <v>-0.84330335055998096</v>
      </c>
      <c r="CR19">
        <v>-0.84644884420745192</v>
      </c>
      <c r="CS19">
        <v>-0.84950144264362382</v>
      </c>
      <c r="CT19">
        <v>-0.85246473240425624</v>
      </c>
      <c r="CU19">
        <v>-0.85534213041599438</v>
      </c>
      <c r="CV19">
        <v>-0.85813689341932631</v>
      </c>
    </row>
    <row r="20" spans="15:100" x14ac:dyDescent="0.25">
      <c r="R20">
        <v>1</v>
      </c>
      <c r="S20">
        <v>0.98074370489391982</v>
      </c>
      <c r="T20">
        <v>0.94197629695973972</v>
      </c>
      <c r="U20">
        <v>0.89006229019091077</v>
      </c>
      <c r="V20">
        <v>0.82965109665128534</v>
      </c>
      <c r="W20">
        <v>0.7641704824204929</v>
      </c>
      <c r="X20">
        <v>0.69611704881513281</v>
      </c>
      <c r="Y20">
        <v>0.62728529949231715</v>
      </c>
      <c r="Z20">
        <v>0.55894506094255569</v>
      </c>
      <c r="AA20">
        <v>0.49197675393157908</v>
      </c>
      <c r="AB20">
        <v>0.42697347171349581</v>
      </c>
      <c r="AC20">
        <v>0.36431750042244709</v>
      </c>
      <c r="AD20">
        <v>0.30423743127286801</v>
      </c>
      <c r="AE20">
        <v>0.24685065885020421</v>
      </c>
      <c r="AF20">
        <v>0.19219493146748251</v>
      </c>
      <c r="AG20">
        <v>0.1402517241761925</v>
      </c>
      <c r="AH20">
        <v>9.0963513696703857E-2</v>
      </c>
      <c r="AI20">
        <v>4.4246509451454669E-2</v>
      </c>
      <c r="AJ20">
        <v>-9.7812058979135585E-15</v>
      </c>
      <c r="AK20">
        <v>-4.1886821065351167E-2</v>
      </c>
      <c r="AL20">
        <v>-8.1529905737319663E-2</v>
      </c>
      <c r="AM20">
        <v>-0.1190467984449695</v>
      </c>
      <c r="AN20">
        <v>-0.15455412068383251</v>
      </c>
      <c r="AO20">
        <v>-0.18816582565415529</v>
      </c>
      <c r="AP20">
        <v>-0.21999202270863299</v>
      </c>
      <c r="AQ20">
        <v>-0.25013822183139572</v>
      </c>
      <c r="AR20">
        <v>-0.27870488604725963</v>
      </c>
      <c r="AS20">
        <v>-0.30578720786105762</v>
      </c>
      <c r="AT20">
        <v>-0.33147504696613839</v>
      </c>
      <c r="AU20">
        <v>-0.35585298232890511</v>
      </c>
      <c r="AV20">
        <v>-0.37900044368276931</v>
      </c>
      <c r="AW20">
        <v>-0.40099189643640498</v>
      </c>
      <c r="AX20">
        <v>-0.42189706075452638</v>
      </c>
      <c r="AY20">
        <v>-0.44178115065445173</v>
      </c>
      <c r="AZ20">
        <v>-0.46070512278884912</v>
      </c>
      <c r="BA20">
        <v>-0.47872592746342502</v>
      </c>
      <c r="BB20">
        <v>-0.49589675660021398</v>
      </c>
      <c r="BC20">
        <v>-0.51226728497533869</v>
      </c>
      <c r="BD20">
        <v>-0.5278839022693731</v>
      </c>
      <c r="BE20">
        <v>-0.54278993436556144</v>
      </c>
      <c r="BF20">
        <v>-0.55702585299375373</v>
      </c>
      <c r="BG20">
        <v>-0.5706294733021261</v>
      </c>
      <c r="BH20">
        <v>-0.58363613928841862</v>
      </c>
      <c r="BI20">
        <v>-0.59607889727102004</v>
      </c>
      <c r="BJ20">
        <v>-0.60798865775186162</v>
      </c>
      <c r="BK20">
        <v>-0.6193943461384237</v>
      </c>
      <c r="BL20">
        <v>-0.63032304286426588</v>
      </c>
      <c r="BM20">
        <v>-0.64080011348831722</v>
      </c>
      <c r="BN20">
        <v>-0.65084932937148854</v>
      </c>
      <c r="BO20">
        <v>-0.66049297952973074</v>
      </c>
      <c r="BP20">
        <v>-0.66975197425277666</v>
      </c>
      <c r="BQ20">
        <v>-0.67864594105847953</v>
      </c>
      <c r="BR20">
        <v>-0.68719331352895607</v>
      </c>
      <c r="BS20">
        <v>-0.69541141354694624</v>
      </c>
      <c r="BT20">
        <v>-0.70331652742148287</v>
      </c>
      <c r="BU20">
        <v>-0.71092397636190596</v>
      </c>
      <c r="BV20">
        <v>-0.71824818172909222</v>
      </c>
      <c r="BW20">
        <v>-0.72530272546319219</v>
      </c>
      <c r="BX20">
        <v>-0.73210040605898619</v>
      </c>
      <c r="BY20">
        <v>-0.73865329043249939</v>
      </c>
      <c r="BZ20">
        <v>-0.74497276199678542</v>
      </c>
      <c r="CA20">
        <v>-0.75106956524070978</v>
      </c>
      <c r="CB20">
        <v>-0.75695384708156199</v>
      </c>
      <c r="CC20">
        <v>-0.762635195241259</v>
      </c>
      <c r="CD20">
        <v>-0.7681226738763316</v>
      </c>
      <c r="CE20">
        <v>-0.77342485667320993</v>
      </c>
      <c r="CF20">
        <v>-0.77854985760395867</v>
      </c>
      <c r="CG20">
        <v>-0.7835053595216066</v>
      </c>
      <c r="CH20">
        <v>-0.78829864076000544</v>
      </c>
      <c r="CI20">
        <v>-0.79293659988991805</v>
      </c>
      <c r="CJ20">
        <v>-0.79742577877087384</v>
      </c>
      <c r="CK20">
        <v>-0.80177238402704365</v>
      </c>
      <c r="CL20">
        <v>-0.80598230706533203</v>
      </c>
      <c r="CM20">
        <v>-0.81006114274406804</v>
      </c>
      <c r="CN20">
        <v>-0.81401420679266223</v>
      </c>
      <c r="CO20">
        <v>-0.81784655207375045</v>
      </c>
      <c r="CP20">
        <v>-0.82156298377308756</v>
      </c>
      <c r="CQ20">
        <v>-0.82516807359491362</v>
      </c>
      <c r="CR20">
        <v>-0.82866617303486334</v>
      </c>
      <c r="CS20">
        <v>-0.83206142579665821</v>
      </c>
      <c r="CT20">
        <v>-0.83535777941399014</v>
      </c>
      <c r="CU20">
        <v>-0.8385589961335691</v>
      </c>
      <c r="CV20">
        <v>-0.8416686631118937</v>
      </c>
    </row>
    <row r="21" spans="15:100" x14ac:dyDescent="0.25">
      <c r="S21">
        <v>1</v>
      </c>
      <c r="T21">
        <v>0.98257229660454337</v>
      </c>
      <c r="U21">
        <v>0.94720428399922629</v>
      </c>
      <c r="V21">
        <v>0.89945855804034269</v>
      </c>
      <c r="W21">
        <v>0.84346407015486835</v>
      </c>
      <c r="X21">
        <v>0.78231965924072489</v>
      </c>
      <c r="Y21">
        <v>0.7183258163626709</v>
      </c>
      <c r="Z21">
        <v>0.65317066369681243</v>
      </c>
      <c r="AA21">
        <v>0.58807668983717254</v>
      </c>
      <c r="AB21">
        <v>0.52391467437196737</v>
      </c>
      <c r="AC21">
        <v>0.46129119016823578</v>
      </c>
      <c r="AD21">
        <v>0.40061533828055979</v>
      </c>
      <c r="AE21">
        <v>0.34214940653887771</v>
      </c>
      <c r="AF21">
        <v>0.28604720148767332</v>
      </c>
      <c r="AG21">
        <v>0.23238298486911901</v>
      </c>
      <c r="AH21">
        <v>0.18117327476559869</v>
      </c>
      <c r="AI21">
        <v>0.13239323930265209</v>
      </c>
      <c r="AJ21">
        <v>8.5988997104456455E-2</v>
      </c>
      <c r="AK21">
        <v>4.1886821065351167E-2</v>
      </c>
      <c r="AL21">
        <v>-9.273468982559784E-15</v>
      </c>
      <c r="AM21">
        <v>-3.9766070802178637E-2</v>
      </c>
      <c r="AN21">
        <v>-7.7510137936257745E-2</v>
      </c>
      <c r="AO21">
        <v>-0.1133323498886572</v>
      </c>
      <c r="AP21">
        <v>-0.14733228069044391</v>
      </c>
      <c r="AQ21">
        <v>-0.17960752912998959</v>
      </c>
      <c r="AR21">
        <v>-0.21025275076807021</v>
      </c>
      <c r="AS21">
        <v>-0.23935901433464329</v>
      </c>
      <c r="AT21">
        <v>-0.26701340013178981</v>
      </c>
      <c r="AU21">
        <v>-0.29329877784975272</v>
      </c>
      <c r="AV21">
        <v>-0.3182937162511047</v>
      </c>
      <c r="AW21">
        <v>-0.34207248863880141</v>
      </c>
      <c r="AX21">
        <v>-0.36470514676295762</v>
      </c>
      <c r="AY21">
        <v>-0.38625764249076872</v>
      </c>
      <c r="AZ21">
        <v>-0.40679198165902758</v>
      </c>
      <c r="BA21">
        <v>-0.42636639842043561</v>
      </c>
      <c r="BB21">
        <v>-0.44503554136968859</v>
      </c>
      <c r="BC21">
        <v>-0.46285066500663641</v>
      </c>
      <c r="BD21">
        <v>-0.47985982182690923</v>
      </c>
      <c r="BE21">
        <v>-0.49610805165106742</v>
      </c>
      <c r="BF21">
        <v>-0.51163756580658337</v>
      </c>
      <c r="BG21">
        <v>-0.52648792453700466</v>
      </c>
      <c r="BH21">
        <v>-0.54069620658561801</v>
      </c>
      <c r="BI21">
        <v>-0.5542971703305678</v>
      </c>
      <c r="BJ21">
        <v>-0.56732340616712729</v>
      </c>
      <c r="BK21">
        <v>-0.57980548006772636</v>
      </c>
      <c r="BL21">
        <v>-0.59177206842034202</v>
      </c>
      <c r="BM21">
        <v>-0.60325008436592675</v>
      </c>
      <c r="BN21">
        <v>-0.61426479593888494</v>
      </c>
      <c r="BO21">
        <v>-0.6248399363688717</v>
      </c>
      <c r="BP21">
        <v>-0.63499780693532237</v>
      </c>
      <c r="BQ21">
        <v>-0.64475937278301687</v>
      </c>
      <c r="BR21">
        <v>-0.65414435211225352</v>
      </c>
      <c r="BS21">
        <v>-0.66317129915380379</v>
      </c>
      <c r="BT21">
        <v>-0.67185768132936463</v>
      </c>
      <c r="BU21">
        <v>-0.68021995098400945</v>
      </c>
      <c r="BV21">
        <v>-0.68827361206115056</v>
      </c>
      <c r="BW21">
        <v>-0.69603328207129178</v>
      </c>
      <c r="BX21">
        <v>-0.7035127496873419</v>
      </c>
      <c r="BY21">
        <v>-0.71072502827872919</v>
      </c>
      <c r="BZ21">
        <v>-0.71768240567765573</v>
      </c>
      <c r="CA21">
        <v>-0.72439649045110444</v>
      </c>
      <c r="CB21">
        <v>-0.73087825493411773</v>
      </c>
      <c r="CC21">
        <v>-0.73713807526152553</v>
      </c>
      <c r="CD21">
        <v>-0.74318576861909591</v>
      </c>
      <c r="CE21">
        <v>-0.74903062791846964</v>
      </c>
      <c r="CF21">
        <v>-0.7546814540856619</v>
      </c>
      <c r="CG21">
        <v>-0.76014658613861219</v>
      </c>
      <c r="CH21">
        <v>-0.7654339292162684</v>
      </c>
      <c r="CI21">
        <v>-0.77055098070942663</v>
      </c>
      <c r="CJ21">
        <v>-0.77550485463204022</v>
      </c>
      <c r="CK21">
        <v>-0.78030230436139281</v>
      </c>
      <c r="CL21">
        <v>-0.78494974386575622</v>
      </c>
      <c r="CM21">
        <v>-0.78945326752867939</v>
      </c>
      <c r="CN21">
        <v>-0.79381866867156625</v>
      </c>
      <c r="CO21">
        <v>-0.79805145686748857</v>
      </c>
      <c r="CP21">
        <v>-0.80215687413296455</v>
      </c>
      <c r="CQ21">
        <v>-0.80613991007703834</v>
      </c>
      <c r="CR21">
        <v>-0.81000531608192761</v>
      </c>
      <c r="CS21">
        <v>-0.81375761858282802</v>
      </c>
      <c r="CT21">
        <v>-0.81740113151014238</v>
      </c>
      <c r="CU21">
        <v>-0.82093996795256752</v>
      </c>
      <c r="CV21">
        <v>-0.82437805109443341</v>
      </c>
    </row>
    <row r="22" spans="15:100" x14ac:dyDescent="0.25">
      <c r="T22">
        <v>1</v>
      </c>
      <c r="U22">
        <v>0.98415243845765166</v>
      </c>
      <c r="V22">
        <v>0.95175795571071653</v>
      </c>
      <c r="W22">
        <v>0.90770567511351175</v>
      </c>
      <c r="X22">
        <v>0.85567646583532309</v>
      </c>
      <c r="Y22">
        <v>0.79847718310743443</v>
      </c>
      <c r="Z22">
        <v>0.73822714984646431</v>
      </c>
      <c r="AA22">
        <v>0.67651012892956874</v>
      </c>
      <c r="AB22">
        <v>0.61449625220342863</v>
      </c>
      <c r="AC22">
        <v>0.55303826009505319</v>
      </c>
      <c r="AD22">
        <v>0.49274661909883161</v>
      </c>
      <c r="AE22">
        <v>0.43404771720185148</v>
      </c>
      <c r="AF22">
        <v>0.37722872425339249</v>
      </c>
      <c r="AG22">
        <v>0.3224720545114857</v>
      </c>
      <c r="AH22">
        <v>0.26988177638172411</v>
      </c>
      <c r="AI22">
        <v>0.21950381216926451</v>
      </c>
      <c r="AJ22">
        <v>0.17134136155372351</v>
      </c>
      <c r="AK22">
        <v>0.12536665715777359</v>
      </c>
      <c r="AL22">
        <v>8.1529905737319636E-2</v>
      </c>
      <c r="AM22">
        <v>3.9766070802178637E-2</v>
      </c>
      <c r="AN22">
        <v>-8.8158270741702903E-15</v>
      </c>
      <c r="AO22">
        <v>-3.784971655960765E-2</v>
      </c>
      <c r="AP22">
        <v>-7.3867860700411153E-2</v>
      </c>
      <c r="AQ22">
        <v>-0.1081404457789517</v>
      </c>
      <c r="AR22">
        <v>-0.14075314669569761</v>
      </c>
      <c r="AS22">
        <v>-0.1717901659325507</v>
      </c>
      <c r="AT22">
        <v>-0.20133343222450781</v>
      </c>
      <c r="AU22">
        <v>-0.22946205227124841</v>
      </c>
      <c r="AV22">
        <v>-0.25625195419015129</v>
      </c>
      <c r="AW22">
        <v>-0.28177567549591448</v>
      </c>
      <c r="AX22">
        <v>-0.30610225924609241</v>
      </c>
      <c r="AY22">
        <v>-0.32929723036846209</v>
      </c>
      <c r="AZ22">
        <v>-0.35142263065665952</v>
      </c>
      <c r="BA22">
        <v>-0.37253709592431722</v>
      </c>
      <c r="BB22">
        <v>-0.39269596267922419</v>
      </c>
      <c r="BC22">
        <v>-0.41195139467724751</v>
      </c>
      <c r="BD22">
        <v>-0.43035252203635649</v>
      </c>
      <c r="BE22">
        <v>-0.44794558738861312</v>
      </c>
      <c r="BF22">
        <v>-0.46477409493842542</v>
      </c>
      <c r="BG22">
        <v>-0.48087895937062097</v>
      </c>
      <c r="BH22">
        <v>-0.49629865238121967</v>
      </c>
      <c r="BI22">
        <v>-0.51106934524281722</v>
      </c>
      <c r="BJ22">
        <v>-0.52522504630644939</v>
      </c>
      <c r="BK22">
        <v>-0.53879773271680387</v>
      </c>
      <c r="BL22">
        <v>-0.5518174759018174</v>
      </c>
      <c r="BM22">
        <v>-0.564312560613078</v>
      </c>
      <c r="BN22">
        <v>-0.57630959745310528</v>
      </c>
      <c r="BO22">
        <v>-0.58783362894448155</v>
      </c>
      <c r="BP22">
        <v>-0.5989082292808322</v>
      </c>
      <c r="BQ22">
        <v>-0.60955559796050784</v>
      </c>
      <c r="BR22">
        <v>-0.6197966475443768</v>
      </c>
      <c r="BS22">
        <v>-0.62965108580586038</v>
      </c>
      <c r="BT22">
        <v>-0.63913749255608909</v>
      </c>
      <c r="BU22">
        <v>-0.64827339143346341</v>
      </c>
      <c r="BV22">
        <v>-0.65707531694730481</v>
      </c>
      <c r="BW22">
        <v>-0.66555887706099104</v>
      </c>
      <c r="BX22">
        <v>-0.67373881159183191</v>
      </c>
      <c r="BY22">
        <v>-0.68162904669522573</v>
      </c>
      <c r="BZ22">
        <v>-0.68924274568915167</v>
      </c>
      <c r="CA22">
        <v>-0.6965923564620482</v>
      </c>
      <c r="CB22">
        <v>-0.70368965569491437</v>
      </c>
      <c r="CC22">
        <v>-0.71054579011435437</v>
      </c>
      <c r="CD22">
        <v>-0.71717131498121378</v>
      </c>
      <c r="CE22">
        <v>-0.72357623000589799</v>
      </c>
      <c r="CF22">
        <v>-0.72977001286957655</v>
      </c>
      <c r="CG22">
        <v>-0.73576165051842912</v>
      </c>
      <c r="CH22">
        <v>-0.74155966838666454</v>
      </c>
      <c r="CI22">
        <v>-0.74717215769371548</v>
      </c>
      <c r="CJ22">
        <v>-0.75260680095042387</v>
      </c>
      <c r="CK22">
        <v>-0.75787089579972233</v>
      </c>
      <c r="CL22">
        <v>-0.76297137730858711</v>
      </c>
      <c r="CM22">
        <v>-0.76791483881926759</v>
      </c>
      <c r="CN22">
        <v>-0.7727075514603412</v>
      </c>
      <c r="CO22">
        <v>-0.77735548241091745</v>
      </c>
      <c r="CP22">
        <v>-0.78186431200414164</v>
      </c>
      <c r="CQ22">
        <v>-0.7862394497504237</v>
      </c>
      <c r="CR22">
        <v>-0.79048604935472788</v>
      </c>
      <c r="CS22">
        <v>-0.79460902279662937</v>
      </c>
      <c r="CT22">
        <v>-0.79861305353750067</v>
      </c>
      <c r="CU22">
        <v>-0.80250260891372549</v>
      </c>
      <c r="CV22">
        <v>-0.80628195177123207</v>
      </c>
    </row>
    <row r="23" spans="15:100" x14ac:dyDescent="0.25">
      <c r="U23">
        <v>1</v>
      </c>
      <c r="V23">
        <v>0.9855271558787333</v>
      </c>
      <c r="W23">
        <v>0.95574822092988176</v>
      </c>
      <c r="X23">
        <v>0.91498277073462597</v>
      </c>
      <c r="Y23">
        <v>0.86652432395912993</v>
      </c>
      <c r="Z23">
        <v>0.81292048689580954</v>
      </c>
      <c r="AA23">
        <v>0.75612419400556719</v>
      </c>
      <c r="AB23">
        <v>0.6976186613563643</v>
      </c>
      <c r="AC23">
        <v>0.63851917580755835</v>
      </c>
      <c r="AD23">
        <v>0.57965465720799525</v>
      </c>
      <c r="AE23">
        <v>0.52163226288155851</v>
      </c>
      <c r="AF23">
        <v>0.46488816163211472</v>
      </c>
      <c r="AG23">
        <v>0.40972722655959293</v>
      </c>
      <c r="AH23">
        <v>0.3563539515654589</v>
      </c>
      <c r="AI23">
        <v>0.30489646941706339</v>
      </c>
      <c r="AJ23">
        <v>0.25542517408079513</v>
      </c>
      <c r="AK23">
        <v>0.2079671359669685</v>
      </c>
      <c r="AL23">
        <v>0.16251724326221961</v>
      </c>
      <c r="AM23">
        <v>0.1190467984449695</v>
      </c>
      <c r="AN23">
        <v>7.7510137936257745E-2</v>
      </c>
      <c r="AO23">
        <v>3.784971655960765E-2</v>
      </c>
      <c r="AP23">
        <v>-8.4012170112491181E-15</v>
      </c>
      <c r="AQ23">
        <v>-3.6109568125616179E-2</v>
      </c>
      <c r="AR23">
        <v>-7.055231742161952E-2</v>
      </c>
      <c r="AS23">
        <v>-0.1034026590426169</v>
      </c>
      <c r="AT23">
        <v>-0.13473482592351049</v>
      </c>
      <c r="AU23">
        <v>-0.1646219473980905</v>
      </c>
      <c r="AV23">
        <v>-0.19313538225401941</v>
      </c>
      <c r="AW23">
        <v>-0.22034425103305641</v>
      </c>
      <c r="AX23">
        <v>-0.2463151214288696</v>
      </c>
      <c r="AY23">
        <v>-0.27111181079735802</v>
      </c>
      <c r="AZ23">
        <v>-0.29479527772168629</v>
      </c>
      <c r="BA23">
        <v>-0.31742358076409039</v>
      </c>
      <c r="BB23">
        <v>-0.33905188737602959</v>
      </c>
      <c r="BC23">
        <v>-0.3597325197238429</v>
      </c>
      <c r="BD23">
        <v>-0.37951502715187602</v>
      </c>
      <c r="BE23">
        <v>-0.39844627732751869</v>
      </c>
      <c r="BF23">
        <v>-0.41657055993278519</v>
      </c>
      <c r="BG23">
        <v>-0.43392969819352561</v>
      </c>
      <c r="BH23">
        <v>-0.45056316465535479</v>
      </c>
      <c r="BI23">
        <v>-0.46650819849019332</v>
      </c>
      <c r="BJ23">
        <v>-0.48179992230214658</v>
      </c>
      <c r="BK23">
        <v>-0.49647145693606709</v>
      </c>
      <c r="BL23">
        <v>-0.51055403320807713</v>
      </c>
      <c r="BM23">
        <v>-0.52407709980164086</v>
      </c>
      <c r="BN23">
        <v>-0.53706842682212352</v>
      </c>
      <c r="BO23">
        <v>-0.54955420469616456</v>
      </c>
      <c r="BP23">
        <v>-0.56155913824870729</v>
      </c>
      <c r="BQ23">
        <v>-0.57310653590278937</v>
      </c>
      <c r="BR23">
        <v>-0.58421839402988862</v>
      </c>
      <c r="BS23">
        <v>-0.59491547654106092</v>
      </c>
      <c r="BT23">
        <v>-0.60521738985277396</v>
      </c>
      <c r="BU23">
        <v>-0.61514265339283314</v>
      </c>
      <c r="BV23">
        <v>-0.62470876583239288</v>
      </c>
      <c r="BW23">
        <v>-0.63393226724268747</v>
      </c>
      <c r="BX23">
        <v>-0.64282879738148369</v>
      </c>
      <c r="BY23">
        <v>-0.6514131503167907</v>
      </c>
      <c r="BZ23">
        <v>-0.65969932559295086</v>
      </c>
      <c r="CA23">
        <v>-0.66770057614097311</v>
      </c>
      <c r="CB23">
        <v>-0.67542945312822578</v>
      </c>
      <c r="CC23">
        <v>-0.68289784793606123</v>
      </c>
      <c r="CD23">
        <v>-0.6901170314452354</v>
      </c>
      <c r="CE23">
        <v>-0.69709769080078687</v>
      </c>
      <c r="CF23">
        <v>-0.70384996381889198</v>
      </c>
      <c r="CG23">
        <v>-0.71038347118938316</v>
      </c>
      <c r="CH23">
        <v>-0.71670734661890112</v>
      </c>
      <c r="CI23">
        <v>-0.72283026505056469</v>
      </c>
      <c r="CJ23">
        <v>-0.72876046908805714</v>
      </c>
      <c r="CK23">
        <v>-0.73450579374385938</v>
      </c>
      <c r="CL23">
        <v>-0.7400736896234168</v>
      </c>
      <c r="CM23">
        <v>-0.74547124464988468</v>
      </c>
      <c r="CN23">
        <v>-0.75070520442732769</v>
      </c>
      <c r="CO23">
        <v>-0.75578199133306767</v>
      </c>
      <c r="CP23">
        <v>-0.7607077224245451</v>
      </c>
      <c r="CQ23">
        <v>-0.76548822623951951</v>
      </c>
      <c r="CR23">
        <v>-0.77012905856350733</v>
      </c>
      <c r="CS23">
        <v>-0.77463551723296842</v>
      </c>
      <c r="CT23">
        <v>-0.77901265603819891</v>
      </c>
      <c r="CU23">
        <v>-0.78326529778548881</v>
      </c>
      <c r="CV23">
        <v>-0.78739804657365631</v>
      </c>
    </row>
    <row r="24" spans="15:100" x14ac:dyDescent="0.25">
      <c r="V24">
        <v>1</v>
      </c>
      <c r="W24">
        <v>0.98673055350516337</v>
      </c>
      <c r="X24">
        <v>0.95926413825254275</v>
      </c>
      <c r="Y24">
        <v>0.92143554681755524</v>
      </c>
      <c r="Z24">
        <v>0.87620208621452744</v>
      </c>
      <c r="AA24">
        <v>0.82588097005633654</v>
      </c>
      <c r="AB24">
        <v>0.77227289720646497</v>
      </c>
      <c r="AC24">
        <v>0.71676539863709277</v>
      </c>
      <c r="AD24">
        <v>0.66041820261152151</v>
      </c>
      <c r="AE24">
        <v>0.60403258714841856</v>
      </c>
      <c r="AF24">
        <v>0.54820705991910468</v>
      </c>
      <c r="AG24">
        <v>0.49338169867326859</v>
      </c>
      <c r="AH24">
        <v>0.43987326413171052</v>
      </c>
      <c r="AI24">
        <v>0.38790289736602901</v>
      </c>
      <c r="AJ24">
        <v>0.33761790729576041</v>
      </c>
      <c r="AK24">
        <v>0.28910887428658327</v>
      </c>
      <c r="AL24">
        <v>0.24242305505355449</v>
      </c>
      <c r="AM24">
        <v>0.19757487371891849</v>
      </c>
      <c r="AN24">
        <v>0.15455412068383251</v>
      </c>
      <c r="AO24">
        <v>0.1133323498886572</v>
      </c>
      <c r="AP24">
        <v>7.3867860700411153E-2</v>
      </c>
      <c r="AQ24">
        <v>3.6109568125616179E-2</v>
      </c>
      <c r="AR24">
        <v>-8.0238435121226204E-15</v>
      </c>
      <c r="AS24">
        <v>-3.4522391326797387E-2</v>
      </c>
      <c r="AT24">
        <v>-6.7521455437711791E-2</v>
      </c>
      <c r="AU24">
        <v>-9.9061992550755387E-2</v>
      </c>
      <c r="AV24">
        <v>-0.12920873331637811</v>
      </c>
      <c r="AW24">
        <v>-0.15802557794840211</v>
      </c>
      <c r="AX24">
        <v>-0.1855750381641755</v>
      </c>
      <c r="AY24">
        <v>-0.2119178373892722</v>
      </c>
      <c r="AZ24">
        <v>-0.2371126341083965</v>
      </c>
      <c r="BA24">
        <v>-0.26121584066994308</v>
      </c>
      <c r="BB24">
        <v>-0.28428151570816568</v>
      </c>
      <c r="BC24">
        <v>-0.30636131296902069</v>
      </c>
      <c r="BD24">
        <v>-0.32750447297905089</v>
      </c>
      <c r="BE24">
        <v>-0.34775784688518641</v>
      </c>
      <c r="BF24">
        <v>-0.36716594407990177</v>
      </c>
      <c r="BG24">
        <v>-0.38577099703673079</v>
      </c>
      <c r="BH24">
        <v>-0.40361303821566358</v>
      </c>
      <c r="BI24">
        <v>-0.42072998503457482</v>
      </c>
      <c r="BJ24">
        <v>-0.43715772980345052</v>
      </c>
      <c r="BK24">
        <v>-0.45293023223157342</v>
      </c>
      <c r="BL24">
        <v>-0.46807961268227161</v>
      </c>
      <c r="BM24">
        <v>-0.48263624479621953</v>
      </c>
      <c r="BN24">
        <v>-0.49662884645670069</v>
      </c>
      <c r="BO24">
        <v>-0.51008456834727922</v>
      </c>
      <c r="BP24">
        <v>-0.52302907957083877</v>
      </c>
      <c r="BQ24">
        <v>-0.53548664996856599</v>
      </c>
      <c r="BR24">
        <v>-0.54748022891092063</v>
      </c>
      <c r="BS24">
        <v>-0.5590315204348324</v>
      </c>
      <c r="BT24">
        <v>-0.5701610546802337</v>
      </c>
      <c r="BU24">
        <v>-0.58088825563910595</v>
      </c>
      <c r="BV24">
        <v>-0.5912315052747017</v>
      </c>
      <c r="BW24">
        <v>-0.60120820410203568</v>
      </c>
      <c r="BX24">
        <v>-0.61083482834374481</v>
      </c>
      <c r="BY24">
        <v>-0.62012698379240516</v>
      </c>
      <c r="BZ24">
        <v>-0.62909945652016397</v>
      </c>
      <c r="CA24">
        <v>-0.63776626058320307</v>
      </c>
      <c r="CB24">
        <v>-0.64614068287074022</v>
      </c>
      <c r="CC24">
        <v>-0.65423532524864236</v>
      </c>
      <c r="CD24">
        <v>-0.66206214414515419</v>
      </c>
      <c r="CE24">
        <v>-0.66963248772350481</v>
      </c>
      <c r="CF24">
        <v>-0.67695713078107733</v>
      </c>
      <c r="CG24">
        <v>-0.68404630750977502</v>
      </c>
      <c r="CH24">
        <v>-0.69090974224652668</v>
      </c>
      <c r="CI24">
        <v>-0.69755667833669865</v>
      </c>
      <c r="CJ24">
        <v>-0.70399590522718158</v>
      </c>
      <c r="CK24">
        <v>-0.71023578389960595</v>
      </c>
      <c r="CL24">
        <v>-0.71628427074804901</v>
      </c>
      <c r="CM24">
        <v>-0.72214893999962348</v>
      </c>
      <c r="CN24">
        <v>-0.72783700477049051</v>
      </c>
      <c r="CO24">
        <v>-0.73335533684435028</v>
      </c>
      <c r="CP24">
        <v>-0.73871048525491556</v>
      </c>
      <c r="CQ24">
        <v>-0.74390869374897783</v>
      </c>
      <c r="CR24">
        <v>-0.74895591720166177</v>
      </c>
      <c r="CS24">
        <v>-0.75385783705085374</v>
      </c>
      <c r="CT24">
        <v>-0.7586198758138224</v>
      </c>
      <c r="CU24">
        <v>-0.76324721074418567</v>
      </c>
      <c r="CV24">
        <v>-0.76774478668453083</v>
      </c>
    </row>
    <row r="25" spans="15:100" x14ac:dyDescent="0.25">
      <c r="W25">
        <v>1</v>
      </c>
      <c r="X25">
        <v>0.9877899449314953</v>
      </c>
      <c r="Y25">
        <v>0.9623778747677153</v>
      </c>
      <c r="Z25">
        <v>0.92718345872511443</v>
      </c>
      <c r="AA25">
        <v>0.88487101721130657</v>
      </c>
      <c r="AB25">
        <v>0.83755273628178073</v>
      </c>
      <c r="AC25">
        <v>0.78689035723754774</v>
      </c>
      <c r="AD25">
        <v>0.73418113630908288</v>
      </c>
      <c r="AE25">
        <v>0.6804297556155573</v>
      </c>
      <c r="AF25">
        <v>0.62640749128126083</v>
      </c>
      <c r="AG25">
        <v>0.57270031127491783</v>
      </c>
      <c r="AH25">
        <v>0.51974764606220236</v>
      </c>
      <c r="AI25">
        <v>0.46787345770806521</v>
      </c>
      <c r="AJ25">
        <v>0.41731103463382629</v>
      </c>
      <c r="AK25">
        <v>0.36822272088804292</v>
      </c>
      <c r="AL25">
        <v>0.32071558094263491</v>
      </c>
      <c r="AM25">
        <v>0.2748538167143324</v>
      </c>
      <c r="AN25">
        <v>0.23066859655953861</v>
      </c>
      <c r="AO25">
        <v>0.18816582565415529</v>
      </c>
      <c r="AP25">
        <v>0.14733228069044391</v>
      </c>
      <c r="AQ25">
        <v>0.1081404457789517</v>
      </c>
      <c r="AR25">
        <v>7.055231742161952E-2</v>
      </c>
      <c r="AS25">
        <v>3.4522391326797387E-2</v>
      </c>
      <c r="AT25">
        <v>-7.6789069717169918E-15</v>
      </c>
      <c r="AU25">
        <v>-3.3068864766157287E-2</v>
      </c>
      <c r="AV25">
        <v>-6.4740137990900198E-2</v>
      </c>
      <c r="AW25">
        <v>-9.5070591572661539E-2</v>
      </c>
      <c r="AX25">
        <v>-0.1241170010612362</v>
      </c>
      <c r="AY25">
        <v>-0.15193551563806551</v>
      </c>
      <c r="AZ25">
        <v>-0.1785811887334362</v>
      </c>
      <c r="BA25">
        <v>-0.2041076353878031</v>
      </c>
      <c r="BB25">
        <v>-0.22856678936272759</v>
      </c>
      <c r="BC25">
        <v>-0.25200873849742927</v>
      </c>
      <c r="BD25">
        <v>-0.27448162117853359</v>
      </c>
      <c r="BE25">
        <v>-0.29603157027774479</v>
      </c>
      <c r="BF25">
        <v>-0.31670269369332749</v>
      </c>
      <c r="BG25">
        <v>-0.33653708285377643</v>
      </c>
      <c r="BH25">
        <v>-0.35557484231747549</v>
      </c>
      <c r="BI25">
        <v>-0.37385413502247722</v>
      </c>
      <c r="BJ25">
        <v>-0.39141123887692297</v>
      </c>
      <c r="BK25">
        <v>-0.40828061128985083</v>
      </c>
      <c r="BL25">
        <v>-0.42449495897014272</v>
      </c>
      <c r="BM25">
        <v>-0.44008531090374081</v>
      </c>
      <c r="BN25">
        <v>-0.45508109288535042</v>
      </c>
      <c r="BO25">
        <v>-0.46951020235270968</v>
      </c>
      <c r="BP25">
        <v>-0.48339908256959407</v>
      </c>
      <c r="BQ25">
        <v>-0.49677279543994279</v>
      </c>
      <c r="BR25">
        <v>-0.50965509242406948</v>
      </c>
      <c r="BS25">
        <v>-0.52206848317806676</v>
      </c>
      <c r="BT25">
        <v>-0.53403430165458066</v>
      </c>
      <c r="BU25">
        <v>-0.54557276949691758</v>
      </c>
      <c r="BV25">
        <v>-0.55670305663100805</v>
      </c>
      <c r="BW25">
        <v>-0.56744333901582911</v>
      </c>
      <c r="BX25">
        <v>-0.57781085355689454</v>
      </c>
      <c r="BY25">
        <v>-0.5878219502199743</v>
      </c>
      <c r="BZ25">
        <v>-0.59749214140745277</v>
      </c>
      <c r="CA25">
        <v>-0.60683614867702818</v>
      </c>
      <c r="CB25">
        <v>-0.61586794689612367</v>
      </c>
      <c r="CC25">
        <v>-0.6246008059331476</v>
      </c>
      <c r="CD25">
        <v>-0.6330473299928201</v>
      </c>
      <c r="CE25">
        <v>-0.64121949470487138</v>
      </c>
      <c r="CF25">
        <v>-0.64912868207677477</v>
      </c>
      <c r="CG25">
        <v>-0.65678571341998049</v>
      </c>
      <c r="CH25">
        <v>-0.66420088035732738</v>
      </c>
      <c r="CI25">
        <v>-0.67138397401679062</v>
      </c>
      <c r="CJ25">
        <v>-0.67834431251285854</v>
      </c>
      <c r="CK25">
        <v>-0.6850907668133428</v>
      </c>
      <c r="CL25">
        <v>-0.69163178508539558</v>
      </c>
      <c r="CM25">
        <v>-0.69797541560972398</v>
      </c>
      <c r="CN25">
        <v>-0.70412932834828768</v>
      </c>
      <c r="CO25">
        <v>-0.71010083524597811</v>
      </c>
      <c r="CP25">
        <v>-0.71589690934257488</v>
      </c>
      <c r="CQ25">
        <v>-0.72152420276722429</v>
      </c>
      <c r="CR25">
        <v>-0.72698906368332938</v>
      </c>
      <c r="CS25">
        <v>-0.7322975522480637</v>
      </c>
      <c r="CT25">
        <v>-0.73745545564685133</v>
      </c>
      <c r="CU25">
        <v>-0.74246830225930127</v>
      </c>
      <c r="CV25">
        <v>-0.74734137501020459</v>
      </c>
    </row>
    <row r="26" spans="15:100" x14ac:dyDescent="0.25">
      <c r="X26">
        <v>1</v>
      </c>
      <c r="Y26">
        <v>0.98872741231147931</v>
      </c>
      <c r="Z26">
        <v>0.96514840245081412</v>
      </c>
      <c r="AA26">
        <v>0.93232516712155644</v>
      </c>
      <c r="AB26">
        <v>0.89266571997609379</v>
      </c>
      <c r="AC26">
        <v>0.84809948718019501</v>
      </c>
      <c r="AD26">
        <v>0.80016154319246846</v>
      </c>
      <c r="AE26">
        <v>0.75006449393667229</v>
      </c>
      <c r="AF26">
        <v>0.69875931661815527</v>
      </c>
      <c r="AG26">
        <v>0.6469860079360138</v>
      </c>
      <c r="AH26">
        <v>0.59531523208008674</v>
      </c>
      <c r="AI26">
        <v>0.54418227174041967</v>
      </c>
      <c r="AJ26">
        <v>0.49391453563342891</v>
      </c>
      <c r="AK26">
        <v>0.44475374868283829</v>
      </c>
      <c r="AL26">
        <v>0.3968737968734195</v>
      </c>
      <c r="AM26">
        <v>0.35039504491418461</v>
      </c>
      <c r="AN26">
        <v>0.30539580402945332</v>
      </c>
      <c r="AO26">
        <v>0.26192150439014672</v>
      </c>
      <c r="AP26">
        <v>0.21999202270863299</v>
      </c>
      <c r="AQ26">
        <v>0.17960752912998959</v>
      </c>
      <c r="AR26">
        <v>0.14075314669569761</v>
      </c>
      <c r="AS26">
        <v>0.1034026590426169</v>
      </c>
      <c r="AT26">
        <v>6.7521455437711791E-2</v>
      </c>
      <c r="AU26">
        <v>3.3068864766157287E-2</v>
      </c>
      <c r="AV26">
        <v>-7.3623984833078359E-15</v>
      </c>
      <c r="AW26">
        <v>-3.1732789442629368E-2</v>
      </c>
      <c r="AX26">
        <v>-6.217877935012444E-2</v>
      </c>
      <c r="AY26">
        <v>-9.1387983742058698E-2</v>
      </c>
      <c r="AZ26">
        <v>-0.11941046900037799</v>
      </c>
      <c r="BA26">
        <v>-0.14629582875053609</v>
      </c>
      <c r="BB26">
        <v>-0.1720927870750438</v>
      </c>
      <c r="BC26">
        <v>-0.19684890400736099</v>
      </c>
      <c r="BD26">
        <v>-0.2206103623619988</v>
      </c>
      <c r="BE26">
        <v>-0.2434218190593162</v>
      </c>
      <c r="BF26">
        <v>-0.2653263074011919</v>
      </c>
      <c r="BG26">
        <v>-0.28636517940702949</v>
      </c>
      <c r="BH26">
        <v>-0.30657807945636772</v>
      </c>
      <c r="BI26">
        <v>-0.32600294220629339</v>
      </c>
      <c r="BJ26">
        <v>-0.34467600914029989</v>
      </c>
      <c r="BK26">
        <v>-0.36263185922625979</v>
      </c>
      <c r="BL26">
        <v>-0.37990345006546361</v>
      </c>
      <c r="BM26">
        <v>-0.39652216664581041</v>
      </c>
      <c r="BN26">
        <v>-0.41251787540214668</v>
      </c>
      <c r="BO26">
        <v>-0.42791898176357052</v>
      </c>
      <c r="BP26">
        <v>-0.44275248975267117</v>
      </c>
      <c r="BQ26">
        <v>-0.45704406251214991</v>
      </c>
      <c r="BR26">
        <v>-0.47081808288502441</v>
      </c>
      <c r="BS26">
        <v>-0.48409771337650059</v>
      </c>
      <c r="BT26">
        <v>-0.49690495498771159</v>
      </c>
      <c r="BU26">
        <v>-0.50926070454229411</v>
      </c>
      <c r="BV26">
        <v>-0.52118481023037866</v>
      </c>
      <c r="BW26">
        <v>-0.53269612517863996</v>
      </c>
      <c r="BX26">
        <v>-0.5438125589202073</v>
      </c>
      <c r="BY26">
        <v>-0.55455112669161044</v>
      </c>
      <c r="BZ26">
        <v>-0.56492799652378056</v>
      </c>
      <c r="CA26">
        <v>-0.57495853412702291</v>
      </c>
      <c r="CB26">
        <v>-0.58465734559397342</v>
      </c>
      <c r="CC26">
        <v>-0.59403831796330064</v>
      </c>
      <c r="CD26">
        <v>-0.60311465770084549</v>
      </c>
      <c r="CE26">
        <v>-0.6118989271650167</v>
      </c>
      <c r="CF26">
        <v>-0.62040307913024462</v>
      </c>
      <c r="CG26">
        <v>-0.62863848944665413</v>
      </c>
      <c r="CH26">
        <v>-0.6366159879172375</v>
      </c>
      <c r="CI26">
        <v>-0.64434588747431332</v>
      </c>
      <c r="CJ26">
        <v>-0.6518380117376773</v>
      </c>
      <c r="CK26">
        <v>-0.6591017210351533</v>
      </c>
      <c r="CL26">
        <v>-0.66614593696540714</v>
      </c>
      <c r="CM26">
        <v>-0.67297916557980897</v>
      </c>
      <c r="CN26">
        <v>-0.67960951925844426</v>
      </c>
      <c r="CO26">
        <v>-0.68604473735200622</v>
      </c>
      <c r="CP26">
        <v>-0.69229220565838145</v>
      </c>
      <c r="CQ26">
        <v>-0.69835897480000209</v>
      </c>
      <c r="CR26">
        <v>-0.70425177756460444</v>
      </c>
      <c r="CS26">
        <v>-0.70997704526893446</v>
      </c>
      <c r="CT26">
        <v>-0.71554092320221452</v>
      </c>
      <c r="CU26">
        <v>-0.72094928520265023</v>
      </c>
      <c r="CV26">
        <v>-0.72620774741794314</v>
      </c>
    </row>
    <row r="27" spans="15:100" x14ac:dyDescent="0.25">
      <c r="Y27">
        <v>1</v>
      </c>
      <c r="Z27">
        <v>0.98956096372854807</v>
      </c>
      <c r="AA27">
        <v>0.96762428585713578</v>
      </c>
      <c r="AB27">
        <v>0.93694271852097766</v>
      </c>
      <c r="AC27">
        <v>0.8996992181992729</v>
      </c>
      <c r="AD27">
        <v>0.8576599952974584</v>
      </c>
      <c r="AE27">
        <v>0.81224473177743706</v>
      </c>
      <c r="AF27">
        <v>0.76458700179352657</v>
      </c>
      <c r="AG27">
        <v>0.71558596072022207</v>
      </c>
      <c r="AH27">
        <v>0.66594984386577738</v>
      </c>
      <c r="AI27">
        <v>0.61623211860390681</v>
      </c>
      <c r="AJ27">
        <v>0.56686126417869553</v>
      </c>
      <c r="AK27">
        <v>0.51816514710052963</v>
      </c>
      <c r="AL27">
        <v>0.47039088220905367</v>
      </c>
      <c r="AM27">
        <v>0.42372096215555038</v>
      </c>
      <c r="AN27">
        <v>0.37828632473109058</v>
      </c>
      <c r="AO27">
        <v>0.33417692013945671</v>
      </c>
      <c r="AP27">
        <v>0.29145024435634959</v>
      </c>
      <c r="AQ27">
        <v>0.25013822183139572</v>
      </c>
      <c r="AR27">
        <v>0.21025275076807021</v>
      </c>
      <c r="AS27">
        <v>0.1717901659325507</v>
      </c>
      <c r="AT27">
        <v>0.13473482592351049</v>
      </c>
      <c r="AU27">
        <v>9.9061992550755387E-2</v>
      </c>
      <c r="AV27">
        <v>6.4740137990900198E-2</v>
      </c>
      <c r="AW27">
        <v>3.1732789442629368E-2</v>
      </c>
      <c r="AX27">
        <v>-7.0709434856300583E-15</v>
      </c>
      <c r="AY27">
        <v>-3.0500482516471979E-2</v>
      </c>
      <c r="AZ27">
        <v>-5.9812290746922139E-2</v>
      </c>
      <c r="BA27">
        <v>-8.7979710048489965E-2</v>
      </c>
      <c r="BB27">
        <v>-0.11504710981659071</v>
      </c>
      <c r="BC27">
        <v>-0.14105850309217749</v>
      </c>
      <c r="BD27">
        <v>-0.16605720951639749</v>
      </c>
      <c r="BE27">
        <v>-0.19008560141736691</v>
      </c>
      <c r="BF27">
        <v>-0.21318491663676969</v>
      </c>
      <c r="BG27">
        <v>-0.23539512480111971</v>
      </c>
      <c r="BH27">
        <v>-0.25675483625300149</v>
      </c>
      <c r="BI27">
        <v>-0.27730124489446772</v>
      </c>
      <c r="BJ27">
        <v>-0.29707009784946992</v>
      </c>
      <c r="BK27">
        <v>-0.31609568619563011</v>
      </c>
      <c r="BL27">
        <v>-0.3344108521095347</v>
      </c>
      <c r="BM27">
        <v>-0.35204700865857641</v>
      </c>
      <c r="BN27">
        <v>-0.36903416919651733</v>
      </c>
      <c r="BO27">
        <v>-0.38540098390998417</v>
      </c>
      <c r="BP27">
        <v>-0.40117478154288422</v>
      </c>
      <c r="BQ27">
        <v>-0.41638161471728008</v>
      </c>
      <c r="BR27">
        <v>-0.43104630758822321</v>
      </c>
      <c r="BS27">
        <v>-0.4451925048289852</v>
      </c>
      <c r="BT27">
        <v>-0.45884272115489932</v>
      </c>
      <c r="BU27">
        <v>-0.47201839076563568</v>
      </c>
      <c r="BV27">
        <v>-0.48473991622484502</v>
      </c>
      <c r="BW27">
        <v>-0.49702671640989388</v>
      </c>
      <c r="BX27">
        <v>-0.50889727325540424</v>
      </c>
      <c r="BY27">
        <v>-0.52036917708856678</v>
      </c>
      <c r="BZ27">
        <v>-0.5314591704134175</v>
      </c>
      <c r="CA27">
        <v>-0.5421831900494023</v>
      </c>
      <c r="CB27">
        <v>-0.55255640756692959</v>
      </c>
      <c r="CC27">
        <v>-0.56259326799351839</v>
      </c>
      <c r="CD27">
        <v>-0.57230752678726771</v>
      </c>
      <c r="CE27">
        <v>-0.58171228509325612</v>
      </c>
      <c r="CF27">
        <v>-0.59082002331250938</v>
      </c>
      <c r="CG27">
        <v>-0.59964263302417087</v>
      </c>
      <c r="CH27">
        <v>-0.60819144730895502</v>
      </c>
      <c r="CI27">
        <v>-0.61647726952850945</v>
      </c>
      <c r="CJ27">
        <v>-0.62451040061810603</v>
      </c>
      <c r="CK27">
        <v>-0.63230066495362647</v>
      </c>
      <c r="CL27">
        <v>-0.63985743485397784</v>
      </c>
      <c r="CM27">
        <v>-0.64718965378122539</v>
      </c>
      <c r="CN27">
        <v>-0.65430585829997723</v>
      </c>
      <c r="CO27">
        <v>-0.66121419885644439</v>
      </c>
      <c r="CP27">
        <v>-0.66792245943665562</v>
      </c>
      <c r="CQ27">
        <v>-0.67443807616133999</v>
      </c>
      <c r="CR27">
        <v>-0.68076815487294551</v>
      </c>
      <c r="CS27">
        <v>-0.68691948776861844</v>
      </c>
      <c r="CT27">
        <v>-0.69289856913038828</v>
      </c>
      <c r="CU27">
        <v>-0.69871161020166594</v>
      </c>
      <c r="CV27">
        <v>-0.70436455325718361</v>
      </c>
    </row>
    <row r="28" spans="15:100" x14ac:dyDescent="0.25">
      <c r="Z28">
        <v>1</v>
      </c>
      <c r="AA28">
        <v>0.99030540261845867</v>
      </c>
      <c r="AB28">
        <v>0.96984580728793501</v>
      </c>
      <c r="AC28">
        <v>0.94110478095105132</v>
      </c>
      <c r="AD28">
        <v>0.90606695144127947</v>
      </c>
      <c r="AE28">
        <v>0.86635247601267584</v>
      </c>
      <c r="AF28">
        <v>0.82327592300406782</v>
      </c>
      <c r="AG28">
        <v>0.77789730643186195</v>
      </c>
      <c r="AH28">
        <v>0.7310661783787602</v>
      </c>
      <c r="AI28">
        <v>0.68345910915004482</v>
      </c>
      <c r="AJ28">
        <v>0.63561114734643231</v>
      </c>
      <c r="AK28">
        <v>0.58794198737053094</v>
      </c>
      <c r="AL28">
        <v>0.54077759250507063</v>
      </c>
      <c r="AM28">
        <v>0.4943679781252609</v>
      </c>
      <c r="AN28">
        <v>0.44890178631483402</v>
      </c>
      <c r="AO28">
        <v>0.40451820029152857</v>
      </c>
      <c r="AP28">
        <v>0.36131666550730762</v>
      </c>
      <c r="AQ28">
        <v>0.31936480943336237</v>
      </c>
      <c r="AR28">
        <v>0.27870488604725963</v>
      </c>
      <c r="AS28">
        <v>0.23935901433464329</v>
      </c>
      <c r="AT28">
        <v>0.20133343222450781</v>
      </c>
      <c r="AU28">
        <v>0.1646219473980905</v>
      </c>
      <c r="AV28">
        <v>0.12920873331637811</v>
      </c>
      <c r="AW28">
        <v>9.5070591572661539E-2</v>
      </c>
      <c r="AX28">
        <v>6.217877935012444E-2</v>
      </c>
      <c r="AY28">
        <v>3.0500482516471979E-2</v>
      </c>
      <c r="AZ28">
        <v>-6.801681092233316E-15</v>
      </c>
      <c r="BA28">
        <v>-2.9360307038717011E-2</v>
      </c>
      <c r="BB28">
        <v>-5.7619257604064111E-2</v>
      </c>
      <c r="BC28">
        <v>-8.4816249238009789E-2</v>
      </c>
      <c r="BD28">
        <v>-0.11099078332253599</v>
      </c>
      <c r="BE28">
        <v>-0.13618209359916081</v>
      </c>
      <c r="BF28">
        <v>-0.1604288585376823</v>
      </c>
      <c r="BG28">
        <v>-0.18376898172960049</v>
      </c>
      <c r="BH28">
        <v>-0.20623942737138601</v>
      </c>
      <c r="BI28">
        <v>-0.2278761002631208</v>
      </c>
      <c r="BJ28">
        <v>-0.24871376167602779</v>
      </c>
      <c r="BK28">
        <v>-0.2687859740191697</v>
      </c>
      <c r="BL28">
        <v>-0.28812506852594361</v>
      </c>
      <c r="BM28">
        <v>-0.30676213123763041</v>
      </c>
      <c r="BN28">
        <v>-0.32472700342684019</v>
      </c>
      <c r="BO28">
        <v>-0.34204829331397868</v>
      </c>
      <c r="BP28">
        <v>-0.35875339651194449</v>
      </c>
      <c r="BQ28">
        <v>-0.3748685231121992</v>
      </c>
      <c r="BR28">
        <v>-0.39041872971782571</v>
      </c>
      <c r="BS28">
        <v>-0.40542795505124712</v>
      </c>
      <c r="BT28">
        <v>-0.41991905802847712</v>
      </c>
      <c r="BU28">
        <v>-0.43391385740940169</v>
      </c>
      <c r="BV28">
        <v>-0.44743317231093799</v>
      </c>
      <c r="BW28">
        <v>-0.46049686301695197</v>
      </c>
      <c r="BX28">
        <v>-0.47312387163749242</v>
      </c>
      <c r="BY28">
        <v>-0.48533226226884102</v>
      </c>
      <c r="BZ28">
        <v>-0.49713926038504258</v>
      </c>
      <c r="CA28">
        <v>-0.50856129125759919</v>
      </c>
      <c r="CB28">
        <v>-0.51961401725270639</v>
      </c>
      <c r="CC28">
        <v>-0.53031237389860719</v>
      </c>
      <c r="CD28">
        <v>-0.54067060465069039</v>
      </c>
      <c r="CE28">
        <v>-0.550702294309664</v>
      </c>
      <c r="CF28">
        <v>-0.56042040107078239</v>
      </c>
      <c r="CG28">
        <v>-0.56983728719997773</v>
      </c>
      <c r="CH28">
        <v>-0.57896474834660649</v>
      </c>
      <c r="CI28">
        <v>-0.5878140415135551</v>
      </c>
      <c r="CJ28">
        <v>-0.59639591171391682</v>
      </c>
      <c r="CK28">
        <v>-0.60472061734956772</v>
      </c>
      <c r="CL28">
        <v>-0.61279795435183071</v>
      </c>
      <c r="CM28">
        <v>-0.62063727912730415</v>
      </c>
      <c r="CN28">
        <v>-0.62824753035467507</v>
      </c>
      <c r="CO28">
        <v>-0.63563724967871627</v>
      </c>
      <c r="CP28">
        <v>-0.64281460134899926</v>
      </c>
      <c r="CQ28">
        <v>-0.64978739085033699</v>
      </c>
      <c r="CR28">
        <v>-0.6565630825714639</v>
      </c>
      <c r="CS28">
        <v>-0.66314881655803948</v>
      </c>
      <c r="CT28">
        <v>-0.66955142439430193</v>
      </c>
      <c r="CU28">
        <v>-0.67577744425700526</v>
      </c>
      <c r="CV28">
        <v>-0.68183313518347644</v>
      </c>
    </row>
    <row r="29" spans="15:100" x14ac:dyDescent="0.25">
      <c r="AA29">
        <v>1</v>
      </c>
      <c r="AB29">
        <v>0.99097298826857605</v>
      </c>
      <c r="AC29">
        <v>0.97184660316626426</v>
      </c>
      <c r="AD29">
        <v>0.94486917020803995</v>
      </c>
      <c r="AE29">
        <v>0.91184993906372558</v>
      </c>
      <c r="AF29">
        <v>0.87427810075055912</v>
      </c>
      <c r="AG29">
        <v>0.83337244280314626</v>
      </c>
      <c r="AH29">
        <v>0.79012465708480073</v>
      </c>
      <c r="AI29">
        <v>0.7453370987717296</v>
      </c>
      <c r="AJ29">
        <v>0.69965518373232805</v>
      </c>
      <c r="AK29">
        <v>0.65359483427890408</v>
      </c>
      <c r="AL29">
        <v>0.60756551529529568</v>
      </c>
      <c r="AM29">
        <v>0.56188943929472512</v>
      </c>
      <c r="AN29">
        <v>0.51681749884713257</v>
      </c>
      <c r="AO29">
        <v>0.47254243619484371</v>
      </c>
      <c r="AP29">
        <v>0.42920969987409863</v>
      </c>
      <c r="AQ29">
        <v>0.38692637647100742</v>
      </c>
      <c r="AR29">
        <v>0.34576852736866781</v>
      </c>
      <c r="AS29">
        <v>0.30578720786105762</v>
      </c>
      <c r="AT29">
        <v>0.26701340013178981</v>
      </c>
      <c r="AU29">
        <v>0.22946205227124841</v>
      </c>
      <c r="AV29">
        <v>0.19313538225401941</v>
      </c>
      <c r="AW29">
        <v>0.15802557794840211</v>
      </c>
      <c r="AX29">
        <v>0.1241170010612362</v>
      </c>
      <c r="AY29">
        <v>9.1387983742058698E-2</v>
      </c>
      <c r="AZ29">
        <v>5.9812290746922139E-2</v>
      </c>
      <c r="BA29">
        <v>2.9360307038717011E-2</v>
      </c>
      <c r="BB29">
        <v>-6.5521699524064913E-15</v>
      </c>
      <c r="BC29">
        <v>-2.830230335116268E-2</v>
      </c>
      <c r="BD29">
        <v>-5.5581290958605957E-2</v>
      </c>
      <c r="BE29">
        <v>-8.1872164867661829E-2</v>
      </c>
      <c r="BF29">
        <v>-0.1072102424854921</v>
      </c>
      <c r="BG29">
        <v>-0.13163064152109441</v>
      </c>
      <c r="BH29">
        <v>-0.15516803343071681</v>
      </c>
      <c r="BI29">
        <v>-0.1778564528786917</v>
      </c>
      <c r="BJ29">
        <v>-0.19972915292888949</v>
      </c>
      <c r="BK29">
        <v>-0.2208184974969542</v>
      </c>
      <c r="BL29">
        <v>-0.24115588408589411</v>
      </c>
      <c r="BM29">
        <v>-0.2607716910582018</v>
      </c>
      <c r="BN29">
        <v>-0.27969524471076479</v>
      </c>
      <c r="BO29">
        <v>-0.29795480225517701</v>
      </c>
      <c r="BP29">
        <v>-0.31557754749605321</v>
      </c>
      <c r="BQ29">
        <v>-0.33258959656934339</v>
      </c>
      <c r="BR29">
        <v>-0.34901601157384238</v>
      </c>
      <c r="BS29">
        <v>-0.36488082031764918</v>
      </c>
      <c r="BT29">
        <v>-0.38020704072341271</v>
      </c>
      <c r="BU29">
        <v>-0.39501670870167183</v>
      </c>
      <c r="BV29">
        <v>-0.4093309085221124</v>
      </c>
      <c r="BW29">
        <v>-0.42316980489414091</v>
      </c>
      <c r="BX29">
        <v>-0.43655267611831139</v>
      </c>
      <c r="BY29">
        <v>-0.44949794779529151</v>
      </c>
      <c r="BZ29">
        <v>-0.46202322668062451</v>
      </c>
      <c r="CA29">
        <v>-0.4741453343589942</v>
      </c>
      <c r="CB29">
        <v>-0.48588034048132128</v>
      </c>
      <c r="CC29">
        <v>-0.49724359536519908</v>
      </c>
      <c r="CD29">
        <v>-0.50824976180696912</v>
      </c>
      <c r="CE29">
        <v>-0.51891284599173848</v>
      </c>
      <c r="CF29">
        <v>-0.52924622741983363</v>
      </c>
      <c r="CG29">
        <v>-0.53926268779360742</v>
      </c>
      <c r="CH29">
        <v>-0.54897443882960806</v>
      </c>
      <c r="CI29">
        <v>-0.55839314897784897</v>
      </c>
      <c r="CJ29">
        <v>-0.56752996904351583</v>
      </c>
      <c r="CK29">
        <v>-0.5763955567171769</v>
      </c>
      <c r="CL29">
        <v>-0.58500010002802494</v>
      </c>
      <c r="CM29">
        <v>-0.5933533397412778</v>
      </c>
      <c r="CN29">
        <v>-0.60146459072584468</v>
      </c>
      <c r="CO29">
        <v>-0.60934276232234752</v>
      </c>
      <c r="CP29">
        <v>-0.61699637774367799</v>
      </c>
      <c r="CQ29">
        <v>-0.62443359254307496</v>
      </c>
      <c r="CR29">
        <v>-0.63166221218488694</v>
      </c>
      <c r="CS29">
        <v>-0.63868970875442277</v>
      </c>
      <c r="CT29">
        <v>-0.64552323684330837</v>
      </c>
      <c r="CU29">
        <v>-0.65216964864623639</v>
      </c>
      <c r="CV29">
        <v>-0.65863550830503437</v>
      </c>
    </row>
    <row r="30" spans="15:100" x14ac:dyDescent="0.25">
      <c r="AB30">
        <v>1</v>
      </c>
      <c r="AC30">
        <v>0.99157394284050504</v>
      </c>
      <c r="AD30">
        <v>0.9736549358157407</v>
      </c>
      <c r="AE30">
        <v>0.9482848384172361</v>
      </c>
      <c r="AF30">
        <v>0.9171173034509349</v>
      </c>
      <c r="AG30">
        <v>0.88152383651227617</v>
      </c>
      <c r="AH30">
        <v>0.84263589538220307</v>
      </c>
      <c r="AI30">
        <v>0.8013818044645733</v>
      </c>
      <c r="AJ30">
        <v>0.7585192115735726</v>
      </c>
      <c r="AK30">
        <v>0.71466317903038301</v>
      </c>
      <c r="AL30">
        <v>0.67031018720634972</v>
      </c>
      <c r="AM30">
        <v>0.62585845275525886</v>
      </c>
      <c r="AN30">
        <v>0.58162500891520763</v>
      </c>
      <c r="AO30">
        <v>0.53785999096259529</v>
      </c>
      <c r="AP30">
        <v>0.49475853908846301</v>
      </c>
      <c r="AQ30">
        <v>0.45247068810283853</v>
      </c>
      <c r="AR30">
        <v>0.4111095669597491</v>
      </c>
      <c r="AS30">
        <v>0.37075818585393888</v>
      </c>
      <c r="AT30">
        <v>0.33147504696613839</v>
      </c>
      <c r="AU30">
        <v>0.29329877784975272</v>
      </c>
      <c r="AV30">
        <v>0.25625195419015129</v>
      </c>
      <c r="AW30">
        <v>0.22034425103305641</v>
      </c>
      <c r="AX30">
        <v>0.1855750381641755</v>
      </c>
      <c r="AY30">
        <v>0.15193551563806551</v>
      </c>
      <c r="AZ30">
        <v>0.11941046900037799</v>
      </c>
      <c r="BA30">
        <v>8.7979710048489965E-2</v>
      </c>
      <c r="BB30">
        <v>5.7619257604064111E-2</v>
      </c>
      <c r="BC30">
        <v>2.830230335116268E-2</v>
      </c>
      <c r="BD30">
        <v>-6.3203140796930444E-15</v>
      </c>
      <c r="BE30">
        <v>-2.7317897404870541E-2</v>
      </c>
      <c r="BF30">
        <v>-5.3682511535317931E-2</v>
      </c>
      <c r="BG30">
        <v>-7.9125423088720517E-2</v>
      </c>
      <c r="BH30">
        <v>-0.103678333886805</v>
      </c>
      <c r="BI30">
        <v>-0.1273727982965778</v>
      </c>
      <c r="BJ30">
        <v>-0.1502400109871655</v>
      </c>
      <c r="BK30">
        <v>-0.17231064108779659</v>
      </c>
      <c r="BL30">
        <v>-0.19361470451111429</v>
      </c>
      <c r="BM30">
        <v>-0.21418146761167181</v>
      </c>
      <c r="BN30">
        <v>-0.2340393765153567</v>
      </c>
      <c r="BO30">
        <v>-0.25321600742130412</v>
      </c>
      <c r="BP30">
        <v>-0.27173803398012297</v>
      </c>
      <c r="BQ30">
        <v>-0.28963120851738722</v>
      </c>
      <c r="BR30">
        <v>-0.30692035442485899</v>
      </c>
      <c r="BS30">
        <v>-0.32362936750123378</v>
      </c>
      <c r="BT30">
        <v>-0.33978122440656833</v>
      </c>
      <c r="BU30">
        <v>-0.3553979967126828</v>
      </c>
      <c r="BV30">
        <v>-0.3705008692964683</v>
      </c>
      <c r="BW30">
        <v>-0.38511016204305859</v>
      </c>
      <c r="BX30">
        <v>-0.39924535401006339</v>
      </c>
      <c r="BY30">
        <v>-0.41292510935569082</v>
      </c>
      <c r="BZ30">
        <v>-0.42616730446175688</v>
      </c>
      <c r="CA30">
        <v>-0.43898905578785508</v>
      </c>
      <c r="CB30">
        <v>-0.45140674808098441</v>
      </c>
      <c r="CC30">
        <v>-0.46343606263831238</v>
      </c>
      <c r="CD30">
        <v>-0.47509200538150043</v>
      </c>
      <c r="CE30">
        <v>-0.48638893455141791</v>
      </c>
      <c r="CF30">
        <v>-0.49734058787363739</v>
      </c>
      <c r="CG30">
        <v>-0.50796010908024225</v>
      </c>
      <c r="CH30">
        <v>-0.51826007370125282</v>
      </c>
      <c r="CI30">
        <v>-0.52825251406304963</v>
      </c>
      <c r="CJ30">
        <v>-0.53794894345021027</v>
      </c>
      <c r="CK30">
        <v>-0.54736037940282034</v>
      </c>
      <c r="CL30">
        <v>-0.55649736613416245</v>
      </c>
      <c r="CM30">
        <v>-0.56536999606434057</v>
      </c>
      <c r="CN30">
        <v>-0.57398793047309249</v>
      </c>
      <c r="CO30">
        <v>-0.58236041928233817</v>
      </c>
      <c r="CP30">
        <v>-0.59049631998363294</v>
      </c>
      <c r="CQ30">
        <v>-0.59840411573010188</v>
      </c>
      <c r="CR30">
        <v>-0.60609193261520533</v>
      </c>
      <c r="CS30">
        <v>-0.61356755616325254</v>
      </c>
      <c r="CT30">
        <v>-0.62083844705774616</v>
      </c>
      <c r="CU30">
        <v>-0.62791175613522499</v>
      </c>
      <c r="CV30">
        <v>-0.6347943386722279</v>
      </c>
    </row>
    <row r="31" spans="15:100" x14ac:dyDescent="0.25">
      <c r="AC31">
        <v>1</v>
      </c>
      <c r="AD31">
        <v>0.99211684434648029</v>
      </c>
      <c r="AE31">
        <v>0.97529469048270667</v>
      </c>
      <c r="AF31">
        <v>0.95139345139699227</v>
      </c>
      <c r="AG31">
        <v>0.92192829567745216</v>
      </c>
      <c r="AH31">
        <v>0.88816475371795711</v>
      </c>
      <c r="AI31">
        <v>0.85115459340254174</v>
      </c>
      <c r="AJ31">
        <v>0.81176741858365276</v>
      </c>
      <c r="AK31">
        <v>0.77071866905969544</v>
      </c>
      <c r="AL31">
        <v>0.72859405162312985</v>
      </c>
      <c r="AM31">
        <v>0.68587058508431309</v>
      </c>
      <c r="AN31">
        <v>0.64293455606458416</v>
      </c>
      <c r="AO31">
        <v>0.60009673124864116</v>
      </c>
      <c r="AP31">
        <v>0.55760517791055408</v>
      </c>
      <c r="AQ31">
        <v>0.51565602648911413</v>
      </c>
      <c r="AR31">
        <v>0.47440247894090021</v>
      </c>
      <c r="AS31">
        <v>0.43396233193629219</v>
      </c>
      <c r="AT31">
        <v>0.39442424895810052</v>
      </c>
      <c r="AU31">
        <v>0.35585298232890511</v>
      </c>
      <c r="AV31">
        <v>0.3182937162511047</v>
      </c>
      <c r="AW31">
        <v>0.28177567549591448</v>
      </c>
      <c r="AX31">
        <v>0.2463151214288696</v>
      </c>
      <c r="AY31">
        <v>0.2119178373892722</v>
      </c>
      <c r="AZ31">
        <v>0.1785811887334362</v>
      </c>
      <c r="BA31">
        <v>0.14629582875053609</v>
      </c>
      <c r="BB31">
        <v>0.11504710981659071</v>
      </c>
      <c r="BC31">
        <v>8.4816249238009789E-2</v>
      </c>
      <c r="BD31">
        <v>5.5581290958605957E-2</v>
      </c>
      <c r="BE31">
        <v>2.7317897404870541E-2</v>
      </c>
      <c r="BF31">
        <v>-6.1043038763142086E-15</v>
      </c>
      <c r="BG31">
        <v>-2.6399667900476449E-2</v>
      </c>
      <c r="BH31">
        <v>-5.1909135872809958E-2</v>
      </c>
      <c r="BI31">
        <v>-7.6556842613433693E-2</v>
      </c>
      <c r="BJ31">
        <v>-0.1003713497239868</v>
      </c>
      <c r="BK31">
        <v>-0.1233811116500287</v>
      </c>
      <c r="BL31">
        <v>-0.1456142922319604</v>
      </c>
      <c r="BM31">
        <v>-0.1670986199095485</v>
      </c>
      <c r="BN31">
        <v>-0.18786127493937721</v>
      </c>
      <c r="BO31">
        <v>-0.20792880308377251</v>
      </c>
      <c r="BP31">
        <v>-0.22732705114520829</v>
      </c>
      <c r="BQ31">
        <v>-0.24608112048528011</v>
      </c>
      <c r="BR31">
        <v>-0.26421533530513419</v>
      </c>
      <c r="BS31">
        <v>-0.28175322299762667</v>
      </c>
      <c r="BT31">
        <v>-0.29871750432730948</v>
      </c>
      <c r="BU31">
        <v>-0.31513009156671268</v>
      </c>
      <c r="BV31">
        <v>-0.33101209302971141</v>
      </c>
      <c r="BW31">
        <v>-0.34638382270366308</v>
      </c>
      <c r="BX31">
        <v>-0.36126481390047421</v>
      </c>
      <c r="BY31">
        <v>-0.37567383603026611</v>
      </c>
      <c r="BZ31">
        <v>-0.3896289137542574</v>
      </c>
      <c r="CA31">
        <v>-0.40314734790242102</v>
      </c>
      <c r="CB31">
        <v>-0.4162457376489429</v>
      </c>
      <c r="CC31">
        <v>-0.42894000352867662</v>
      </c>
      <c r="CD31">
        <v>-0.44124541095350472</v>
      </c>
      <c r="CE31">
        <v>-0.45317659395060489</v>
      </c>
      <c r="CF31">
        <v>-0.46474757889740831</v>
      </c>
      <c r="CG31">
        <v>-0.47597180807256478</v>
      </c>
      <c r="CH31">
        <v>-0.48686216287881301</v>
      </c>
      <c r="CI31">
        <v>-0.49743098662432211</v>
      </c>
      <c r="CJ31">
        <v>-0.50769010677530346</v>
      </c>
      <c r="CK31">
        <v>-0.51765085661296184</v>
      </c>
      <c r="CL31">
        <v>-0.5273240962464405</v>
      </c>
      <c r="CM31">
        <v>-0.5367202329472377</v>
      </c>
      <c r="CN31">
        <v>-0.54584924078303465</v>
      </c>
      <c r="CO31">
        <v>-0.55472067953821369</v>
      </c>
      <c r="CP31">
        <v>-0.5633437129169574</v>
      </c>
      <c r="CQ31">
        <v>-0.57172712603047526</v>
      </c>
      <c r="CR31">
        <v>-0.57987934217596293</v>
      </c>
      <c r="CS31">
        <v>-0.58780843891827828</v>
      </c>
      <c r="CT31">
        <v>-0.59552216348908282</v>
      </c>
      <c r="CU31">
        <v>-0.60302794752029154</v>
      </c>
      <c r="CV31">
        <v>-0.61033292113096427</v>
      </c>
    </row>
    <row r="32" spans="15:100" x14ac:dyDescent="0.25">
      <c r="AD32">
        <v>1</v>
      </c>
      <c r="AE32">
        <v>0.99260893397276018</v>
      </c>
      <c r="AF32">
        <v>0.9767861633169016</v>
      </c>
      <c r="AG32">
        <v>0.95423064891280363</v>
      </c>
      <c r="AH32">
        <v>0.92633393201608727</v>
      </c>
      <c r="AI32">
        <v>0.89426591198562433</v>
      </c>
      <c r="AJ32">
        <v>0.85900556704651887</v>
      </c>
      <c r="AK32">
        <v>0.82136811196148696</v>
      </c>
      <c r="AL32">
        <v>0.78202923714946659</v>
      </c>
      <c r="AM32">
        <v>0.74154641914738995</v>
      </c>
      <c r="AN32">
        <v>0.70037741678068377</v>
      </c>
      <c r="AO32">
        <v>0.65889617020259128</v>
      </c>
      <c r="AP32">
        <v>0.61740636950196182</v>
      </c>
      <c r="AQ32">
        <v>0.57615297233386453</v>
      </c>
      <c r="AR32">
        <v>0.53533194106868842</v>
      </c>
      <c r="AS32">
        <v>0.49509844946839648</v>
      </c>
      <c r="AT32">
        <v>0.4555737832627505</v>
      </c>
      <c r="AU32">
        <v>0.41685113203270863</v>
      </c>
      <c r="AV32">
        <v>0.37900044368276931</v>
      </c>
      <c r="AW32">
        <v>0.34207248863880141</v>
      </c>
      <c r="AX32">
        <v>0.30610225924609241</v>
      </c>
      <c r="AY32">
        <v>0.27111181079735802</v>
      </c>
      <c r="AZ32">
        <v>0.2371126341083965</v>
      </c>
      <c r="BA32">
        <v>0.2041076353878031</v>
      </c>
      <c r="BB32">
        <v>0.17209278707505679</v>
      </c>
      <c r="BC32">
        <v>0.14105850309217749</v>
      </c>
      <c r="BD32">
        <v>0.11099078332253599</v>
      </c>
      <c r="BE32">
        <v>8.1872164867661829E-2</v>
      </c>
      <c r="BF32">
        <v>5.3682511535317931E-2</v>
      </c>
      <c r="BG32">
        <v>2.6399667900476449E-2</v>
      </c>
      <c r="BH32">
        <v>-5.902568841804114E-15</v>
      </c>
      <c r="BI32">
        <v>-2.5541158861097351E-2</v>
      </c>
      <c r="BJ32">
        <v>-5.0249141710844873E-2</v>
      </c>
      <c r="BK32">
        <v>-7.4149647946121444E-2</v>
      </c>
      <c r="BL32">
        <v>-9.7268498927626054E-2</v>
      </c>
      <c r="BM32">
        <v>-0.11963144001443</v>
      </c>
      <c r="BN32">
        <v>-0.1412639813879891</v>
      </c>
      <c r="BO32">
        <v>-0.1621912712463742</v>
      </c>
      <c r="BP32">
        <v>-0.18243799598076779</v>
      </c>
      <c r="BQ32">
        <v>-0.20202830281074921</v>
      </c>
      <c r="BR32">
        <v>-0.22098574108027211</v>
      </c>
      <c r="BS32">
        <v>-0.2393332190249641</v>
      </c>
      <c r="BT32">
        <v>-0.25709297333229131</v>
      </c>
      <c r="BU32">
        <v>-0.27428654924608331</v>
      </c>
      <c r="BV32">
        <v>-0.29093478932760503</v>
      </c>
      <c r="BW32">
        <v>-0.30705782928958358</v>
      </c>
      <c r="BX32">
        <v>-0.32267509957468032</v>
      </c>
      <c r="BY32">
        <v>-0.33780533156563552</v>
      </c>
      <c r="BZ32">
        <v>-0.35246656749524918</v>
      </c>
      <c r="CA32">
        <v>-0.36667617327705182</v>
      </c>
      <c r="CB32">
        <v>-0.38045085360630893</v>
      </c>
      <c r="CC32">
        <v>-0.39380666878944021</v>
      </c>
      <c r="CD32">
        <v>-0.40675905285112851</v>
      </c>
      <c r="CE32">
        <v>-0.41932283254541081</v>
      </c>
      <c r="CF32">
        <v>-0.43151224696236917</v>
      </c>
      <c r="CG32">
        <v>-0.4433409674757956</v>
      </c>
      <c r="CH32">
        <v>-0.45482211782409671</v>
      </c>
      <c r="CI32">
        <v>-0.46596829415480678</v>
      </c>
      <c r="CJ32">
        <v>-0.47679158489593831</v>
      </c>
      <c r="CK32">
        <v>-0.48730359034431969</v>
      </c>
      <c r="CL32">
        <v>-0.49751544188441088</v>
      </c>
      <c r="CM32">
        <v>-0.50743782077003829</v>
      </c>
      <c r="CN32">
        <v>-0.51708097641726547</v>
      </c>
      <c r="CO32">
        <v>-0.52645474417054205</v>
      </c>
      <c r="CP32">
        <v>-0.53556856251465801</v>
      </c>
      <c r="CQ32">
        <v>-0.5444314897148439</v>
      </c>
      <c r="CR32">
        <v>-0.55305221987460307</v>
      </c>
      <c r="CS32">
        <v>-0.5614390984069868</v>
      </c>
      <c r="CT32">
        <v>-0.56960013692047928</v>
      </c>
      <c r="CU32">
        <v>-0.57754302752430486</v>
      </c>
      <c r="CV32">
        <v>-0.58527515656172668</v>
      </c>
    </row>
    <row r="33" spans="31:100" x14ac:dyDescent="0.25">
      <c r="AE33">
        <v>1</v>
      </c>
      <c r="AF33">
        <v>0.99305635843366225</v>
      </c>
      <c r="AG33">
        <v>0.97814668887993594</v>
      </c>
      <c r="AH33">
        <v>0.95682705843698557</v>
      </c>
      <c r="AI33">
        <v>0.93037832398293596</v>
      </c>
      <c r="AJ33">
        <v>0.89988390897660786</v>
      </c>
      <c r="AK33">
        <v>0.86625623202567348</v>
      </c>
      <c r="AL33">
        <v>0.8302601382070911</v>
      </c>
      <c r="AM33">
        <v>0.79253395260155468</v>
      </c>
      <c r="AN33">
        <v>0.75360812188694681</v>
      </c>
      <c r="AO33">
        <v>0.71392150931480591</v>
      </c>
      <c r="AP33">
        <v>0.67383550007645954</v>
      </c>
      <c r="AQ33">
        <v>0.63364612229852779</v>
      </c>
      <c r="AR33">
        <v>0.59359440563963117</v>
      </c>
      <c r="AS33">
        <v>0.55387519687695874</v>
      </c>
      <c r="AT33">
        <v>0.51464463848540887</v>
      </c>
      <c r="AU33">
        <v>0.47602649750285619</v>
      </c>
      <c r="AV33">
        <v>0.4381175113207359</v>
      </c>
      <c r="AW33">
        <v>0.40099189643640498</v>
      </c>
      <c r="AX33">
        <v>0.36470514676295762</v>
      </c>
      <c r="AY33">
        <v>0.32929723036846209</v>
      </c>
      <c r="AZ33">
        <v>0.29479527772168629</v>
      </c>
      <c r="BA33">
        <v>0.26121584066994308</v>
      </c>
      <c r="BB33">
        <v>0.22856678936272759</v>
      </c>
      <c r="BC33">
        <v>0.19684890400736099</v>
      </c>
      <c r="BD33">
        <v>0.16605720951639749</v>
      </c>
      <c r="BE33">
        <v>0.13618209359916081</v>
      </c>
      <c r="BF33">
        <v>0.1072102424854921</v>
      </c>
      <c r="BG33">
        <v>7.9125423088720517E-2</v>
      </c>
      <c r="BH33">
        <v>5.1909135872809958E-2</v>
      </c>
      <c r="BI33">
        <v>2.5541158861097351E-2</v>
      </c>
      <c r="BJ33">
        <v>-5.7137393518634281E-15</v>
      </c>
      <c r="BK33">
        <v>-2.473672762195973E-2</v>
      </c>
      <c r="BL33">
        <v>-4.8691995482557558E-2</v>
      </c>
      <c r="BM33">
        <v>-7.1889103964964784E-2</v>
      </c>
      <c r="BN33">
        <v>-9.4351472647222406E-2</v>
      </c>
      <c r="BO33">
        <v>-0.11610246922168831</v>
      </c>
      <c r="BP33">
        <v>-0.13716527086946059</v>
      </c>
      <c r="BQ33">
        <v>-0.15756275287897131</v>
      </c>
      <c r="BR33">
        <v>-0.17731740011085709</v>
      </c>
      <c r="BS33">
        <v>-0.19645123759595459</v>
      </c>
      <c r="BT33">
        <v>-0.21498577713168221</v>
      </c>
      <c r="BU33">
        <v>-0.23294197722919849</v>
      </c>
      <c r="BV33">
        <v>-0.25034021417589458</v>
      </c>
      <c r="BW33">
        <v>-0.26720026232562072</v>
      </c>
      <c r="BX33">
        <v>-0.28354128202304929</v>
      </c>
      <c r="BY33">
        <v>-0.2993818138172113</v>
      </c>
      <c r="BZ33">
        <v>-0.31473977783006818</v>
      </c>
      <c r="CA33">
        <v>-0.32963247732342821</v>
      </c>
      <c r="CB33">
        <v>-0.3440766056588862</v>
      </c>
      <c r="CC33">
        <v>-0.35808825597310429</v>
      </c>
      <c r="CD33">
        <v>-0.37168293299835192</v>
      </c>
      <c r="CE33">
        <v>-0.38487556655109029</v>
      </c>
      <c r="CF33">
        <v>-0.39768052628762141</v>
      </c>
      <c r="CG33">
        <v>-0.41011163739315309</v>
      </c>
      <c r="CH33">
        <v>-0.42218219692495412</v>
      </c>
      <c r="CI33">
        <v>-0.43390499057879289</v>
      </c>
      <c r="CJ33">
        <v>-0.44529230968693878</v>
      </c>
      <c r="CK33">
        <v>-0.45635596829035369</v>
      </c>
      <c r="CL33">
        <v>-0.46710732015621609</v>
      </c>
      <c r="CM33">
        <v>-0.47755727563591588</v>
      </c>
      <c r="CN33">
        <v>-0.48771631827957551</v>
      </c>
      <c r="CO33">
        <v>-0.49759452113966679</v>
      </c>
      <c r="CP33">
        <v>-0.50720156271155659</v>
      </c>
      <c r="CQ33">
        <v>-0.5165467424702459</v>
      </c>
      <c r="CR33">
        <v>-0.52563899597350949</v>
      </c>
      <c r="CS33">
        <v>-0.53448690950944933</v>
      </c>
      <c r="CT33">
        <v>-0.54309873427416788</v>
      </c>
      <c r="CU33">
        <v>-0.55148240007082672</v>
      </c>
      <c r="CV33">
        <v>-0.55964552852645311</v>
      </c>
    </row>
    <row r="34" spans="31:100" x14ac:dyDescent="0.25">
      <c r="AF34">
        <v>1</v>
      </c>
      <c r="AG34">
        <v>0.99346436258750748</v>
      </c>
      <c r="AH34">
        <v>0.9793911434299214</v>
      </c>
      <c r="AI34">
        <v>0.95920911586873037</v>
      </c>
      <c r="AJ34">
        <v>0.9340997654697033</v>
      </c>
      <c r="AK34">
        <v>0.90506815879722813</v>
      </c>
      <c r="AL34">
        <v>0.87296578017958559</v>
      </c>
      <c r="AM34">
        <v>0.8385108227781124</v>
      </c>
      <c r="AN34">
        <v>0.80230653395809337</v>
      </c>
      <c r="AO34">
        <v>0.76485756742647726</v>
      </c>
      <c r="AP34">
        <v>0.72658437267562359</v>
      </c>
      <c r="AQ34">
        <v>0.68783573332654857</v>
      </c>
      <c r="AR34">
        <v>0.64889961172478772</v>
      </c>
      <c r="AS34">
        <v>0.61001247601549524</v>
      </c>
      <c r="AT34">
        <v>0.5713672877371313</v>
      </c>
      <c r="AU34">
        <v>0.53312031983277852</v>
      </c>
      <c r="AV34">
        <v>0.49539696157274732</v>
      </c>
      <c r="AW34">
        <v>0.45829665117929641</v>
      </c>
      <c r="AX34">
        <v>0.42189706075452638</v>
      </c>
      <c r="AY34">
        <v>0.38625764249076872</v>
      </c>
      <c r="AZ34">
        <v>0.35142263065665952</v>
      </c>
      <c r="BA34">
        <v>0.31742358076409039</v>
      </c>
      <c r="BB34">
        <v>0.28428151570816568</v>
      </c>
      <c r="BC34">
        <v>0.25200873849742927</v>
      </c>
      <c r="BD34">
        <v>0.2206103623619988</v>
      </c>
      <c r="BE34">
        <v>0.19008560141736691</v>
      </c>
      <c r="BF34">
        <v>0.1604288585376823</v>
      </c>
      <c r="BG34">
        <v>0.13163064152109441</v>
      </c>
      <c r="BH34">
        <v>0.103678333886805</v>
      </c>
      <c r="BI34">
        <v>7.6556842613433693E-2</v>
      </c>
      <c r="BJ34">
        <v>5.024914171084488E-2</v>
      </c>
      <c r="BK34">
        <v>2.473672762195973E-2</v>
      </c>
      <c r="BL34">
        <v>-5.5366155410011683E-15</v>
      </c>
      <c r="BM34">
        <v>-2.398142066756433E-2</v>
      </c>
      <c r="BN34">
        <v>-4.7228428871243601E-2</v>
      </c>
      <c r="BO34">
        <v>-6.9762215095011293E-2</v>
      </c>
      <c r="BP34">
        <v>-9.1604085057484352E-2</v>
      </c>
      <c r="BQ34">
        <v>-0.11277531126325049</v>
      </c>
      <c r="BR34">
        <v>-0.13329701184823459</v>
      </c>
      <c r="BS34">
        <v>-0.15319005246373221</v>
      </c>
      <c r="BT34">
        <v>-0.17247496758889361</v>
      </c>
      <c r="BU34">
        <v>-0.19117189820767541</v>
      </c>
      <c r="BV34">
        <v>-0.2093005432497668</v>
      </c>
      <c r="BW34">
        <v>-0.2268801225877837</v>
      </c>
      <c r="BX34">
        <v>-0.24392934971681379</v>
      </c>
      <c r="BY34">
        <v>-0.2604664125255427</v>
      </c>
      <c r="BZ34">
        <v>-0.2765089608089536</v>
      </c>
      <c r="CA34">
        <v>-0.29207409937705692</v>
      </c>
      <c r="CB34">
        <v>-0.30717838578791667</v>
      </c>
      <c r="CC34">
        <v>-0.32183783188163051</v>
      </c>
      <c r="CD34">
        <v>-0.33606790841717499</v>
      </c>
      <c r="CE34">
        <v>-0.34988355222201428</v>
      </c>
      <c r="CF34">
        <v>-0.3632991753548952</v>
      </c>
      <c r="CG34">
        <v>-0.37632867586033941</v>
      </c>
      <c r="CH34">
        <v>-0.38898544975973742</v>
      </c>
      <c r="CI34">
        <v>-0.40128240397968618</v>
      </c>
      <c r="CJ34">
        <v>-0.41323196996696832</v>
      </c>
      <c r="CK34">
        <v>-0.42484611777994991</v>
      </c>
      <c r="CL34">
        <v>-0.43613637048127918</v>
      </c>
      <c r="CM34">
        <v>-0.44711381868607902</v>
      </c>
      <c r="CN34">
        <v>-0.45778913514550851</v>
      </c>
      <c r="CO34">
        <v>-0.46817258926648891</v>
      </c>
      <c r="CP34">
        <v>-0.47827406148684742</v>
      </c>
      <c r="CQ34">
        <v>-0.48810305744058419</v>
      </c>
      <c r="CR34">
        <v>-0.49766872186085748</v>
      </c>
      <c r="CS34">
        <v>-0.50697985217964925</v>
      </c>
      <c r="CT34">
        <v>-0.51604491179200607</v>
      </c>
      <c r="CU34">
        <v>-0.52487204296099621</v>
      </c>
      <c r="CV34">
        <v>-0.53346907934597798</v>
      </c>
    </row>
    <row r="35" spans="31:100" x14ac:dyDescent="0.25">
      <c r="AG35">
        <v>1</v>
      </c>
      <c r="AH35">
        <v>0.99383744364438309</v>
      </c>
      <c r="AI35">
        <v>0.98053235128252259</v>
      </c>
      <c r="AJ35">
        <v>0.96139973400684642</v>
      </c>
      <c r="AK35">
        <v>0.93753162613981766</v>
      </c>
      <c r="AL35">
        <v>0.90986195218028265</v>
      </c>
      <c r="AM35">
        <v>0.87918634347934232</v>
      </c>
      <c r="AN35">
        <v>0.84617977210398332</v>
      </c>
      <c r="AO35">
        <v>0.8114125857934269</v>
      </c>
      <c r="AP35">
        <v>0.77536489029935773</v>
      </c>
      <c r="AQ35">
        <v>0.73843928529285452</v>
      </c>
      <c r="AR35">
        <v>0.70097203119471185</v>
      </c>
      <c r="AS35">
        <v>0.66324276693585948</v>
      </c>
      <c r="AT35">
        <v>0.62548291840984782</v>
      </c>
      <c r="AU35">
        <v>0.58788294214547998</v>
      </c>
      <c r="AV35">
        <v>0.55059854443323419</v>
      </c>
      <c r="AW35">
        <v>0.513756006783054</v>
      </c>
      <c r="AX35">
        <v>0.47745673676935302</v>
      </c>
      <c r="AY35">
        <v>0.44178115065445173</v>
      </c>
      <c r="AZ35">
        <v>0.40679198165902758</v>
      </c>
      <c r="BA35">
        <v>0.37253709592431722</v>
      </c>
      <c r="BB35">
        <v>0.33905188737602959</v>
      </c>
      <c r="BC35">
        <v>0.30636131296902069</v>
      </c>
      <c r="BD35">
        <v>0.27448162117853359</v>
      </c>
      <c r="BE35">
        <v>0.2434218190593162</v>
      </c>
      <c r="BF35">
        <v>0.21318491663676969</v>
      </c>
      <c r="BG35">
        <v>0.18376898172960049</v>
      </c>
      <c r="BH35">
        <v>0.15516803343071681</v>
      </c>
      <c r="BI35">
        <v>0.1273727982965778</v>
      </c>
      <c r="BJ35">
        <v>0.1003713497239868</v>
      </c>
      <c r="BK35">
        <v>7.4149647946121444E-2</v>
      </c>
      <c r="BL35">
        <v>4.8691995482557558E-2</v>
      </c>
      <c r="BM35">
        <v>2.398142066756433E-2</v>
      </c>
      <c r="BN35">
        <v>-5.3701417950661742E-15</v>
      </c>
      <c r="BO35">
        <v>-2.3270871540747941E-2</v>
      </c>
      <c r="BP35">
        <v>-4.5850254428237848E-2</v>
      </c>
      <c r="BQ35">
        <v>-6.7757476142946582E-2</v>
      </c>
      <c r="BR35">
        <v>-8.9011974700913626E-2</v>
      </c>
      <c r="BS35">
        <v>-0.1096331693463263</v>
      </c>
      <c r="BT35">
        <v>-0.1296403543089911</v>
      </c>
      <c r="BU35">
        <v>-0.149052612131755</v>
      </c>
      <c r="BV35">
        <v>-0.16788874358832209</v>
      </c>
      <c r="BW35">
        <v>-0.18616721165041039</v>
      </c>
      <c r="BX35">
        <v>-0.20390609733668219</v>
      </c>
      <c r="BY35">
        <v>-0.22112306559431899</v>
      </c>
      <c r="BZ35">
        <v>-0.23783533963626211</v>
      </c>
      <c r="CA35">
        <v>-0.25405968238810828</v>
      </c>
      <c r="CB35">
        <v>-0.2698123838972295</v>
      </c>
      <c r="CC35">
        <v>-0.28510925372530571</v>
      </c>
      <c r="CD35">
        <v>-0.2999656174896676</v>
      </c>
      <c r="CE35">
        <v>-0.31439631684279779</v>
      </c>
      <c r="CF35">
        <v>-0.3284157122841509</v>
      </c>
      <c r="CG35">
        <v>-0.34203768828933029</v>
      </c>
      <c r="CH35">
        <v>-0.35527566031815461</v>
      </c>
      <c r="CI35">
        <v>-0.36814258333008232</v>
      </c>
      <c r="CJ35">
        <v>-0.38065096149101918</v>
      </c>
      <c r="CK35">
        <v>-0.39281285880466082</v>
      </c>
      <c r="CL35">
        <v>-0.40463991044271608</v>
      </c>
      <c r="CM35">
        <v>-0.41614333458342567</v>
      </c>
      <c r="CN35">
        <v>-0.42733394459874391</v>
      </c>
      <c r="CO35">
        <v>-0.43822216145596338</v>
      </c>
      <c r="CP35">
        <v>-0.4488180262219722</v>
      </c>
      <c r="CQ35">
        <v>-0.45913121257730682</v>
      </c>
      <c r="CR35">
        <v>-0.46917103926316961</v>
      </c>
      <c r="CS35">
        <v>-0.47894648239861592</v>
      </c>
      <c r="CT35">
        <v>-0.48846618761665139</v>
      </c>
      <c r="CU35">
        <v>-0.49773848197828302</v>
      </c>
      <c r="CV35">
        <v>-0.50677138563168822</v>
      </c>
    </row>
    <row r="36" spans="31:100" x14ac:dyDescent="0.25">
      <c r="AH36">
        <v>1</v>
      </c>
      <c r="AI36">
        <v>0.99417947547312968</v>
      </c>
      <c r="AJ36">
        <v>0.98158141498697105</v>
      </c>
      <c r="AK36">
        <v>0.96341885014356188</v>
      </c>
      <c r="AL36">
        <v>0.94070308939532021</v>
      </c>
      <c r="AM36">
        <v>0.91430333969020339</v>
      </c>
      <c r="AN36">
        <v>0.88496397216960898</v>
      </c>
      <c r="AO36">
        <v>0.85331989872065717</v>
      </c>
      <c r="AP36">
        <v>0.8199106291389584</v>
      </c>
      <c r="AQ36">
        <v>0.78519295380487963</v>
      </c>
      <c r="AR36">
        <v>0.74955224131806375</v>
      </c>
      <c r="AS36">
        <v>0.71331240270410867</v>
      </c>
      <c r="AT36">
        <v>0.67674461305636202</v>
      </c>
      <c r="AU36">
        <v>0.64007490126595634</v>
      </c>
      <c r="AV36">
        <v>0.6034907251667706</v>
      </c>
      <c r="AW36">
        <v>0.56714664791567415</v>
      </c>
      <c r="AX36">
        <v>0.53116922515504839</v>
      </c>
      <c r="AY36">
        <v>0.49566120371805422</v>
      </c>
      <c r="AZ36">
        <v>0.46070512278884912</v>
      </c>
      <c r="BA36">
        <v>0.42636639842043561</v>
      </c>
      <c r="BB36">
        <v>0.39269596267922419</v>
      </c>
      <c r="BC36">
        <v>0.3597325197238429</v>
      </c>
      <c r="BD36">
        <v>0.32750447297905089</v>
      </c>
      <c r="BE36">
        <v>0.29603157027774479</v>
      </c>
      <c r="BF36">
        <v>0.2653263074011919</v>
      </c>
      <c r="BG36">
        <v>0.23539512480111971</v>
      </c>
      <c r="BH36">
        <v>0.20623942737138601</v>
      </c>
      <c r="BI36">
        <v>0.1778564528786917</v>
      </c>
      <c r="BJ36">
        <v>0.1502400109871655</v>
      </c>
      <c r="BK36">
        <v>0.1233811116500287</v>
      </c>
      <c r="BL36">
        <v>9.7268498927626054E-2</v>
      </c>
      <c r="BM36">
        <v>7.1889103964964784E-2</v>
      </c>
      <c r="BN36">
        <v>4.7228428871243601E-2</v>
      </c>
      <c r="BO36">
        <v>2.3270871540747941E-2</v>
      </c>
      <c r="BP36">
        <v>-5.213385708298648E-15</v>
      </c>
      <c r="BQ36">
        <v>-2.2601216378020761E-2</v>
      </c>
      <c r="BR36">
        <v>-4.4550212513060523E-2</v>
      </c>
      <c r="BS36">
        <v>-6.5864664738160023E-2</v>
      </c>
      <c r="BT36">
        <v>-8.6562354804613356E-2</v>
      </c>
      <c r="BU36">
        <v>-0.10666105683588691</v>
      </c>
      <c r="BV36">
        <v>-0.1261784438617467</v>
      </c>
      <c r="BW36">
        <v>-0.1451320110468006</v>
      </c>
      <c r="BX36">
        <v>-0.1635390131418529</v>
      </c>
      <c r="BY36">
        <v>-0.181416414040695</v>
      </c>
      <c r="BZ36">
        <v>-0.19878084662710341</v>
      </c>
      <c r="CA36">
        <v>-0.21564858135741399</v>
      </c>
      <c r="CB36">
        <v>-0.23203550224537089</v>
      </c>
      <c r="CC36">
        <v>-0.2479570891071522</v>
      </c>
      <c r="CD36">
        <v>-0.2634284050874125</v>
      </c>
      <c r="CE36">
        <v>-0.27846408862785649</v>
      </c>
      <c r="CF36">
        <v>-0.29307834915940739</v>
      </c>
      <c r="CG36">
        <v>-0.30728496590321652</v>
      </c>
      <c r="CH36">
        <v>-0.32109728925359687</v>
      </c>
      <c r="CI36">
        <v>-0.33452824429271261</v>
      </c>
      <c r="CJ36">
        <v>-0.34759033605212752</v>
      </c>
      <c r="CK36">
        <v>-0.36029565619273418</v>
      </c>
      <c r="CL36">
        <v>-0.37265589082257761</v>
      </c>
      <c r="CM36">
        <v>-0.38468232921429102</v>
      </c>
      <c r="CN36">
        <v>-0.39638587321899987</v>
      </c>
      <c r="CO36">
        <v>-0.40777704720476871</v>
      </c>
      <c r="CP36">
        <v>-0.41886600837383797</v>
      </c>
      <c r="CQ36">
        <v>-0.42966255733565811</v>
      </c>
      <c r="CR36">
        <v>-0.44017614883228262</v>
      </c>
      <c r="CS36">
        <v>-0.45041590252946212</v>
      </c>
      <c r="CT36">
        <v>-0.4603906138011109</v>
      </c>
      <c r="CU36">
        <v>-0.47010876444704192</v>
      </c>
      <c r="CV36">
        <v>-0.47957853329494421</v>
      </c>
    </row>
    <row r="37" spans="31:100" x14ac:dyDescent="0.25">
      <c r="AI37">
        <v>1</v>
      </c>
      <c r="AJ37">
        <v>0.99449380945325783</v>
      </c>
      <c r="AK37">
        <v>0.98254798519852349</v>
      </c>
      <c r="AL37">
        <v>0.96528387707648333</v>
      </c>
      <c r="AM37">
        <v>0.94363976494360191</v>
      </c>
      <c r="AN37">
        <v>0.9184258706979106</v>
      </c>
      <c r="AO37">
        <v>0.89033945983799612</v>
      </c>
      <c r="AP37">
        <v>0.85997829318375452</v>
      </c>
      <c r="AQ37">
        <v>0.82785298541961694</v>
      </c>
      <c r="AR37">
        <v>0.79439821707030944</v>
      </c>
      <c r="AS37">
        <v>0.75998277817333193</v>
      </c>
      <c r="AT37">
        <v>0.72491847598114578</v>
      </c>
      <c r="AU37">
        <v>0.68946797481109356</v>
      </c>
      <c r="AV37">
        <v>0.65385165543221202</v>
      </c>
      <c r="AW37">
        <v>0.61825358920153362</v>
      </c>
      <c r="AX37">
        <v>0.58282672265148228</v>
      </c>
      <c r="AY37">
        <v>0.54769736428887961</v>
      </c>
      <c r="AZ37">
        <v>0.51296905895115064</v>
      </c>
      <c r="BA37">
        <v>0.47872592746342502</v>
      </c>
      <c r="BB37">
        <v>0.44503554136968859</v>
      </c>
      <c r="BC37">
        <v>0.41195139467724751</v>
      </c>
      <c r="BD37">
        <v>0.37951502715187602</v>
      </c>
      <c r="BE37">
        <v>0.34775784688518641</v>
      </c>
      <c r="BF37">
        <v>0.31670269369332749</v>
      </c>
      <c r="BG37">
        <v>0.28636517940702949</v>
      </c>
      <c r="BH37">
        <v>0.25675483625300149</v>
      </c>
      <c r="BI37">
        <v>0.2278761002631208</v>
      </c>
      <c r="BJ37">
        <v>0.19972915292888949</v>
      </c>
      <c r="BK37">
        <v>0.17231064108779659</v>
      </c>
      <c r="BL37">
        <v>0.1456142922319604</v>
      </c>
      <c r="BM37">
        <v>0.11963144001443</v>
      </c>
      <c r="BN37">
        <v>9.4351472647222406E-2</v>
      </c>
      <c r="BO37">
        <v>6.9762215095011293E-2</v>
      </c>
      <c r="BP37">
        <v>4.5850254428237848E-2</v>
      </c>
      <c r="BQ37">
        <v>2.2601216378020761E-2</v>
      </c>
      <c r="BR37">
        <v>-5.0655206191868984E-15</v>
      </c>
      <c r="BS37">
        <v>-2.1969023619963061E-2</v>
      </c>
      <c r="BT37">
        <v>-4.3321843520431128E-2</v>
      </c>
      <c r="BU37">
        <v>-6.4074667499106536E-2</v>
      </c>
      <c r="BV37">
        <v>-8.4243803462394046E-2</v>
      </c>
      <c r="BW37">
        <v>-0.1038455602527419</v>
      </c>
      <c r="BX37">
        <v>-0.12289616516966111</v>
      </c>
      <c r="BY37">
        <v>-0.14141169579016619</v>
      </c>
      <c r="BZ37">
        <v>-0.15940802402830101</v>
      </c>
      <c r="CA37">
        <v>-0.17690077066073701</v>
      </c>
      <c r="CB37">
        <v>-0.19390526879288039</v>
      </c>
      <c r="CC37">
        <v>-0.2104365349519228</v>
      </c>
      <c r="CD37">
        <v>-0.22650924667644379</v>
      </c>
      <c r="CE37">
        <v>-0.2421377256291162</v>
      </c>
      <c r="CF37">
        <v>-0.25733592539520328</v>
      </c>
      <c r="CG37">
        <v>-0.27211742324533311</v>
      </c>
      <c r="CH37">
        <v>-0.28649541524293048</v>
      </c>
      <c r="CI37">
        <v>-0.30048271416189132</v>
      </c>
      <c r="CJ37">
        <v>-0.31409174975649973</v>
      </c>
      <c r="CK37">
        <v>-0.32733457098861779</v>
      </c>
      <c r="CL37">
        <v>-0.34022284987412388</v>
      </c>
      <c r="CM37">
        <v>-0.35276788665773973</v>
      </c>
      <c r="CN37">
        <v>-0.36498061606753751</v>
      </c>
      <c r="CO37">
        <v>-0.37687161443554779</v>
      </c>
      <c r="CP37">
        <v>-0.38845110750277162</v>
      </c>
      <c r="CQ37">
        <v>-0.399728978752523</v>
      </c>
      <c r="CR37">
        <v>-0.41071477813999219</v>
      </c>
      <c r="CS37">
        <v>-0.42141773110541442</v>
      </c>
      <c r="CT37">
        <v>-0.43184674777524718</v>
      </c>
      <c r="CU37">
        <v>-0.44201043227122239</v>
      </c>
      <c r="CV37">
        <v>-0.4519170920590041</v>
      </c>
    </row>
    <row r="38" spans="31:100" x14ac:dyDescent="0.25">
      <c r="AJ38">
        <v>1</v>
      </c>
      <c r="AK38">
        <v>0.9947833567954516</v>
      </c>
      <c r="AL38">
        <v>0.9834404825028481</v>
      </c>
      <c r="AM38">
        <v>0.96701007648798354</v>
      </c>
      <c r="AN38">
        <v>0.94636419964748808</v>
      </c>
      <c r="AO38">
        <v>0.92225921425862234</v>
      </c>
      <c r="AP38">
        <v>0.89534904191295794</v>
      </c>
      <c r="AQ38">
        <v>0.86619696797694323</v>
      </c>
      <c r="AR38">
        <v>0.83528653665999331</v>
      </c>
      <c r="AS38">
        <v>0.80303148692894655</v>
      </c>
      <c r="AT38">
        <v>0.76978470039008129</v>
      </c>
      <c r="AU38">
        <v>0.735846179112847</v>
      </c>
      <c r="AV38">
        <v>0.70147010377105723</v>
      </c>
      <c r="AW38">
        <v>0.66687104087904681</v>
      </c>
      <c r="AX38">
        <v>0.63222937633338772</v>
      </c>
      <c r="AY38">
        <v>0.59769605435825657</v>
      </c>
      <c r="AZ38">
        <v>0.56339669876501064</v>
      </c>
      <c r="BA38">
        <v>0.52943518886972207</v>
      </c>
      <c r="BB38">
        <v>0.49589675660021398</v>
      </c>
      <c r="BC38">
        <v>0.46285066500663641</v>
      </c>
      <c r="BD38">
        <v>0.43035252203635649</v>
      </c>
      <c r="BE38">
        <v>0.39844627732751869</v>
      </c>
      <c r="BF38">
        <v>0.36716594407990177</v>
      </c>
      <c r="BG38">
        <v>0.33653708285377643</v>
      </c>
      <c r="BH38">
        <v>0.30657807945636772</v>
      </c>
      <c r="BI38">
        <v>0.27730124489446772</v>
      </c>
      <c r="BJ38">
        <v>0.24871376167602779</v>
      </c>
      <c r="BK38">
        <v>0.2208184974969542</v>
      </c>
      <c r="BL38">
        <v>0.19361470451111429</v>
      </c>
      <c r="BM38">
        <v>0.1670986199095485</v>
      </c>
      <c r="BN38">
        <v>0.1412639813879891</v>
      </c>
      <c r="BO38">
        <v>0.11610246922168831</v>
      </c>
      <c r="BP38">
        <v>9.1604085057484352E-2</v>
      </c>
      <c r="BQ38">
        <v>6.7757476142946582E-2</v>
      </c>
      <c r="BR38">
        <v>4.4550212513060523E-2</v>
      </c>
      <c r="BS38">
        <v>2.1969023619963061E-2</v>
      </c>
      <c r="BT38">
        <v>-9.8516220693564238E-15</v>
      </c>
      <c r="BU38">
        <v>-2.1371235196911819E-2</v>
      </c>
      <c r="BV38">
        <v>-4.2159380652031841E-2</v>
      </c>
      <c r="BW38">
        <v>-6.2379333704256197E-2</v>
      </c>
      <c r="BX38">
        <v>-8.2046086457421119E-2</v>
      </c>
      <c r="BY38">
        <v>-0.10117463849101579</v>
      </c>
      <c r="BZ38">
        <v>-0.1197799238627409</v>
      </c>
      <c r="CA38">
        <v>-0.13787675040591749</v>
      </c>
      <c r="CB38">
        <v>-0.15547974959665969</v>
      </c>
      <c r="CC38">
        <v>-0.17260333550015841</v>
      </c>
      <c r="CD38">
        <v>-0.1892616715078326</v>
      </c>
      <c r="CE38">
        <v>-0.20546864375214491</v>
      </c>
      <c r="CF38">
        <v>-0.22123784023621981</v>
      </c>
      <c r="CG38">
        <v>-0.23658253484676539</v>
      </c>
      <c r="CH38">
        <v>-0.25151567553110399</v>
      </c>
      <c r="CI38">
        <v>-0.26604987601686297</v>
      </c>
      <c r="CJ38">
        <v>-0.2801974105371986</v>
      </c>
      <c r="CK38">
        <v>-0.29397021109801891</v>
      </c>
      <c r="CL38">
        <v>-0.30737986688623758</v>
      </c>
      <c r="CM38">
        <v>-0.32043762547347732</v>
      </c>
      <c r="CN38">
        <v>-0.33315439551702308</v>
      </c>
      <c r="CO38">
        <v>-0.34554075070073842</v>
      </c>
      <c r="CP38">
        <v>-0.35760693469461158</v>
      </c>
      <c r="CQ38">
        <v>-0.36936286694253451</v>
      </c>
      <c r="CR38">
        <v>-0.38081814911429668</v>
      </c>
      <c r="CS38">
        <v>-0.39198207208170238</v>
      </c>
      <c r="CT38">
        <v>-0.40286362329832293</v>
      </c>
      <c r="CU38">
        <v>-0.4134714944799075</v>
      </c>
      <c r="CV38">
        <v>-0.42381408949813337</v>
      </c>
    </row>
    <row r="39" spans="31:100" x14ac:dyDescent="0.25">
      <c r="AK39">
        <v>1</v>
      </c>
      <c r="AL39">
        <v>0.99505065612148136</v>
      </c>
      <c r="AM39">
        <v>0.98426628071750266</v>
      </c>
      <c r="AN39">
        <v>0.96861086956768572</v>
      </c>
      <c r="AO39">
        <v>0.94889630544543302</v>
      </c>
      <c r="AP39">
        <v>0.92582968285309142</v>
      </c>
      <c r="AQ39">
        <v>0.90002498909782447</v>
      </c>
      <c r="AR39">
        <v>0.87201349414244522</v>
      </c>
      <c r="AS39">
        <v>0.84225338093663926</v>
      </c>
      <c r="AT39">
        <v>0.81113857120658484</v>
      </c>
      <c r="AU39">
        <v>0.7790067135998352</v>
      </c>
      <c r="AV39">
        <v>0.74614634155177262</v>
      </c>
      <c r="AW39">
        <v>0.71280323742365037</v>
      </c>
      <c r="AX39">
        <v>0.67918605679051425</v>
      </c>
      <c r="AY39">
        <v>0.64547127541689098</v>
      </c>
      <c r="AZ39">
        <v>0.6118075242972969</v>
      </c>
      <c r="BA39">
        <v>0.57831937725886651</v>
      </c>
      <c r="BB39">
        <v>0.54511065249044766</v>
      </c>
      <c r="BC39">
        <v>0.51226728497533869</v>
      </c>
      <c r="BD39">
        <v>0.47985982182690923</v>
      </c>
      <c r="BE39">
        <v>0.44794558738861312</v>
      </c>
      <c r="BF39">
        <v>0.41657055993278519</v>
      </c>
      <c r="BG39">
        <v>0.38577099703673079</v>
      </c>
      <c r="BH39">
        <v>0.35557484231747549</v>
      </c>
      <c r="BI39">
        <v>0.32600294220629339</v>
      </c>
      <c r="BJ39">
        <v>0.29707009784946992</v>
      </c>
      <c r="BK39">
        <v>0.2687859740191697</v>
      </c>
      <c r="BL39">
        <v>0.24115588408589411</v>
      </c>
      <c r="BM39">
        <v>0.21418146761167181</v>
      </c>
      <c r="BN39">
        <v>0.18786127493937721</v>
      </c>
      <c r="BO39">
        <v>0.1621912712463742</v>
      </c>
      <c r="BP39">
        <v>0.13716527086945021</v>
      </c>
      <c r="BQ39">
        <v>0.11277531126325049</v>
      </c>
      <c r="BR39">
        <v>8.9011974700913626E-2</v>
      </c>
      <c r="BS39">
        <v>6.5864664738160023E-2</v>
      </c>
      <c r="BT39">
        <v>4.3321843520431128E-2</v>
      </c>
      <c r="BU39">
        <v>2.1371235196911819E-2</v>
      </c>
      <c r="BV39">
        <v>-9.5872008008647295E-15</v>
      </c>
      <c r="BW39">
        <v>-2.080511706213934E-2</v>
      </c>
      <c r="BX39">
        <v>-4.1057659480328371E-2</v>
      </c>
      <c r="BY39">
        <v>-6.0771351523838141E-2</v>
      </c>
      <c r="BZ39">
        <v>-7.9960006957149304E-2</v>
      </c>
      <c r="CA39">
        <v>-9.863745196914836E-2</v>
      </c>
      <c r="CB39">
        <v>-0.1168174603850754</v>
      </c>
      <c r="CC39">
        <v>-0.13451369948900299</v>
      </c>
      <c r="CD39">
        <v>-0.15173968500556631</v>
      </c>
      <c r="CE39">
        <v>-0.168508743982656</v>
      </c>
      <c r="CF39">
        <v>-0.18483398448310531</v>
      </c>
      <c r="CG39">
        <v>-0.20072827113799391</v>
      </c>
      <c r="CH39">
        <v>-0.21620420573923671</v>
      </c>
      <c r="CI39">
        <v>-0.2312741121584212</v>
      </c>
      <c r="CJ39">
        <v>-0.24595002497248761</v>
      </c>
      <c r="CK39">
        <v>-0.26024368125909919</v>
      </c>
      <c r="CL39">
        <v>-0.2741665150959795</v>
      </c>
      <c r="CM39">
        <v>-0.28772965435963799</v>
      </c>
      <c r="CN39">
        <v>-0.30094391947322702</v>
      </c>
      <c r="CO39">
        <v>-0.3138198237997909</v>
      </c>
      <c r="CP39">
        <v>-0.32636757541760408</v>
      </c>
      <c r="CQ39">
        <v>-0.33859708004985761</v>
      </c>
      <c r="CR39">
        <v>-0.35051794495163979</v>
      </c>
      <c r="CS39">
        <v>-0.36213948358381742</v>
      </c>
      <c r="CT39">
        <v>-0.37347072092682382</v>
      </c>
      <c r="CU39">
        <v>-0.38452039930741361</v>
      </c>
      <c r="CV39">
        <v>-0.39529698462937801</v>
      </c>
    </row>
    <row r="40" spans="31:100" x14ac:dyDescent="0.25">
      <c r="AL40">
        <v>1</v>
      </c>
      <c r="AM40">
        <v>0.99529792924434857</v>
      </c>
      <c r="AN40">
        <v>0.98503185912472879</v>
      </c>
      <c r="AO40">
        <v>0.97009809662776103</v>
      </c>
      <c r="AP40">
        <v>0.9512537193273688</v>
      </c>
      <c r="AQ40">
        <v>0.92916067588415452</v>
      </c>
      <c r="AR40">
        <v>0.9043961132643068</v>
      </c>
      <c r="AS40">
        <v>0.87746154772404061</v>
      </c>
      <c r="AT40">
        <v>0.84879139892917621</v>
      </c>
      <c r="AU40">
        <v>0.81876084748560252</v>
      </c>
      <c r="AV40">
        <v>0.78769298064365745</v>
      </c>
      <c r="AW40">
        <v>0.75586522579404669</v>
      </c>
      <c r="AX40">
        <v>0.72351509755119525</v>
      </c>
      <c r="AY40">
        <v>0.69084530037006542</v>
      </c>
      <c r="AZ40">
        <v>0.65802823726283943</v>
      </c>
      <c r="BA40">
        <v>0.62520997863920991</v>
      </c>
      <c r="BB40">
        <v>0.59251374537831314</v>
      </c>
      <c r="BC40">
        <v>0.56004295821512828</v>
      </c>
      <c r="BD40">
        <v>0.5278839022693731</v>
      </c>
      <c r="BE40">
        <v>0.49610805165106742</v>
      </c>
      <c r="BF40">
        <v>0.46477409493842542</v>
      </c>
      <c r="BG40">
        <v>0.43392969819352561</v>
      </c>
      <c r="BH40">
        <v>0.40361303821566358</v>
      </c>
      <c r="BI40">
        <v>0.37385413502247722</v>
      </c>
      <c r="BJ40">
        <v>0.34467600914029989</v>
      </c>
      <c r="BK40">
        <v>0.31609568619563011</v>
      </c>
      <c r="BL40">
        <v>0.28812506852594361</v>
      </c>
      <c r="BM40">
        <v>0.2607716910582018</v>
      </c>
      <c r="BN40">
        <v>0.2340393765153567</v>
      </c>
      <c r="BO40">
        <v>0.20792880308377251</v>
      </c>
      <c r="BP40">
        <v>0.18243799598076779</v>
      </c>
      <c r="BQ40">
        <v>0.15756275287897131</v>
      </c>
      <c r="BR40">
        <v>0.13329701184823459</v>
      </c>
      <c r="BS40">
        <v>0.1096331693463263</v>
      </c>
      <c r="BT40">
        <v>8.6562354804613356E-2</v>
      </c>
      <c r="BU40">
        <v>6.4074667499106536E-2</v>
      </c>
      <c r="BV40">
        <v>4.2159380652031841E-2</v>
      </c>
      <c r="BW40">
        <v>2.080511706213934E-2</v>
      </c>
      <c r="BX40">
        <v>-9.3366015762506364E-15</v>
      </c>
      <c r="BY40">
        <v>-2.026821738409635E-2</v>
      </c>
      <c r="BZ40">
        <v>-4.0012041315450941E-2</v>
      </c>
      <c r="CA40">
        <v>-5.9244142857874042E-2</v>
      </c>
      <c r="CB40">
        <v>-7.7977277448069038E-2</v>
      </c>
      <c r="CC40">
        <v>-9.6224216643073318E-2</v>
      </c>
      <c r="CD40">
        <v>-0.11399769046368539</v>
      </c>
      <c r="CE40">
        <v>-0.13131033892647009</v>
      </c>
      <c r="CF40">
        <v>-0.14817467153892</v>
      </c>
      <c r="CG40">
        <v>-0.16460303369112289</v>
      </c>
      <c r="CH40">
        <v>-0.18060757901508551</v>
      </c>
      <c r="CI40">
        <v>-0.1962002469023913</v>
      </c>
      <c r="CJ40">
        <v>-0.21139274447595011</v>
      </c>
      <c r="CK40">
        <v>-0.22619653240167739</v>
      </c>
      <c r="CL40">
        <v>-0.24062281400592189</v>
      </c>
      <c r="CM40">
        <v>-0.25468252723288071</v>
      </c>
      <c r="CN40">
        <v>-0.26838633903655978</v>
      </c>
      <c r="CO40">
        <v>-0.28174464185436982</v>
      </c>
      <c r="CP40">
        <v>-0.29476755185501929</v>
      </c>
      <c r="CQ40">
        <v>-0.30746490869351462</v>
      </c>
      <c r="CR40">
        <v>-0.31984627654048692</v>
      </c>
      <c r="CS40">
        <v>-0.33192094618401702</v>
      </c>
      <c r="CT40">
        <v>-0.3436979380280748</v>
      </c>
      <c r="CU40">
        <v>-0.35518600583545079</v>
      </c>
      <c r="CV40">
        <v>-0.3663936410828284</v>
      </c>
    </row>
    <row r="41" spans="31:100" x14ac:dyDescent="0.25">
      <c r="AM41">
        <v>1</v>
      </c>
      <c r="AN41">
        <v>0.9955271274452786</v>
      </c>
      <c r="AO41">
        <v>0.98574292950669884</v>
      </c>
      <c r="AP41">
        <v>0.97148223504767706</v>
      </c>
      <c r="AQ41">
        <v>0.95345210738307307</v>
      </c>
      <c r="AR41">
        <v>0.93227305660553728</v>
      </c>
      <c r="AS41">
        <v>0.9084882001398692</v>
      </c>
      <c r="AT41">
        <v>0.88257138015533931</v>
      </c>
      <c r="AU41">
        <v>0.85493474483876741</v>
      </c>
      <c r="AV41">
        <v>0.82593575928507523</v>
      </c>
      <c r="AW41">
        <v>0.79588361011772524</v>
      </c>
      <c r="AX41">
        <v>0.76504499788357494</v>
      </c>
      <c r="AY41">
        <v>0.73364933467587667</v>
      </c>
      <c r="AZ41">
        <v>0.70189337937620222</v>
      </c>
      <c r="BA41">
        <v>0.66994535130365229</v>
      </c>
      <c r="BB41">
        <v>0.63794856689183232</v>
      </c>
      <c r="BC41">
        <v>0.60602464479431983</v>
      </c>
      <c r="BD41">
        <v>0.57427632364823067</v>
      </c>
      <c r="BE41">
        <v>0.54278993436556144</v>
      </c>
      <c r="BF41">
        <v>0.51163756580658337</v>
      </c>
      <c r="BG41">
        <v>0.48087895937062097</v>
      </c>
      <c r="BH41">
        <v>0.45056316465535479</v>
      </c>
      <c r="BI41">
        <v>0.42072998503457482</v>
      </c>
      <c r="BJ41">
        <v>0.39141123887692297</v>
      </c>
      <c r="BK41">
        <v>0.36263185922625979</v>
      </c>
      <c r="BL41">
        <v>0.3344108521095347</v>
      </c>
      <c r="BM41">
        <v>0.30676213123763041</v>
      </c>
      <c r="BN41">
        <v>0.27969524471076479</v>
      </c>
      <c r="BO41">
        <v>0.25321600742130412</v>
      </c>
      <c r="BP41">
        <v>0.22732705114520829</v>
      </c>
      <c r="BQ41">
        <v>0.20202830281074921</v>
      </c>
      <c r="BR41">
        <v>0.17731740011085709</v>
      </c>
      <c r="BS41">
        <v>0.15319005246373221</v>
      </c>
      <c r="BT41">
        <v>0.1296403543089911</v>
      </c>
      <c r="BU41">
        <v>0.10666105683588691</v>
      </c>
      <c r="BV41">
        <v>8.4243803462394046E-2</v>
      </c>
      <c r="BW41">
        <v>6.2379333704256197E-2</v>
      </c>
      <c r="BX41">
        <v>4.1057659480328371E-2</v>
      </c>
      <c r="BY41">
        <v>2.026821738409635E-2</v>
      </c>
      <c r="BZ41">
        <v>-9.0987683163429651E-15</v>
      </c>
      <c r="CA41">
        <v>-1.975833104893647E-2</v>
      </c>
      <c r="CB41">
        <v>-3.9018347978359041E-2</v>
      </c>
      <c r="CC41">
        <v>-5.7791773599057947E-2</v>
      </c>
      <c r="CD41">
        <v>-7.6090410166866101E-2</v>
      </c>
      <c r="CE41">
        <v>-9.3926078766990384E-2</v>
      </c>
      <c r="CF41">
        <v>-0.1113105678714216</v>
      </c>
      <c r="CG41">
        <v>-0.12825558988003111</v>
      </c>
      <c r="CH41">
        <v>-0.14477274460674949</v>
      </c>
      <c r="CI41">
        <v>-0.16087348880313609</v>
      </c>
      <c r="CJ41">
        <v>-0.17656911092610891</v>
      </c>
      <c r="CK41">
        <v>-0.19187071045664419</v>
      </c>
      <c r="CL41">
        <v>-0.20678918116373191</v>
      </c>
      <c r="CM41">
        <v>-0.22133519778374261</v>
      </c>
      <c r="CN41">
        <v>-0.23551920565267531</v>
      </c>
      <c r="CO41">
        <v>-0.24935141288632889</v>
      </c>
      <c r="CP41">
        <v>-0.26284178475516551</v>
      </c>
      <c r="CQ41">
        <v>-0.27600003994469668</v>
      </c>
      <c r="CR41">
        <v>-0.28883564843152087</v>
      </c>
      <c r="CS41">
        <v>-0.30135783073943512</v>
      </c>
      <c r="CT41">
        <v>-0.31357555836966261</v>
      </c>
      <c r="CU41">
        <v>-0.32549755522574619</v>
      </c>
      <c r="CV41">
        <v>-0.33713229987646881</v>
      </c>
    </row>
    <row r="42" spans="31:100" x14ac:dyDescent="0.25">
      <c r="AN42">
        <v>1</v>
      </c>
      <c r="AO42">
        <v>0.99573997005351378</v>
      </c>
      <c r="AP42">
        <v>0.98640454263597221</v>
      </c>
      <c r="AQ42">
        <v>0.97277258300810887</v>
      </c>
      <c r="AR42">
        <v>0.95550542260811078</v>
      </c>
      <c r="AS42">
        <v>0.93518547360661142</v>
      </c>
      <c r="AT42">
        <v>0.91232438055863674</v>
      </c>
      <c r="AU42">
        <v>0.8873702243182211</v>
      </c>
      <c r="AV42">
        <v>0.86071427280478607</v>
      </c>
      <c r="AW42">
        <v>0.8326972497964511</v>
      </c>
      <c r="AX42">
        <v>0.80361508624563993</v>
      </c>
      <c r="AY42">
        <v>0.77372414424214153</v>
      </c>
      <c r="AZ42">
        <v>0.74324592463193628</v>
      </c>
      <c r="BA42">
        <v>0.71237128303148856</v>
      </c>
      <c r="BB42">
        <v>0.68126418703655323</v>
      </c>
      <c r="BC42">
        <v>0.65006505144654536</v>
      </c>
      <c r="BD42">
        <v>0.61889368960244262</v>
      </c>
      <c r="BE42">
        <v>0.58785191841291029</v>
      </c>
      <c r="BF42">
        <v>0.55702585299375373</v>
      </c>
      <c r="BG42">
        <v>0.52648792453700466</v>
      </c>
      <c r="BH42">
        <v>0.49629865238121967</v>
      </c>
      <c r="BI42">
        <v>0.46650819849019332</v>
      </c>
      <c r="BJ42">
        <v>0.43715772980345052</v>
      </c>
      <c r="BK42">
        <v>0.40828061128985083</v>
      </c>
      <c r="BL42">
        <v>0.37990345006546361</v>
      </c>
      <c r="BM42">
        <v>0.35204700865857641</v>
      </c>
      <c r="BN42">
        <v>0.32472700342684019</v>
      </c>
      <c r="BO42">
        <v>0.29795480225517701</v>
      </c>
      <c r="BP42">
        <v>0.27173803398012297</v>
      </c>
      <c r="BQ42">
        <v>0.24608112048528011</v>
      </c>
      <c r="BR42">
        <v>0.22098574108027211</v>
      </c>
      <c r="BS42">
        <v>0.19645123759595459</v>
      </c>
      <c r="BT42">
        <v>0.17247496758889361</v>
      </c>
      <c r="BU42">
        <v>0.149052612131755</v>
      </c>
      <c r="BV42">
        <v>0.1261784438617467</v>
      </c>
      <c r="BW42">
        <v>0.1038455602527419</v>
      </c>
      <c r="BX42">
        <v>8.2046086457421119E-2</v>
      </c>
      <c r="BY42">
        <v>6.0771351523838141E-2</v>
      </c>
      <c r="BZ42">
        <v>4.0012041315450941E-2</v>
      </c>
      <c r="CA42">
        <v>1.975833104893647E-2</v>
      </c>
      <c r="CB42">
        <v>-8.8727498481575756E-15</v>
      </c>
      <c r="CC42">
        <v>-1.9273469389455771E-2</v>
      </c>
      <c r="CD42">
        <v>-3.8072806048251973E-2</v>
      </c>
      <c r="CE42">
        <v>-5.6408876744674201E-2</v>
      </c>
      <c r="CF42">
        <v>-7.4292622987618878E-2</v>
      </c>
      <c r="CG42">
        <v>-9.1735007046695766E-2</v>
      </c>
      <c r="CH42">
        <v>-0.10874696594013369</v>
      </c>
      <c r="CI42">
        <v>-0.1253393723818795</v>
      </c>
      <c r="CJ42">
        <v>-0.14152300180398461</v>
      </c>
      <c r="CK42">
        <v>-0.1573085046788589</v>
      </c>
      <c r="CL42">
        <v>-0.17270638346223091</v>
      </c>
      <c r="CM42">
        <v>-0.18772697356060181</v>
      </c>
      <c r="CN42">
        <v>-0.2023804278010333</v>
      </c>
      <c r="CO42">
        <v>-0.21667670394440999</v>
      </c>
      <c r="CP42">
        <v>-0.2306255548410176</v>
      </c>
      <c r="CQ42">
        <v>-0.24423652087519429</v>
      </c>
      <c r="CR42">
        <v>-0.25751892439064689</v>
      </c>
      <c r="CS42">
        <v>-0.27048186582493738</v>
      </c>
      <c r="CT42">
        <v>-0.28313422131596361</v>
      </c>
      <c r="CU42">
        <v>-0.2954846415718414</v>
      </c>
      <c r="CV42">
        <v>-0.30754155182231058</v>
      </c>
    </row>
    <row r="43" spans="31:100" x14ac:dyDescent="0.25">
      <c r="AO43">
        <v>1</v>
      </c>
      <c r="AP43">
        <v>0.9959379767577734</v>
      </c>
      <c r="AQ43">
        <v>0.98702117792982902</v>
      </c>
      <c r="AR43">
        <v>0.97397741500696688</v>
      </c>
      <c r="AS43">
        <v>0.95742612431139862</v>
      </c>
      <c r="AT43">
        <v>0.93791463593864344</v>
      </c>
      <c r="AU43">
        <v>0.91592544997624481</v>
      </c>
      <c r="AV43">
        <v>0.89188264602644529</v>
      </c>
      <c r="AW43">
        <v>0.86615790817735683</v>
      </c>
      <c r="AX43">
        <v>0.83907614179777212</v>
      </c>
      <c r="AY43">
        <v>0.81092064773680395</v>
      </c>
      <c r="AZ43">
        <v>0.78193784138822453</v>
      </c>
      <c r="BA43">
        <v>0.75234152267297483</v>
      </c>
      <c r="BB43">
        <v>0.72231671555962129</v>
      </c>
      <c r="BC43">
        <v>0.6920231033890516</v>
      </c>
      <c r="BD43">
        <v>0.66159809035127903</v>
      </c>
      <c r="BE43">
        <v>0.63115952107840589</v>
      </c>
      <c r="BF43">
        <v>0.60080809028599047</v>
      </c>
      <c r="BG43">
        <v>0.5706294733021261</v>
      </c>
      <c r="BH43">
        <v>0.54069620658561801</v>
      </c>
      <c r="BI43">
        <v>0.51106934524281722</v>
      </c>
      <c r="BJ43">
        <v>0.48179992230214658</v>
      </c>
      <c r="BK43">
        <v>0.45293023223157342</v>
      </c>
      <c r="BL43">
        <v>0.42449495897014272</v>
      </c>
      <c r="BM43">
        <v>0.39652216664581041</v>
      </c>
      <c r="BN43">
        <v>0.36903416919651733</v>
      </c>
      <c r="BO43">
        <v>0.34204829331397868</v>
      </c>
      <c r="BP43">
        <v>0.31557754749605321</v>
      </c>
      <c r="BQ43">
        <v>0.28963120851738722</v>
      </c>
      <c r="BR43">
        <v>0.26421533530513419</v>
      </c>
      <c r="BS43">
        <v>0.2393332190249641</v>
      </c>
      <c r="BT43">
        <v>0.21498577713168221</v>
      </c>
      <c r="BU43">
        <v>0.19117189820767541</v>
      </c>
      <c r="BV43">
        <v>0.16788874358832209</v>
      </c>
      <c r="BW43">
        <v>0.1451320110468006</v>
      </c>
      <c r="BX43">
        <v>0.12289616516966111</v>
      </c>
      <c r="BY43">
        <v>0.10117463849101579</v>
      </c>
      <c r="BZ43">
        <v>7.9960006957149304E-2</v>
      </c>
      <c r="CA43">
        <v>5.9244142857874042E-2</v>
      </c>
      <c r="CB43">
        <v>3.9018347978359041E-2</v>
      </c>
      <c r="CC43">
        <v>1.9273469389455771E-2</v>
      </c>
      <c r="CD43">
        <v>-8.6576871954124892E-15</v>
      </c>
      <c r="CE43">
        <v>-1.8811834264256949E-2</v>
      </c>
      <c r="CF43">
        <v>-3.7171999016792662E-2</v>
      </c>
      <c r="CG43">
        <v>-5.5090586262608821E-2</v>
      </c>
      <c r="CH43">
        <v>-7.2577758282056232E-2</v>
      </c>
      <c r="CI43">
        <v>-8.9643699434907603E-2</v>
      </c>
      <c r="CJ43">
        <v>-0.10629857490791671</v>
      </c>
      <c r="CK43">
        <v>-0.12255249554691509</v>
      </c>
      <c r="CL43">
        <v>-0.13841548801844231</v>
      </c>
      <c r="CM43">
        <v>-0.1538974696367465</v>
      </c>
      <c r="CN43">
        <v>-0.16900822727191619</v>
      </c>
      <c r="CO43">
        <v>-0.18375739982559619</v>
      </c>
      <c r="CP43">
        <v>-0.19815446382190879</v>
      </c>
      <c r="CQ43">
        <v>-0.21220872171619121</v>
      </c>
      <c r="CR43">
        <v>-0.22592929257142469</v>
      </c>
      <c r="CS43">
        <v>-0.2393251047947281</v>
      </c>
      <c r="CT43">
        <v>-0.25240489066291399</v>
      </c>
      <c r="CU43">
        <v>-0.26517718239911198</v>
      </c>
      <c r="CV43">
        <v>-0.27765030959077341</v>
      </c>
    </row>
    <row r="44" spans="31:100" x14ac:dyDescent="0.25">
      <c r="AP44">
        <v>1</v>
      </c>
      <c r="AQ44">
        <v>0.99612249478679504</v>
      </c>
      <c r="AR44">
        <v>0.98759681924130827</v>
      </c>
      <c r="AS44">
        <v>0.97510411399681129</v>
      </c>
      <c r="AT44">
        <v>0.95922536550699311</v>
      </c>
      <c r="AU44">
        <v>0.94047554933508604</v>
      </c>
      <c r="AV44">
        <v>0.91931014427258795</v>
      </c>
      <c r="AW44">
        <v>0.8961308490768336</v>
      </c>
      <c r="AX44">
        <v>0.87129097153121016</v>
      </c>
      <c r="AY44">
        <v>0.8451004710895359</v>
      </c>
      <c r="AZ44">
        <v>0.81783062223280512</v>
      </c>
      <c r="BA44">
        <v>0.78971828427977075</v>
      </c>
      <c r="BB44">
        <v>0.76096977992244696</v>
      </c>
      <c r="BC44">
        <v>0.73176439621792044</v>
      </c>
      <c r="BD44">
        <v>0.70225752895938021</v>
      </c>
      <c r="BE44">
        <v>0.67258349539710394</v>
      </c>
      <c r="BF44">
        <v>0.64285804211744968</v>
      </c>
      <c r="BG44">
        <v>0.61318057522149116</v>
      </c>
      <c r="BH44">
        <v>0.58363613928841862</v>
      </c>
      <c r="BI44">
        <v>0.5542971703305678</v>
      </c>
      <c r="BJ44">
        <v>0.52522504630644939</v>
      </c>
      <c r="BK44">
        <v>0.49647145693606709</v>
      </c>
      <c r="BL44">
        <v>0.46807961268227161</v>
      </c>
      <c r="BM44">
        <v>0.44008531090374081</v>
      </c>
      <c r="BN44">
        <v>0.41251787540214668</v>
      </c>
      <c r="BO44">
        <v>0.38540098390998417</v>
      </c>
      <c r="BP44">
        <v>0.35875339651194449</v>
      </c>
      <c r="BQ44">
        <v>0.33258959656934339</v>
      </c>
      <c r="BR44">
        <v>0.30692035442485899</v>
      </c>
      <c r="BS44">
        <v>0.28175322299762667</v>
      </c>
      <c r="BT44">
        <v>0.25709297333229131</v>
      </c>
      <c r="BU44">
        <v>0.23294197722919849</v>
      </c>
      <c r="BV44">
        <v>0.2093005432497668</v>
      </c>
      <c r="BW44">
        <v>0.18616721165041039</v>
      </c>
      <c r="BX44">
        <v>0.1635390131418529</v>
      </c>
      <c r="BY44">
        <v>0.14141169579016619</v>
      </c>
      <c r="BZ44">
        <v>0.1197799238627409</v>
      </c>
      <c r="CA44">
        <v>9.863745196914836E-2</v>
      </c>
      <c r="CB44">
        <v>7.7977277448069038E-2</v>
      </c>
      <c r="CC44">
        <v>5.7791773599057947E-2</v>
      </c>
      <c r="CD44">
        <v>3.8072806048251973E-2</v>
      </c>
      <c r="CE44">
        <v>1.8811834264256949E-2</v>
      </c>
      <c r="CF44">
        <v>-8.4528026729149703E-15</v>
      </c>
      <c r="CG44">
        <v>-1.837179577466291E-2</v>
      </c>
      <c r="CH44">
        <v>-3.6312826071287677E-2</v>
      </c>
      <c r="CI44">
        <v>-5.3832479997177572E-2</v>
      </c>
      <c r="CJ44">
        <v>-7.0940212715047052E-2</v>
      </c>
      <c r="CK44">
        <v>-8.7645502304197057E-2</v>
      </c>
      <c r="CL44">
        <v>-0.1039578126909748</v>
      </c>
      <c r="CM44">
        <v>-0.11988656191473029</v>
      </c>
      <c r="CN44">
        <v>-0.1354410950819521</v>
      </c>
      <c r="CO44">
        <v>-0.15063066143768691</v>
      </c>
      <c r="CP44">
        <v>-0.1654643950506344</v>
      </c>
      <c r="CQ44">
        <v>-0.17995129866736351</v>
      </c>
      <c r="CR44">
        <v>-0.19410023034362719</v>
      </c>
      <c r="CS44">
        <v>-0.20791989250658349</v>
      </c>
      <c r="CT44">
        <v>-0.2214188231427979</v>
      </c>
      <c r="CU44">
        <v>-0.23460538884221879</v>
      </c>
      <c r="CV44">
        <v>-0.2474877794605102</v>
      </c>
    </row>
    <row r="45" spans="31:100" x14ac:dyDescent="0.25">
      <c r="AQ45">
        <v>1</v>
      </c>
      <c r="AR45">
        <v>0.99629472186908596</v>
      </c>
      <c r="AS45">
        <v>0.98813501918221003</v>
      </c>
      <c r="AT45">
        <v>0.97615928406971486</v>
      </c>
      <c r="AU45">
        <v>0.96091315350638273</v>
      </c>
      <c r="AV45">
        <v>0.94288171966319356</v>
      </c>
      <c r="AW45">
        <v>0.92249537850274765</v>
      </c>
      <c r="AX45">
        <v>0.90013494068322175</v>
      </c>
      <c r="AY45">
        <v>0.87613646208133233</v>
      </c>
      <c r="AZ45">
        <v>0.85079577971624665</v>
      </c>
      <c r="BA45">
        <v>0.82437272203455092</v>
      </c>
      <c r="BB45">
        <v>0.79709497829007225</v>
      </c>
      <c r="BC45">
        <v>0.76916162643025188</v>
      </c>
      <c r="BD45">
        <v>0.74074632932215279</v>
      </c>
      <c r="BE45">
        <v>0.71200021587168272</v>
      </c>
      <c r="BF45">
        <v>0.68305446753644472</v>
      </c>
      <c r="BG45">
        <v>0.6540226327020795</v>
      </c>
      <c r="BH45">
        <v>0.62500269199291003</v>
      </c>
      <c r="BI45">
        <v>0.59607889727102004</v>
      </c>
      <c r="BJ45">
        <v>0.56732340616712729</v>
      </c>
      <c r="BK45">
        <v>0.53879773271680387</v>
      </c>
      <c r="BL45">
        <v>0.51055403320807713</v>
      </c>
      <c r="BM45">
        <v>0.48263624479621953</v>
      </c>
      <c r="BN45">
        <v>0.45508109288535042</v>
      </c>
      <c r="BO45">
        <v>0.42791898176357052</v>
      </c>
      <c r="BP45">
        <v>0.40117478154288422</v>
      </c>
      <c r="BQ45">
        <v>0.3748685231121992</v>
      </c>
      <c r="BR45">
        <v>0.34901601157384238</v>
      </c>
      <c r="BS45">
        <v>0.32362936750123378</v>
      </c>
      <c r="BT45">
        <v>0.29871750432730948</v>
      </c>
      <c r="BU45">
        <v>0.27428654924608331</v>
      </c>
      <c r="BV45">
        <v>0.25034021417589458</v>
      </c>
      <c r="BW45">
        <v>0.2268801225877837</v>
      </c>
      <c r="BX45">
        <v>0.20390609733668219</v>
      </c>
      <c r="BY45">
        <v>0.181416414040695</v>
      </c>
      <c r="BZ45">
        <v>0.15940802402830101</v>
      </c>
      <c r="CA45">
        <v>0.13787675040591749</v>
      </c>
      <c r="CB45">
        <v>0.1168174603850754</v>
      </c>
      <c r="CC45">
        <v>9.6224216643073318E-2</v>
      </c>
      <c r="CD45">
        <v>7.6090410166866101E-2</v>
      </c>
      <c r="CE45">
        <v>5.6408876744657117E-2</v>
      </c>
      <c r="CF45">
        <v>3.7171999016792662E-2</v>
      </c>
      <c r="CG45">
        <v>1.837179577466291E-2</v>
      </c>
      <c r="CH45">
        <v>-8.2573904930476763E-15</v>
      </c>
      <c r="CI45">
        <v>-1.7951873037617441E-2</v>
      </c>
      <c r="CJ45">
        <v>-3.5492466459874597E-2</v>
      </c>
      <c r="CK45">
        <v>-5.2630530205821743E-2</v>
      </c>
      <c r="CL45">
        <v>-6.9374876295147755E-2</v>
      </c>
      <c r="CM45">
        <v>-8.5734340123522518E-2</v>
      </c>
      <c r="CN45">
        <v>-0.1017177470790936</v>
      </c>
      <c r="CO45">
        <v>-0.1173338838503665</v>
      </c>
      <c r="CP45">
        <v>-0.1325914738692405</v>
      </c>
      <c r="CQ45">
        <v>-0.14749915639666669</v>
      </c>
      <c r="CR45">
        <v>-0.1620654688153047</v>
      </c>
      <c r="CS45">
        <v>-0.17629883174375169</v>
      </c>
      <c r="CT45">
        <v>-0.19020753663110601</v>
      </c>
      <c r="CU45">
        <v>-0.20379973553010219</v>
      </c>
      <c r="CV45">
        <v>-0.2170834327814716</v>
      </c>
    </row>
    <row r="46" spans="31:100" x14ac:dyDescent="0.25">
      <c r="AR46">
        <v>1</v>
      </c>
      <c r="AS46">
        <v>0.99645572570481977</v>
      </c>
      <c r="AT46">
        <v>0.98863895391808798</v>
      </c>
      <c r="AU46">
        <v>0.97714884689083714</v>
      </c>
      <c r="AV46">
        <v>0.962498487993247</v>
      </c>
      <c r="AW46">
        <v>0.9451453286808843</v>
      </c>
      <c r="AX46">
        <v>0.92549645414410531</v>
      </c>
      <c r="AY46">
        <v>0.9039131630151489</v>
      </c>
      <c r="AZ46">
        <v>0.88071530613927007</v>
      </c>
      <c r="BA46">
        <v>0.85618537432525588</v>
      </c>
      <c r="BB46">
        <v>0.83057230602370935</v>
      </c>
      <c r="BC46">
        <v>0.80409499919008087</v>
      </c>
      <c r="BD46">
        <v>0.7769455246084207</v>
      </c>
      <c r="BE46">
        <v>0.74929204741019961</v>
      </c>
      <c r="BF46">
        <v>0.72128146976861718</v>
      </c>
      <c r="BG46">
        <v>0.69304181155131683</v>
      </c>
      <c r="BH46">
        <v>0.66468434774783436</v>
      </c>
      <c r="BI46">
        <v>0.63630552228040527</v>
      </c>
      <c r="BJ46">
        <v>0.60798865775186162</v>
      </c>
      <c r="BK46">
        <v>0.57980548006772636</v>
      </c>
      <c r="BL46">
        <v>0.5518174759018174</v>
      </c>
      <c r="BM46">
        <v>0.52407709980164086</v>
      </c>
      <c r="BN46">
        <v>0.49662884645670069</v>
      </c>
      <c r="BO46">
        <v>0.46951020235270968</v>
      </c>
      <c r="BP46">
        <v>0.44275248975267117</v>
      </c>
      <c r="BQ46">
        <v>0.41638161471728008</v>
      </c>
      <c r="BR46">
        <v>0.39041872971782571</v>
      </c>
      <c r="BS46">
        <v>0.36488082031764918</v>
      </c>
      <c r="BT46">
        <v>0.33978122440656833</v>
      </c>
      <c r="BU46">
        <v>0.31513009156671268</v>
      </c>
      <c r="BV46">
        <v>0.29093478932760503</v>
      </c>
      <c r="BW46">
        <v>0.26720026232562072</v>
      </c>
      <c r="BX46">
        <v>0.24392934971681379</v>
      </c>
      <c r="BY46">
        <v>0.22112306559431899</v>
      </c>
      <c r="BZ46">
        <v>0.19878084662710341</v>
      </c>
      <c r="CA46">
        <v>0.17690077066073701</v>
      </c>
      <c r="CB46">
        <v>0.15547974959665969</v>
      </c>
      <c r="CC46">
        <v>0.13451369948900299</v>
      </c>
      <c r="CD46">
        <v>0.11399769046368539</v>
      </c>
      <c r="CE46">
        <v>9.3926078766990384E-2</v>
      </c>
      <c r="CF46">
        <v>7.4292622987618878E-2</v>
      </c>
      <c r="CG46">
        <v>5.5090586262608821E-2</v>
      </c>
      <c r="CH46">
        <v>3.6312826071287677E-2</v>
      </c>
      <c r="CI46">
        <v>1.7951873037617441E-2</v>
      </c>
      <c r="CJ46">
        <v>-8.0708086452942255E-15</v>
      </c>
      <c r="CK46">
        <v>-1.755071753636368E-2</v>
      </c>
      <c r="CL46">
        <v>-3.4708348576088691E-2</v>
      </c>
      <c r="CM46">
        <v>-5.1481060563380303E-2</v>
      </c>
      <c r="CN46">
        <v>-6.7877079288374276E-2</v>
      </c>
      <c r="CO46">
        <v>-8.3904654081819102E-2</v>
      </c>
      <c r="CP46">
        <v>-9.9572027687443027E-2</v>
      </c>
      <c r="CQ46">
        <v>-0.11488741027110499</v>
      </c>
      <c r="CR46">
        <v>-0.12985895708603629</v>
      </c>
      <c r="CS46">
        <v>-0.144494749368791</v>
      </c>
      <c r="CT46">
        <v>-0.1588027780876379</v>
      </c>
      <c r="CU46">
        <v>-0.17279093020817579</v>
      </c>
      <c r="CV46">
        <v>-0.18646697717883501</v>
      </c>
    </row>
    <row r="47" spans="31:100" x14ac:dyDescent="0.25">
      <c r="AS47">
        <v>1</v>
      </c>
      <c r="AT47">
        <v>0.99660646054212432</v>
      </c>
      <c r="AU47">
        <v>0.98911147001363942</v>
      </c>
      <c r="AV47">
        <v>0.97807812450136966</v>
      </c>
      <c r="AW47">
        <v>0.96398948010997132</v>
      </c>
      <c r="AX47">
        <v>0.94727738630888814</v>
      </c>
      <c r="AY47">
        <v>0.92832723947565188</v>
      </c>
      <c r="AZ47">
        <v>0.90748209565875304</v>
      </c>
      <c r="BA47">
        <v>0.88504657539568798</v>
      </c>
      <c r="BB47">
        <v>0.86129055424330181</v>
      </c>
      <c r="BC47">
        <v>0.83645261202364707</v>
      </c>
      <c r="BD47">
        <v>0.81074322495539419</v>
      </c>
      <c r="BE47">
        <v>0.78434769638110624</v>
      </c>
      <c r="BF47">
        <v>0.75742883036859809</v>
      </c>
      <c r="BG47">
        <v>0.73012935824793868</v>
      </c>
      <c r="BH47">
        <v>0.70257413177373196</v>
      </c>
      <c r="BI47">
        <v>0.67487209864979525</v>
      </c>
      <c r="BJ47">
        <v>0.64711807707821256</v>
      </c>
      <c r="BK47">
        <v>0.6193943461384237</v>
      </c>
      <c r="BL47">
        <v>0.59177206842034202</v>
      </c>
      <c r="BM47">
        <v>0.564312560613078</v>
      </c>
      <c r="BN47">
        <v>0.53706842682212352</v>
      </c>
      <c r="BO47">
        <v>0.51008456834727922</v>
      </c>
      <c r="BP47">
        <v>0.48339908256959407</v>
      </c>
      <c r="BQ47">
        <v>0.45704406251214991</v>
      </c>
      <c r="BR47">
        <v>0.43104630758822321</v>
      </c>
      <c r="BS47">
        <v>0.40542795505124712</v>
      </c>
      <c r="BT47">
        <v>0.38020704072341271</v>
      </c>
      <c r="BU47">
        <v>0.3553979967126828</v>
      </c>
      <c r="BV47">
        <v>0.33101209302971141</v>
      </c>
      <c r="BW47">
        <v>0.30705782928958358</v>
      </c>
      <c r="BX47">
        <v>0.28354128202304929</v>
      </c>
      <c r="BY47">
        <v>0.2604664125255427</v>
      </c>
      <c r="BZ47">
        <v>0.23783533963626211</v>
      </c>
      <c r="CA47">
        <v>0.21564858135741399</v>
      </c>
      <c r="CB47">
        <v>0.19390526879288039</v>
      </c>
      <c r="CC47">
        <v>0.17260333550015841</v>
      </c>
      <c r="CD47">
        <v>0.15173968500556631</v>
      </c>
      <c r="CE47">
        <v>0.13131033892647009</v>
      </c>
      <c r="CF47">
        <v>0.1113105678714216</v>
      </c>
      <c r="CG47">
        <v>9.1735007046695766E-2</v>
      </c>
      <c r="CH47">
        <v>7.2577758282056232E-2</v>
      </c>
      <c r="CI47">
        <v>5.3832479997177572E-2</v>
      </c>
      <c r="CJ47">
        <v>3.5492466459874597E-2</v>
      </c>
      <c r="CK47">
        <v>1.755071753636368E-2</v>
      </c>
      <c r="CL47">
        <v>-7.8924718519827608E-15</v>
      </c>
      <c r="CM47">
        <v>-1.716709865455518E-2</v>
      </c>
      <c r="CN47">
        <v>-3.3958123049777869E-2</v>
      </c>
      <c r="CO47">
        <v>-5.0380708668596591E-2</v>
      </c>
      <c r="CP47">
        <v>-6.6442545837660794E-2</v>
      </c>
      <c r="CQ47">
        <v>-8.2151348359578089E-2</v>
      </c>
      <c r="CR47">
        <v>-9.7514826269023955E-2</v>
      </c>
      <c r="CS47">
        <v>-0.11254066224504709</v>
      </c>
      <c r="CT47">
        <v>-0.12723649126474751</v>
      </c>
      <c r="CU47">
        <v>-0.14160988312817649</v>
      </c>
      <c r="CV47">
        <v>-0.15566832752620069</v>
      </c>
    </row>
    <row r="48" spans="31:100" x14ac:dyDescent="0.25">
      <c r="AT48">
        <v>1</v>
      </c>
      <c r="AU48">
        <v>0.99674778133985842</v>
      </c>
      <c r="AV48">
        <v>0.98955512461922968</v>
      </c>
      <c r="AW48">
        <v>0.97895191064672182</v>
      </c>
      <c r="AX48">
        <v>0.96539345547588584</v>
      </c>
      <c r="AY48">
        <v>0.94928786292511047</v>
      </c>
      <c r="AZ48">
        <v>0.93100032697698198</v>
      </c>
      <c r="BA48">
        <v>0.91085683306761989</v>
      </c>
      <c r="BB48">
        <v>0.88914767909967374</v>
      </c>
      <c r="BC48">
        <v>0.86613081319881458</v>
      </c>
      <c r="BD48">
        <v>0.84203496327161509</v>
      </c>
      <c r="BE48">
        <v>0.81706254273320944</v>
      </c>
      <c r="BF48">
        <v>0.79139232699429685</v>
      </c>
      <c r="BG48">
        <v>0.76518190304898659</v>
      </c>
      <c r="BH48">
        <v>0.73856989984276722</v>
      </c>
      <c r="BI48">
        <v>0.71167801053557</v>
      </c>
      <c r="BJ48">
        <v>0.68461281980100941</v>
      </c>
      <c r="BK48">
        <v>0.65746745031297826</v>
      </c>
      <c r="BL48">
        <v>0.63032304286426588</v>
      </c>
      <c r="BM48">
        <v>0.60325008436592675</v>
      </c>
      <c r="BN48">
        <v>0.57630959745310528</v>
      </c>
      <c r="BO48">
        <v>0.54955420469616456</v>
      </c>
      <c r="BP48">
        <v>0.52302907957083877</v>
      </c>
      <c r="BQ48">
        <v>0.49677279543994279</v>
      </c>
      <c r="BR48">
        <v>0.47081808288502441</v>
      </c>
      <c r="BS48">
        <v>0.4451925048289852</v>
      </c>
      <c r="BT48">
        <v>0.41991905802847712</v>
      </c>
      <c r="BU48">
        <v>0.39501670870167183</v>
      </c>
      <c r="BV48">
        <v>0.3705008692964683</v>
      </c>
      <c r="BW48">
        <v>0.34638382270366308</v>
      </c>
      <c r="BX48">
        <v>0.32267509957468032</v>
      </c>
      <c r="BY48">
        <v>0.2993818138172113</v>
      </c>
      <c r="BZ48">
        <v>0.2765089608089536</v>
      </c>
      <c r="CA48">
        <v>0.25405968238810828</v>
      </c>
      <c r="CB48">
        <v>0.23203550224537089</v>
      </c>
      <c r="CC48">
        <v>0.2104365349519228</v>
      </c>
      <c r="CD48">
        <v>0.1892616715078326</v>
      </c>
      <c r="CE48">
        <v>0.168508743982656</v>
      </c>
      <c r="CF48">
        <v>0.14817467153892</v>
      </c>
      <c r="CG48">
        <v>0.12825558988003111</v>
      </c>
      <c r="CH48">
        <v>0.10874696594013369</v>
      </c>
      <c r="CI48">
        <v>8.9643699434907603E-2</v>
      </c>
      <c r="CJ48">
        <v>7.0940212715047052E-2</v>
      </c>
      <c r="CK48">
        <v>5.2630530205821743E-2</v>
      </c>
      <c r="CL48">
        <v>3.4708348576088691E-2</v>
      </c>
      <c r="CM48">
        <v>1.716709865455518E-2</v>
      </c>
      <c r="CN48">
        <v>-7.7218454374488805E-15</v>
      </c>
      <c r="CO48">
        <v>-1.67998910669259E-2</v>
      </c>
      <c r="CP48">
        <v>-3.3239639251187253E-2</v>
      </c>
      <c r="CQ48">
        <v>-4.932639324895971E-2</v>
      </c>
      <c r="CR48">
        <v>-6.5067353320417104E-2</v>
      </c>
      <c r="CS48">
        <v>-8.0469742960684737E-2</v>
      </c>
      <c r="CT48">
        <v>-9.5540784215359942E-2</v>
      </c>
      <c r="CU48">
        <v>-0.1102876762361472</v>
      </c>
      <c r="CV48">
        <v>-0.1247175767161601</v>
      </c>
    </row>
    <row r="49" spans="47:100" x14ac:dyDescent="0.25">
      <c r="AU49">
        <v>1</v>
      </c>
      <c r="AV49">
        <v>0.99688045591001351</v>
      </c>
      <c r="AW49">
        <v>0.98997222005801699</v>
      </c>
      <c r="AX49">
        <v>0.97977453240959644</v>
      </c>
      <c r="AY49">
        <v>0.96671704356331079</v>
      </c>
      <c r="AZ49">
        <v>0.95118580461104418</v>
      </c>
      <c r="BA49">
        <v>0.93352717101599181</v>
      </c>
      <c r="BB49">
        <v>0.91405114044717362</v>
      </c>
      <c r="BC49">
        <v>0.89303453360578988</v>
      </c>
      <c r="BD49">
        <v>0.87072401806362443</v>
      </c>
      <c r="BE49">
        <v>0.8473389521824507</v>
      </c>
      <c r="BF49">
        <v>0.82307403388383582</v>
      </c>
      <c r="BG49">
        <v>0.79810174808624779</v>
      </c>
      <c r="BH49">
        <v>0.77257461363321234</v>
      </c>
      <c r="BI49">
        <v>0.74662723544948073</v>
      </c>
      <c r="BJ49">
        <v>0.72037817089838474</v>
      </c>
      <c r="BK49">
        <v>0.69393162129070751</v>
      </c>
      <c r="BL49">
        <v>0.6673789605555891</v>
      </c>
      <c r="BM49">
        <v>0.64080011348831722</v>
      </c>
      <c r="BN49">
        <v>0.61426479593888494</v>
      </c>
      <c r="BO49">
        <v>0.58783362894448155</v>
      </c>
      <c r="BP49">
        <v>0.56155913824870729</v>
      </c>
      <c r="BQ49">
        <v>0.53548664996856599</v>
      </c>
      <c r="BR49">
        <v>0.50965509242406948</v>
      </c>
      <c r="BS49">
        <v>0.48409771337650059</v>
      </c>
      <c r="BT49">
        <v>0.45884272115489932</v>
      </c>
      <c r="BU49">
        <v>0.43391385740940169</v>
      </c>
      <c r="BV49">
        <v>0.4093309085221124</v>
      </c>
      <c r="BW49">
        <v>0.38511016204305859</v>
      </c>
      <c r="BX49">
        <v>0.36126481390047421</v>
      </c>
      <c r="BY49">
        <v>0.33780533156563552</v>
      </c>
      <c r="BZ49">
        <v>0.31473977783006818</v>
      </c>
      <c r="CA49">
        <v>0.29207409937705692</v>
      </c>
      <c r="CB49">
        <v>0.2698123838972295</v>
      </c>
      <c r="CC49">
        <v>0.2479570891071522</v>
      </c>
      <c r="CD49">
        <v>0.22650924667644379</v>
      </c>
      <c r="CE49">
        <v>0.20546864375214491</v>
      </c>
      <c r="CF49">
        <v>0.18483398448310531</v>
      </c>
      <c r="CG49">
        <v>0.16460303369112289</v>
      </c>
      <c r="CH49">
        <v>0.14477274460674949</v>
      </c>
      <c r="CI49">
        <v>0.1253393723818795</v>
      </c>
      <c r="CJ49">
        <v>0.10629857490791671</v>
      </c>
      <c r="CK49">
        <v>8.7645502304197057E-2</v>
      </c>
      <c r="CL49">
        <v>6.9374876295147755E-2</v>
      </c>
      <c r="CM49">
        <v>5.1481060563380303E-2</v>
      </c>
      <c r="CN49">
        <v>3.3958123049777869E-2</v>
      </c>
      <c r="CO49">
        <v>1.67998910669259E-2</v>
      </c>
      <c r="CP49">
        <v>-7.5584399753670529E-15</v>
      </c>
      <c r="CQ49">
        <v>-1.6448063714376189E-2</v>
      </c>
      <c r="CR49">
        <v>-3.2550924714031503E-2</v>
      </c>
      <c r="CS49">
        <v>-4.8315285391169291E-2</v>
      </c>
      <c r="CT49">
        <v>-6.3747896633794654E-2</v>
      </c>
      <c r="CU49">
        <v>-7.8855532189293226E-2</v>
      </c>
      <c r="CV49">
        <v>-9.364496625704033E-2</v>
      </c>
    </row>
    <row r="50" spans="47:100" x14ac:dyDescent="0.25">
      <c r="AV50">
        <v>1</v>
      </c>
      <c r="AW50">
        <v>0.99700517536263544</v>
      </c>
      <c r="AX50">
        <v>0.9903648336875055</v>
      </c>
      <c r="AY50">
        <v>0.98054990362374406</v>
      </c>
      <c r="AZ50">
        <v>0.96796625545321602</v>
      </c>
      <c r="BA50">
        <v>0.95297943380783712</v>
      </c>
      <c r="BB50">
        <v>0.93591820858328101</v>
      </c>
      <c r="BC50">
        <v>0.91707759099649944</v>
      </c>
      <c r="BD50">
        <v>0.89672171225481789</v>
      </c>
      <c r="BE50">
        <v>0.87508656751836034</v>
      </c>
      <c r="BF50">
        <v>0.85238260416164047</v>
      </c>
      <c r="BG50">
        <v>0.82879713964553559</v>
      </c>
      <c r="BH50">
        <v>0.80449660231445885</v>
      </c>
      <c r="BI50">
        <v>0.77962859476244217</v>
      </c>
      <c r="BJ50">
        <v>0.75432378392514643</v>
      </c>
      <c r="BK50">
        <v>0.72869762508883462</v>
      </c>
      <c r="BL50">
        <v>0.70285192891794057</v>
      </c>
      <c r="BM50">
        <v>0.67687628168501202</v>
      </c>
      <c r="BN50">
        <v>0.65084932937148854</v>
      </c>
      <c r="BO50">
        <v>0.6248399363688717</v>
      </c>
      <c r="BP50">
        <v>0.5989082292808322</v>
      </c>
      <c r="BQ50">
        <v>0.57310653590278937</v>
      </c>
      <c r="BR50">
        <v>0.54748022891092063</v>
      </c>
      <c r="BS50">
        <v>0.52206848317806676</v>
      </c>
      <c r="BT50">
        <v>0.49690495498771159</v>
      </c>
      <c r="BU50">
        <v>0.47201839076563568</v>
      </c>
      <c r="BV50">
        <v>0.44743317231093799</v>
      </c>
      <c r="BW50">
        <v>0.42316980489414091</v>
      </c>
      <c r="BX50">
        <v>0.39924535401006339</v>
      </c>
      <c r="BY50">
        <v>0.37567383603026611</v>
      </c>
      <c r="BZ50">
        <v>0.35246656749524918</v>
      </c>
      <c r="CA50">
        <v>0.32963247732342821</v>
      </c>
      <c r="CB50">
        <v>0.30717838578791667</v>
      </c>
      <c r="CC50">
        <v>0.28510925372530571</v>
      </c>
      <c r="CD50">
        <v>0.2634284050874125</v>
      </c>
      <c r="CE50">
        <v>0.2421377256291162</v>
      </c>
      <c r="CF50">
        <v>0.22123784023621981</v>
      </c>
      <c r="CG50">
        <v>0.20072827113799391</v>
      </c>
      <c r="CH50">
        <v>0.18060757901508551</v>
      </c>
      <c r="CI50">
        <v>0.16087348880313609</v>
      </c>
      <c r="CJ50">
        <v>0.14152300180398461</v>
      </c>
      <c r="CK50">
        <v>0.12255249554691509</v>
      </c>
      <c r="CL50">
        <v>0.1039578126909748</v>
      </c>
      <c r="CM50">
        <v>8.5734340123522518E-2</v>
      </c>
      <c r="CN50">
        <v>6.7877079288374276E-2</v>
      </c>
      <c r="CO50">
        <v>5.0380708668596591E-2</v>
      </c>
      <c r="CP50">
        <v>3.3239639251187253E-2</v>
      </c>
      <c r="CQ50">
        <v>1.6448063714376189E-2</v>
      </c>
      <c r="CR50">
        <v>-7.401806601411845E-15</v>
      </c>
      <c r="CS50">
        <v>-1.6110670135795081E-2</v>
      </c>
      <c r="CT50">
        <v>-3.1890167062804613E-2</v>
      </c>
      <c r="CU50">
        <v>-4.7344783232577778E-2</v>
      </c>
      <c r="CV50">
        <v>-6.2480856724369677E-2</v>
      </c>
    </row>
    <row r="51" spans="47:100" x14ac:dyDescent="0.25">
      <c r="AW51">
        <v>1</v>
      </c>
      <c r="AX51">
        <v>0.99712256311899328</v>
      </c>
      <c r="AY51">
        <v>0.99073484375891319</v>
      </c>
      <c r="AZ51">
        <v>0.9812815712962486</v>
      </c>
      <c r="BA51">
        <v>0.96914655166265562</v>
      </c>
      <c r="BB51">
        <v>0.95467623744892971</v>
      </c>
      <c r="BC51">
        <v>0.93818296540685475</v>
      </c>
      <c r="BD51">
        <v>0.91994768699587082</v>
      </c>
      <c r="BE51">
        <v>0.90022257812875339</v>
      </c>
      <c r="BF51">
        <v>0.8792335331450698</v>
      </c>
      <c r="BG51">
        <v>0.85718252386283789</v>
      </c>
      <c r="BH51">
        <v>0.83424980965400597</v>
      </c>
      <c r="BI51">
        <v>0.8105959915664398</v>
      </c>
      <c r="BJ51">
        <v>0.78636390922805433</v>
      </c>
      <c r="BK51">
        <v>0.76168038340812561</v>
      </c>
      <c r="BL51">
        <v>0.73665780994495145</v>
      </c>
      <c r="BM51">
        <v>0.71139561258059347</v>
      </c>
      <c r="BN51">
        <v>0.68598156332729809</v>
      </c>
      <c r="BO51">
        <v>0.66049297952973074</v>
      </c>
      <c r="BP51">
        <v>0.63499780693532237</v>
      </c>
      <c r="BQ51">
        <v>0.60955559796050784</v>
      </c>
      <c r="BR51">
        <v>0.58421839402988862</v>
      </c>
      <c r="BS51">
        <v>0.5590315204348324</v>
      </c>
      <c r="BT51">
        <v>0.53403430165458066</v>
      </c>
      <c r="BU51">
        <v>0.50926070454229411</v>
      </c>
      <c r="BV51">
        <v>0.48473991622484502</v>
      </c>
      <c r="BW51">
        <v>0.46049686301695197</v>
      </c>
      <c r="BX51">
        <v>0.43655267611831139</v>
      </c>
      <c r="BY51">
        <v>0.41292510935569082</v>
      </c>
      <c r="BZ51">
        <v>0.3896289137542574</v>
      </c>
      <c r="CA51">
        <v>0.36667617327705182</v>
      </c>
      <c r="CB51">
        <v>0.3440766056588862</v>
      </c>
      <c r="CC51">
        <v>0.32183783188163051</v>
      </c>
      <c r="CD51">
        <v>0.2999656174896676</v>
      </c>
      <c r="CE51">
        <v>0.27846408862785649</v>
      </c>
      <c r="CF51">
        <v>0.25733592539520328</v>
      </c>
      <c r="CG51">
        <v>0.23658253484676539</v>
      </c>
      <c r="CH51">
        <v>0.21620420573923671</v>
      </c>
      <c r="CI51">
        <v>0.1962002469023913</v>
      </c>
      <c r="CJ51">
        <v>0.17656911092610891</v>
      </c>
      <c r="CK51">
        <v>0.1573085046788589</v>
      </c>
      <c r="CL51">
        <v>0.13841548801844231</v>
      </c>
      <c r="CM51">
        <v>0.11988656191473029</v>
      </c>
      <c r="CN51">
        <v>0.1017177470790936</v>
      </c>
      <c r="CO51">
        <v>8.3904654081819102E-2</v>
      </c>
      <c r="CP51">
        <v>6.6442545837660794E-2</v>
      </c>
      <c r="CQ51">
        <v>4.932639324895971E-2</v>
      </c>
      <c r="CR51">
        <v>3.2550924714031503E-2</v>
      </c>
      <c r="CS51">
        <v>1.6110670135795081E-2</v>
      </c>
      <c r="CT51">
        <v>-7.251532896729901E-15</v>
      </c>
      <c r="CU51">
        <v>-1.578683996602976E-2</v>
      </c>
      <c r="CV51">
        <v>-3.1255698096010101E-2</v>
      </c>
    </row>
    <row r="52" spans="47:100" x14ac:dyDescent="0.25">
      <c r="AX52">
        <v>1</v>
      </c>
      <c r="AY52">
        <v>0.99723318271304517</v>
      </c>
      <c r="AZ52">
        <v>0.99108395187549991</v>
      </c>
      <c r="BA52">
        <v>0.98197275606385404</v>
      </c>
      <c r="BB52">
        <v>0.9702629014639339</v>
      </c>
      <c r="BC52">
        <v>0.95628304431370781</v>
      </c>
      <c r="BD52">
        <v>0.94033014942688098</v>
      </c>
      <c r="BE52">
        <v>0.92267196686373598</v>
      </c>
      <c r="BF52">
        <v>0.90354940186116872</v>
      </c>
      <c r="BG52">
        <v>0.88317878511056103</v>
      </c>
      <c r="BH52">
        <v>0.86175402597306539</v>
      </c>
      <c r="BI52">
        <v>0.83944863527074287</v>
      </c>
      <c r="BJ52">
        <v>0.81641761054456263</v>
      </c>
      <c r="BK52">
        <v>0.79279918182620901</v>
      </c>
      <c r="BL52">
        <v>0.76871641976162186</v>
      </c>
      <c r="BM52">
        <v>0.74427871056473771</v>
      </c>
      <c r="BN52">
        <v>0.71958310402342818</v>
      </c>
      <c r="BO52">
        <v>0.69471554185132711</v>
      </c>
      <c r="BP52">
        <v>0.66975197425277666</v>
      </c>
      <c r="BQ52">
        <v>0.64475937278301687</v>
      </c>
      <c r="BR52">
        <v>0.6197966475443768</v>
      </c>
      <c r="BS52">
        <v>0.59491547654106092</v>
      </c>
      <c r="BT52">
        <v>0.5701610546802337</v>
      </c>
      <c r="BU52">
        <v>0.54557276949691758</v>
      </c>
      <c r="BV52">
        <v>0.52118481023037866</v>
      </c>
      <c r="BW52">
        <v>0.49702671640989388</v>
      </c>
      <c r="BX52">
        <v>0.47312387163749242</v>
      </c>
      <c r="BY52">
        <v>0.44949794779529151</v>
      </c>
      <c r="BZ52">
        <v>0.42616730446175688</v>
      </c>
      <c r="CA52">
        <v>0.40314734790242102</v>
      </c>
      <c r="CB52">
        <v>0.38045085360630893</v>
      </c>
      <c r="CC52">
        <v>0.35808825597310429</v>
      </c>
      <c r="CD52">
        <v>0.33606790841717499</v>
      </c>
      <c r="CE52">
        <v>0.31439631684279779</v>
      </c>
      <c r="CF52">
        <v>0.29307834915940739</v>
      </c>
      <c r="CG52">
        <v>0.27211742324533311</v>
      </c>
      <c r="CH52">
        <v>0.25151567553110399</v>
      </c>
      <c r="CI52">
        <v>0.2312741121584212</v>
      </c>
      <c r="CJ52">
        <v>0.21139274447595011</v>
      </c>
      <c r="CK52">
        <v>0.19187071045664419</v>
      </c>
      <c r="CL52">
        <v>0.17270638346223091</v>
      </c>
      <c r="CM52">
        <v>0.1538974696367465</v>
      </c>
      <c r="CN52">
        <v>0.1354410950819521</v>
      </c>
      <c r="CO52">
        <v>0.1173338838503665</v>
      </c>
      <c r="CP52">
        <v>9.9572027687443027E-2</v>
      </c>
      <c r="CQ52">
        <v>8.2151348359578089E-2</v>
      </c>
      <c r="CR52">
        <v>6.5067353320417104E-2</v>
      </c>
      <c r="CS52">
        <v>4.8315285391169291E-2</v>
      </c>
      <c r="CT52">
        <v>3.189016706280462E-2</v>
      </c>
      <c r="CU52">
        <v>1.578683996602976E-2</v>
      </c>
      <c r="CV52">
        <v>-7.1072392627425026E-15</v>
      </c>
    </row>
    <row r="53" spans="47:100" x14ac:dyDescent="0.25">
      <c r="AY53">
        <v>1</v>
      </c>
      <c r="AZ53">
        <v>0.99733754456387969</v>
      </c>
      <c r="BA53">
        <v>0.99141370255149641</v>
      </c>
      <c r="BB53">
        <v>0.982626387543029</v>
      </c>
      <c r="BC53">
        <v>0.97131983489168527</v>
      </c>
      <c r="BD53">
        <v>0.95780609307870979</v>
      </c>
      <c r="BE53">
        <v>0.94236773331550661</v>
      </c>
      <c r="BF53">
        <v>0.92526009999967584</v>
      </c>
      <c r="BG53">
        <v>0.90671346637925643</v>
      </c>
      <c r="BH53">
        <v>0.88693510431230405</v>
      </c>
      <c r="BI53">
        <v>0.86611125233992325</v>
      </c>
      <c r="BJ53">
        <v>0.84440896943479726</v>
      </c>
      <c r="BK53">
        <v>0.82197786730751199</v>
      </c>
      <c r="BL53">
        <v>0.79895171880436378</v>
      </c>
      <c r="BM53">
        <v>0.77544994340010587</v>
      </c>
      <c r="BN53">
        <v>0.7515789732419127</v>
      </c>
      <c r="BO53">
        <v>0.72743350485382163</v>
      </c>
      <c r="BP53">
        <v>0.70309764265744412</v>
      </c>
      <c r="BQ53">
        <v>0.67864594105847953</v>
      </c>
      <c r="BR53">
        <v>0.65414435211225352</v>
      </c>
      <c r="BS53">
        <v>0.62965108580586038</v>
      </c>
      <c r="BT53">
        <v>0.60521738985277396</v>
      </c>
      <c r="BU53">
        <v>0.58088825563910595</v>
      </c>
      <c r="BV53">
        <v>0.55670305663100805</v>
      </c>
      <c r="BW53">
        <v>0.53269612517863996</v>
      </c>
      <c r="BX53">
        <v>0.50889727325540424</v>
      </c>
      <c r="BY53">
        <v>0.48533226226884102</v>
      </c>
      <c r="BZ53">
        <v>0.46202322668062451</v>
      </c>
      <c r="CA53">
        <v>0.43898905578785508</v>
      </c>
      <c r="CB53">
        <v>0.4162457376489429</v>
      </c>
      <c r="CC53">
        <v>0.39380666878944021</v>
      </c>
      <c r="CD53">
        <v>0.37168293299835192</v>
      </c>
      <c r="CE53">
        <v>0.34988355222201428</v>
      </c>
      <c r="CF53">
        <v>0.3284157122841509</v>
      </c>
      <c r="CG53">
        <v>0.30728496590321652</v>
      </c>
      <c r="CH53">
        <v>0.28649541524293048</v>
      </c>
      <c r="CI53">
        <v>0.26604987601686297</v>
      </c>
      <c r="CJ53">
        <v>0.24595002497248761</v>
      </c>
      <c r="CK53">
        <v>0.22619653240167739</v>
      </c>
      <c r="CL53">
        <v>0.20678918116373191</v>
      </c>
      <c r="CM53">
        <v>0.18772697356060181</v>
      </c>
      <c r="CN53">
        <v>0.16900822727191619</v>
      </c>
      <c r="CO53">
        <v>0.15063066143768691</v>
      </c>
      <c r="CP53">
        <v>0.1325914738692405</v>
      </c>
      <c r="CQ53">
        <v>0.11488741027110499</v>
      </c>
      <c r="CR53">
        <v>9.7514826269023955E-2</v>
      </c>
      <c r="CS53">
        <v>8.0469742960684737E-2</v>
      </c>
      <c r="CT53">
        <v>6.3747896633794654E-2</v>
      </c>
      <c r="CU53">
        <v>4.7344783232577778E-2</v>
      </c>
      <c r="CV53">
        <v>3.1255698096010101E-2</v>
      </c>
    </row>
    <row r="54" spans="47:100" x14ac:dyDescent="0.25">
      <c r="AZ54">
        <v>1</v>
      </c>
      <c r="BA54">
        <v>0.99743611187115877</v>
      </c>
      <c r="BB54">
        <v>0.99172550029128081</v>
      </c>
      <c r="BC54">
        <v>0.98324513529644242</v>
      </c>
      <c r="BD54">
        <v>0.97232148844841604</v>
      </c>
      <c r="BE54">
        <v>0.95925109231985495</v>
      </c>
      <c r="BF54">
        <v>0.9443030274787434</v>
      </c>
      <c r="BG54">
        <v>0.92772097097141482</v>
      </c>
      <c r="BH54">
        <v>0.90972516019541949</v>
      </c>
      <c r="BI54">
        <v>0.89051428261057053</v>
      </c>
      <c r="BJ54">
        <v>0.87026727702376594</v>
      </c>
      <c r="BK54">
        <v>0.84914503454299228</v>
      </c>
      <c r="BL54">
        <v>0.82729199216693883</v>
      </c>
      <c r="BM54">
        <v>0.80483761617193417</v>
      </c>
      <c r="BN54">
        <v>0.78189777563100704</v>
      </c>
      <c r="BO54">
        <v>0.75857600867447172</v>
      </c>
      <c r="BP54">
        <v>0.73496468566173312</v>
      </c>
      <c r="BQ54">
        <v>0.71114607444768907</v>
      </c>
      <c r="BR54">
        <v>0.68719331352895607</v>
      </c>
      <c r="BS54">
        <v>0.66317129915380379</v>
      </c>
      <c r="BT54">
        <v>0.63913749255608909</v>
      </c>
      <c r="BU54">
        <v>0.61514265339283314</v>
      </c>
      <c r="BV54">
        <v>0.5912315052747017</v>
      </c>
      <c r="BW54">
        <v>0.56744333901582911</v>
      </c>
      <c r="BX54">
        <v>0.5438125589202073</v>
      </c>
      <c r="BY54">
        <v>0.52036917708856678</v>
      </c>
      <c r="BZ54">
        <v>0.49713926038504258</v>
      </c>
      <c r="CA54">
        <v>0.4741453343589942</v>
      </c>
      <c r="CB54">
        <v>0.45140674808098441</v>
      </c>
      <c r="CC54">
        <v>0.42894000352867662</v>
      </c>
      <c r="CD54">
        <v>0.40675905285112851</v>
      </c>
      <c r="CE54">
        <v>0.38487556655109029</v>
      </c>
      <c r="CF54">
        <v>0.3632991753548952</v>
      </c>
      <c r="CG54">
        <v>0.34203768828933029</v>
      </c>
      <c r="CH54">
        <v>0.32109728925359687</v>
      </c>
      <c r="CI54">
        <v>0.30048271416189132</v>
      </c>
      <c r="CJ54">
        <v>0.2801974105371986</v>
      </c>
      <c r="CK54">
        <v>0.26024368125909919</v>
      </c>
      <c r="CL54">
        <v>0.24062281400592189</v>
      </c>
      <c r="CM54">
        <v>0.22133519778374261</v>
      </c>
      <c r="CN54">
        <v>0.2023804278010333</v>
      </c>
      <c r="CO54">
        <v>0.18375739982559619</v>
      </c>
      <c r="CP54">
        <v>0.1654643950506344</v>
      </c>
      <c r="CQ54">
        <v>0.14749915639666669</v>
      </c>
      <c r="CR54">
        <v>0.12985895708603629</v>
      </c>
      <c r="CS54">
        <v>0.11254066224504709</v>
      </c>
      <c r="CT54">
        <v>9.5540784215359942E-2</v>
      </c>
      <c r="CU54">
        <v>7.8855532189293226E-2</v>
      </c>
      <c r="CV54">
        <v>6.2480856724369677E-2</v>
      </c>
    </row>
    <row r="55" spans="47:100" x14ac:dyDescent="0.25">
      <c r="BA55">
        <v>1</v>
      </c>
      <c r="BB55">
        <v>0.99752930576127663</v>
      </c>
      <c r="BC55">
        <v>0.99202062454186535</v>
      </c>
      <c r="BD55">
        <v>0.98383143602579981</v>
      </c>
      <c r="BE55">
        <v>0.97327164536473987</v>
      </c>
      <c r="BF55">
        <v>0.96062327353288368</v>
      </c>
      <c r="BG55">
        <v>0.94614274477020288</v>
      </c>
      <c r="BH55">
        <v>0.93006275438529551</v>
      </c>
      <c r="BI55">
        <v>0.91259406064637449</v>
      </c>
      <c r="BJ55">
        <v>0.89392721255682317</v>
      </c>
      <c r="BK55">
        <v>0.87423420065763291</v>
      </c>
      <c r="BL55">
        <v>0.85367001968145129</v>
      </c>
      <c r="BM55">
        <v>0.83237413617744793</v>
      </c>
      <c r="BN55">
        <v>0.81047185800940513</v>
      </c>
      <c r="BO55">
        <v>0.78807560553009759</v>
      </c>
      <c r="BP55">
        <v>0.76528608634062145</v>
      </c>
      <c r="BQ55">
        <v>0.74219337701180632</v>
      </c>
      <c r="BR55">
        <v>0.71887791611951535</v>
      </c>
      <c r="BS55">
        <v>0.69541141354694624</v>
      </c>
      <c r="BT55">
        <v>0.67185768132936463</v>
      </c>
      <c r="BU55">
        <v>0.64827339143346341</v>
      </c>
      <c r="BV55">
        <v>0.62470876583239288</v>
      </c>
      <c r="BW55">
        <v>0.60120820410203568</v>
      </c>
      <c r="BX55">
        <v>0.57781085355689454</v>
      </c>
      <c r="BY55">
        <v>0.55455112669161044</v>
      </c>
      <c r="BZ55">
        <v>0.5314591704134175</v>
      </c>
      <c r="CA55">
        <v>0.50856129125759919</v>
      </c>
      <c r="CB55">
        <v>0.48588034048132128</v>
      </c>
      <c r="CC55">
        <v>0.46343606263831238</v>
      </c>
      <c r="CD55">
        <v>0.44124541095350472</v>
      </c>
      <c r="CE55">
        <v>0.41932283254541081</v>
      </c>
      <c r="CF55">
        <v>0.39768052628762141</v>
      </c>
      <c r="CG55">
        <v>0.37632867586033941</v>
      </c>
      <c r="CH55">
        <v>0.35527566031815461</v>
      </c>
      <c r="CI55">
        <v>0.33452824429271261</v>
      </c>
      <c r="CJ55">
        <v>0.31409174975649973</v>
      </c>
      <c r="CK55">
        <v>0.29397021109801891</v>
      </c>
      <c r="CL55">
        <v>0.2741665150959795</v>
      </c>
      <c r="CM55">
        <v>0.25468252723288071</v>
      </c>
      <c r="CN55">
        <v>0.23551920565267531</v>
      </c>
      <c r="CO55">
        <v>0.21667670394440999</v>
      </c>
      <c r="CP55">
        <v>0.19815446382190879</v>
      </c>
      <c r="CQ55">
        <v>0.17995129866736351</v>
      </c>
      <c r="CR55">
        <v>0.1620654688153047</v>
      </c>
      <c r="CS55">
        <v>0.144494749368791</v>
      </c>
      <c r="CT55">
        <v>0.12723649126474751</v>
      </c>
      <c r="CU55">
        <v>0.1102876762361472</v>
      </c>
      <c r="CV55">
        <v>9.364496625704033E-2</v>
      </c>
    </row>
    <row r="56" spans="47:100" x14ac:dyDescent="0.25">
      <c r="BB56">
        <v>1</v>
      </c>
      <c r="BC56">
        <v>0.99761750979072361</v>
      </c>
      <c r="BD56">
        <v>0.99230024281555895</v>
      </c>
      <c r="BE56">
        <v>0.98438751750702447</v>
      </c>
      <c r="BF56">
        <v>0.97417377114232262</v>
      </c>
      <c r="BG56">
        <v>0.96192743808293069</v>
      </c>
      <c r="BH56">
        <v>0.94789305797071255</v>
      </c>
      <c r="BI56">
        <v>0.93229298159356389</v>
      </c>
      <c r="BJ56">
        <v>0.91532900829000041</v>
      </c>
      <c r="BK56">
        <v>0.89718396784584131</v>
      </c>
      <c r="BL56">
        <v>0.87802323532494442</v>
      </c>
      <c r="BM56">
        <v>0.85799616837298864</v>
      </c>
      <c r="BN56">
        <v>0.83723746031607127</v>
      </c>
      <c r="BO56">
        <v>0.81586840578732522</v>
      </c>
      <c r="BP56">
        <v>0.79399807826498359</v>
      </c>
      <c r="BQ56">
        <v>0.77172442085273119</v>
      </c>
      <c r="BR56">
        <v>0.74913525301060746</v>
      </c>
      <c r="BS56">
        <v>0.72630919687778461</v>
      </c>
      <c r="BT56">
        <v>0.70331652742148287</v>
      </c>
      <c r="BU56">
        <v>0.68021995098400945</v>
      </c>
      <c r="BV56">
        <v>0.65707531694730481</v>
      </c>
      <c r="BW56">
        <v>0.63393226724268747</v>
      </c>
      <c r="BX56">
        <v>0.61083482834374481</v>
      </c>
      <c r="BY56">
        <v>0.5878219502199743</v>
      </c>
      <c r="BZ56">
        <v>0.56492799652378056</v>
      </c>
      <c r="CA56">
        <v>0.5421831900494023</v>
      </c>
      <c r="CB56">
        <v>0.51961401725270639</v>
      </c>
      <c r="CC56">
        <v>0.49724359536519908</v>
      </c>
      <c r="CD56">
        <v>0.47509200538150043</v>
      </c>
      <c r="CE56">
        <v>0.45317659395060489</v>
      </c>
      <c r="CF56">
        <v>0.43151224696236917</v>
      </c>
      <c r="CG56">
        <v>0.41011163739315309</v>
      </c>
      <c r="CH56">
        <v>0.38898544975973742</v>
      </c>
      <c r="CI56">
        <v>0.36814258333008232</v>
      </c>
      <c r="CJ56">
        <v>0.34759033605212752</v>
      </c>
      <c r="CK56">
        <v>0.32733457098861779</v>
      </c>
      <c r="CL56">
        <v>0.30737986688623758</v>
      </c>
      <c r="CM56">
        <v>0.28772965435963799</v>
      </c>
      <c r="CN56">
        <v>0.26838633903655978</v>
      </c>
      <c r="CO56">
        <v>0.24935141288632889</v>
      </c>
      <c r="CP56">
        <v>0.2306255548410176</v>
      </c>
      <c r="CQ56">
        <v>0.21220872171619121</v>
      </c>
      <c r="CR56">
        <v>0.19410023034362719</v>
      </c>
      <c r="CS56">
        <v>0.17629883174375169</v>
      </c>
      <c r="CT56">
        <v>0.1588027780876379</v>
      </c>
      <c r="CU56">
        <v>0.14160988312817649</v>
      </c>
      <c r="CV56">
        <v>0.1247175767161601</v>
      </c>
    </row>
    <row r="57" spans="47:100" x14ac:dyDescent="0.25">
      <c r="BC57">
        <v>1</v>
      </c>
      <c r="BD57">
        <v>0.99770107389728058</v>
      </c>
      <c r="BE57">
        <v>0.99256542223455091</v>
      </c>
      <c r="BF57">
        <v>0.98491541970597818</v>
      </c>
      <c r="BG57">
        <v>0.97503104499970061</v>
      </c>
      <c r="BH57">
        <v>0.96316799886299442</v>
      </c>
      <c r="BI57">
        <v>0.94955965094059147</v>
      </c>
      <c r="BJ57">
        <v>0.93441860023572487</v>
      </c>
      <c r="BK57">
        <v>0.91793817351028562</v>
      </c>
      <c r="BL57">
        <v>0.90029387556160223</v>
      </c>
      <c r="BM57">
        <v>0.88164478101544175</v>
      </c>
      <c r="BN57">
        <v>0.86213485786616373</v>
      </c>
      <c r="BO57">
        <v>0.84189421632285377</v>
      </c>
      <c r="BP57">
        <v>0.821040279597131</v>
      </c>
      <c r="BQ57">
        <v>0.79967887568864371</v>
      </c>
      <c r="BR57">
        <v>0.77790525102375807</v>
      </c>
      <c r="BS57">
        <v>0.7558050080923161</v>
      </c>
      <c r="BT57">
        <v>0.73345497011597893</v>
      </c>
      <c r="BU57">
        <v>0.71092397636190596</v>
      </c>
      <c r="BV57">
        <v>0.68827361206115056</v>
      </c>
      <c r="BW57">
        <v>0.66555887706099104</v>
      </c>
      <c r="BX57">
        <v>0.64282879738148369</v>
      </c>
      <c r="BY57">
        <v>0.62012698379240516</v>
      </c>
      <c r="BZ57">
        <v>0.59749214140745277</v>
      </c>
      <c r="CA57">
        <v>0.57495853412702291</v>
      </c>
      <c r="CB57">
        <v>0.55255640756692959</v>
      </c>
      <c r="CC57">
        <v>0.53031237389860719</v>
      </c>
      <c r="CD57">
        <v>0.50824976180696912</v>
      </c>
      <c r="CE57">
        <v>0.48638893455141791</v>
      </c>
      <c r="CF57">
        <v>0.46474757889740831</v>
      </c>
      <c r="CG57">
        <v>0.4433409674757956</v>
      </c>
      <c r="CH57">
        <v>0.42218219692495412</v>
      </c>
      <c r="CI57">
        <v>0.40128240397968618</v>
      </c>
      <c r="CJ57">
        <v>0.38065096149101918</v>
      </c>
      <c r="CK57">
        <v>0.36029565619273418</v>
      </c>
      <c r="CL57">
        <v>0.34022284987412388</v>
      </c>
      <c r="CM57">
        <v>0.32043762547347732</v>
      </c>
      <c r="CN57">
        <v>0.30094391947322702</v>
      </c>
      <c r="CO57">
        <v>0.28174464185436982</v>
      </c>
      <c r="CP57">
        <v>0.26284178475516551</v>
      </c>
      <c r="CQ57">
        <v>0.24423652087519429</v>
      </c>
      <c r="CR57">
        <v>0.22592929257142469</v>
      </c>
      <c r="CS57">
        <v>0.20791989250658349</v>
      </c>
      <c r="CT57">
        <v>0.19020753663110601</v>
      </c>
      <c r="CU57">
        <v>0.17279093020817579</v>
      </c>
      <c r="CV57">
        <v>0.15566832752620069</v>
      </c>
    </row>
    <row r="58" spans="47:100" x14ac:dyDescent="0.25">
      <c r="BD58">
        <v>1</v>
      </c>
      <c r="BE58">
        <v>0.99778031787458465</v>
      </c>
      <c r="BF58">
        <v>0.99281713971025443</v>
      </c>
      <c r="BG58">
        <v>0.98541701344775068</v>
      </c>
      <c r="BH58">
        <v>0.97584638775126742</v>
      </c>
      <c r="BI58">
        <v>0.96434901733043665</v>
      </c>
      <c r="BJ58">
        <v>0.95114776422517266</v>
      </c>
      <c r="BK58">
        <v>0.9364460274756371</v>
      </c>
      <c r="BL58">
        <v>0.9204291162429985</v>
      </c>
      <c r="BM58">
        <v>0.90326558115134725</v>
      </c>
      <c r="BN58">
        <v>0.88510849458988416</v>
      </c>
      <c r="BO58">
        <v>0.86609667087113795</v>
      </c>
      <c r="BP58">
        <v>0.84635582006448318</v>
      </c>
      <c r="BQ58">
        <v>0.825999632099085</v>
      </c>
      <c r="BR58">
        <v>0.80513078994110598</v>
      </c>
      <c r="BS58">
        <v>0.78384191231068723</v>
      </c>
      <c r="BT58">
        <v>0.7622164276096588</v>
      </c>
      <c r="BU58">
        <v>0.74032938157410733</v>
      </c>
      <c r="BV58">
        <v>0.71824818172909222</v>
      </c>
      <c r="BW58">
        <v>0.69603328207129178</v>
      </c>
      <c r="BX58">
        <v>0.67373881159183191</v>
      </c>
      <c r="BY58">
        <v>0.6514131503167907</v>
      </c>
      <c r="BZ58">
        <v>0.62909945652016397</v>
      </c>
      <c r="CA58">
        <v>0.60683614867702818</v>
      </c>
      <c r="CB58">
        <v>0.58465734559397342</v>
      </c>
      <c r="CC58">
        <v>0.56259326799351839</v>
      </c>
      <c r="CD58">
        <v>0.54067060465069039</v>
      </c>
      <c r="CE58">
        <v>0.51891284599173848</v>
      </c>
      <c r="CF58">
        <v>0.49734058787363739</v>
      </c>
      <c r="CG58">
        <v>0.47597180807256478</v>
      </c>
      <c r="CH58">
        <v>0.45482211782409671</v>
      </c>
      <c r="CI58">
        <v>0.43390499057879289</v>
      </c>
      <c r="CJ58">
        <v>0.41323196996696832</v>
      </c>
      <c r="CK58">
        <v>0.39281285880466082</v>
      </c>
      <c r="CL58">
        <v>0.37265589082257761</v>
      </c>
      <c r="CM58">
        <v>0.35276788665773973</v>
      </c>
      <c r="CN58">
        <v>0.33315439551702308</v>
      </c>
      <c r="CO58">
        <v>0.3138198237997909</v>
      </c>
      <c r="CP58">
        <v>0.29476755185501929</v>
      </c>
      <c r="CQ58">
        <v>0.27600003994469668</v>
      </c>
      <c r="CR58">
        <v>0.25751892439064689</v>
      </c>
      <c r="CS58">
        <v>0.2393251047947281</v>
      </c>
      <c r="CT58">
        <v>0.2214188231427979</v>
      </c>
      <c r="CU58">
        <v>0.20379973553010219</v>
      </c>
      <c r="CV58">
        <v>0.18646697717883501</v>
      </c>
    </row>
    <row r="59" spans="47:100" x14ac:dyDescent="0.25">
      <c r="BE59">
        <v>1</v>
      </c>
      <c r="BF59">
        <v>0.99785553443509267</v>
      </c>
      <c r="BG59">
        <v>0.99305629093909187</v>
      </c>
      <c r="BH59">
        <v>0.98589401695770484</v>
      </c>
      <c r="BI59">
        <v>0.97662248657381912</v>
      </c>
      <c r="BJ59">
        <v>0.96547423649701458</v>
      </c>
      <c r="BK59">
        <v>0.95266223578865783</v>
      </c>
      <c r="BL59">
        <v>0.93838119768267247</v>
      </c>
      <c r="BM59">
        <v>0.92280883961732618</v>
      </c>
      <c r="BN59">
        <v>0.90610710694574093</v>
      </c>
      <c r="BO59">
        <v>0.88842335207180367</v>
      </c>
      <c r="BP59">
        <v>0.86989146054197941</v>
      </c>
      <c r="BQ59">
        <v>0.8506329181864154</v>
      </c>
      <c r="BR59">
        <v>0.83075781590632836</v>
      </c>
      <c r="BS59">
        <v>0.81036579072305148</v>
      </c>
      <c r="BT59">
        <v>0.78954690323657073</v>
      </c>
      <c r="BU59">
        <v>0.76838245276584227</v>
      </c>
      <c r="BV59">
        <v>0.74694573224125471</v>
      </c>
      <c r="BW59">
        <v>0.72530272546319219</v>
      </c>
      <c r="BX59">
        <v>0.7035127496873419</v>
      </c>
      <c r="BY59">
        <v>0.68162904669522573</v>
      </c>
      <c r="BZ59">
        <v>0.65969932559295086</v>
      </c>
      <c r="CA59">
        <v>0.63776626058320307</v>
      </c>
      <c r="CB59">
        <v>0.61586794689612367</v>
      </c>
      <c r="CC59">
        <v>0.59403831796330064</v>
      </c>
      <c r="CD59">
        <v>0.57230752678726771</v>
      </c>
      <c r="CE59">
        <v>0.550702294309664</v>
      </c>
      <c r="CF59">
        <v>0.52924622741983363</v>
      </c>
      <c r="CG59">
        <v>0.50796010908024225</v>
      </c>
      <c r="CH59">
        <v>0.48686216287881301</v>
      </c>
      <c r="CI59">
        <v>0.46596829415480678</v>
      </c>
      <c r="CJ59">
        <v>0.44529230968693878</v>
      </c>
      <c r="CK59">
        <v>0.42484611777994991</v>
      </c>
      <c r="CL59">
        <v>0.40463991044271608</v>
      </c>
      <c r="CM59">
        <v>0.38468232921429102</v>
      </c>
      <c r="CN59">
        <v>0.36498061606753751</v>
      </c>
      <c r="CO59">
        <v>0.34554075070073842</v>
      </c>
      <c r="CP59">
        <v>0.32636757541760408</v>
      </c>
      <c r="CQ59">
        <v>0.30746490869351462</v>
      </c>
      <c r="CR59">
        <v>0.28883564843152087</v>
      </c>
      <c r="CS59">
        <v>0.27048186582493738</v>
      </c>
      <c r="CT59">
        <v>0.25240489066291399</v>
      </c>
      <c r="CU59">
        <v>0.23460538884221879</v>
      </c>
      <c r="CV59">
        <v>0.2170834327814716</v>
      </c>
    </row>
    <row r="60" spans="47:100" x14ac:dyDescent="0.25">
      <c r="BF60">
        <v>1</v>
      </c>
      <c r="BG60">
        <v>0.99792699191581169</v>
      </c>
      <c r="BH60">
        <v>0.99328369836906094</v>
      </c>
      <c r="BI60">
        <v>0.98634801054711507</v>
      </c>
      <c r="BJ60">
        <v>0.97736181705093517</v>
      </c>
      <c r="BK60">
        <v>0.96654711036910079</v>
      </c>
      <c r="BL60">
        <v>0.9541075374600263</v>
      </c>
      <c r="BM60">
        <v>0.94022960520694487</v>
      </c>
      <c r="BN60">
        <v>0.92508383820753459</v>
      </c>
      <c r="BO60">
        <v>0.90882590494149618</v>
      </c>
      <c r="BP60">
        <v>0.89159770498627366</v>
      </c>
      <c r="BQ60">
        <v>0.87352840941240828</v>
      </c>
      <c r="BR60">
        <v>0.85473544873393859</v>
      </c>
      <c r="BS60">
        <v>0.83532544504756467</v>
      </c>
      <c r="BT60">
        <v>0.8153950868374078</v>
      </c>
      <c r="BU60">
        <v>0.79503194633541541</v>
      </c>
      <c r="BV60">
        <v>0.77431524037541744</v>
      </c>
      <c r="BW60">
        <v>0.75331653643221252</v>
      </c>
      <c r="BX60">
        <v>0.73210040605898619</v>
      </c>
      <c r="BY60">
        <v>0.71072502827872919</v>
      </c>
      <c r="BZ60">
        <v>0.68924274568915167</v>
      </c>
      <c r="CA60">
        <v>0.66770057614097311</v>
      </c>
      <c r="CB60">
        <v>0.64614068287074022</v>
      </c>
      <c r="CC60">
        <v>0.6246008059331476</v>
      </c>
      <c r="CD60">
        <v>0.60311465770084549</v>
      </c>
      <c r="CE60">
        <v>0.58171228509325612</v>
      </c>
      <c r="CF60">
        <v>0.56042040107078239</v>
      </c>
      <c r="CG60">
        <v>0.53926268779360742</v>
      </c>
      <c r="CH60">
        <v>0.51826007370125282</v>
      </c>
      <c r="CI60">
        <v>0.49743098662432211</v>
      </c>
      <c r="CJ60">
        <v>0.47679158489593831</v>
      </c>
      <c r="CK60">
        <v>0.45635596829035369</v>
      </c>
      <c r="CL60">
        <v>0.43613637048127918</v>
      </c>
      <c r="CM60">
        <v>0.41614333458342567</v>
      </c>
      <c r="CN60">
        <v>0.39638587321899987</v>
      </c>
      <c r="CO60">
        <v>0.37687161443554779</v>
      </c>
      <c r="CP60">
        <v>0.35760693469461158</v>
      </c>
      <c r="CQ60">
        <v>0.33859708004985761</v>
      </c>
      <c r="CR60">
        <v>0.31984627654048692</v>
      </c>
      <c r="CS60">
        <v>0.30135783073943512</v>
      </c>
      <c r="CT60">
        <v>0.28313422131596361</v>
      </c>
      <c r="CU60">
        <v>0.26517718239911198</v>
      </c>
      <c r="CV60">
        <v>0.2474877794605102</v>
      </c>
    </row>
    <row r="61" spans="47:100" x14ac:dyDescent="0.25">
      <c r="BG61">
        <v>1</v>
      </c>
      <c r="BH61">
        <v>0.99799493667406136</v>
      </c>
      <c r="BI61">
        <v>0.99350011826968632</v>
      </c>
      <c r="BJ61">
        <v>0.98678044967716405</v>
      </c>
      <c r="BK61">
        <v>0.97806666283139365</v>
      </c>
      <c r="BL61">
        <v>0.96757083026691459</v>
      </c>
      <c r="BM61">
        <v>0.9554878075976172</v>
      </c>
      <c r="BN61">
        <v>0.94199634281468236</v>
      </c>
      <c r="BO61">
        <v>0.92726014150108282</v>
      </c>
      <c r="BP61">
        <v>0.91142890447573865</v>
      </c>
      <c r="BQ61">
        <v>0.89463933138080354</v>
      </c>
      <c r="BR61">
        <v>0.87701608291145416</v>
      </c>
      <c r="BS61">
        <v>0.85867269634748378</v>
      </c>
      <c r="BT61">
        <v>0.83971245108322301</v>
      </c>
      <c r="BU61">
        <v>0.82022918253553012</v>
      </c>
      <c r="BV61">
        <v>0.80030804411209333</v>
      </c>
      <c r="BW61">
        <v>0.78002621789872084</v>
      </c>
      <c r="BX61">
        <v>0.75945357543307312</v>
      </c>
      <c r="BY61">
        <v>0.73865329043249939</v>
      </c>
      <c r="BZ61">
        <v>0.71768240567765573</v>
      </c>
      <c r="CA61">
        <v>0.6965923564620482</v>
      </c>
      <c r="CB61">
        <v>0.67542945312822578</v>
      </c>
      <c r="CC61">
        <v>0.65423532524864236</v>
      </c>
      <c r="CD61">
        <v>0.6330473299928201</v>
      </c>
      <c r="CE61">
        <v>0.6118989271650167</v>
      </c>
      <c r="CF61">
        <v>0.59082002331250938</v>
      </c>
      <c r="CG61">
        <v>0.56983728719997773</v>
      </c>
      <c r="CH61">
        <v>0.54897443882960806</v>
      </c>
      <c r="CI61">
        <v>0.52825251406304963</v>
      </c>
      <c r="CJ61">
        <v>0.50769010677530346</v>
      </c>
      <c r="CK61">
        <v>0.48730359034431969</v>
      </c>
      <c r="CL61">
        <v>0.46710732015621609</v>
      </c>
      <c r="CM61">
        <v>0.44711381868607902</v>
      </c>
      <c r="CN61">
        <v>0.42733394459874391</v>
      </c>
      <c r="CO61">
        <v>0.40777704720476871</v>
      </c>
      <c r="CP61">
        <v>0.38845110750277162</v>
      </c>
      <c r="CQ61">
        <v>0.36936286694253451</v>
      </c>
      <c r="CR61">
        <v>0.35051794495163979</v>
      </c>
      <c r="CS61">
        <v>0.33192094618401702</v>
      </c>
      <c r="CT61">
        <v>0.31357555836966261</v>
      </c>
      <c r="CU61">
        <v>0.2954846415718414</v>
      </c>
      <c r="CV61">
        <v>0.27765030959077341</v>
      </c>
    </row>
    <row r="62" spans="47:100" x14ac:dyDescent="0.25">
      <c r="BH62">
        <v>1</v>
      </c>
      <c r="BI62">
        <v>0.99805959521278287</v>
      </c>
      <c r="BJ62">
        <v>0.99370624701870192</v>
      </c>
      <c r="BK62">
        <v>0.98719267660273824</v>
      </c>
      <c r="BL62">
        <v>0.97873913319199879</v>
      </c>
      <c r="BM62">
        <v>0.96854834839456572</v>
      </c>
      <c r="BN62">
        <v>0.95680688041318529</v>
      </c>
      <c r="BO62">
        <v>0.94368613627760534</v>
      </c>
      <c r="BP62">
        <v>0.929343353114777</v>
      </c>
      <c r="BQ62">
        <v>0.91392255534519207</v>
      </c>
      <c r="BR62">
        <v>0.89755548208883762</v>
      </c>
      <c r="BS62">
        <v>0.88036247801414769</v>
      </c>
      <c r="BT62">
        <v>0.86245334257144779</v>
      </c>
      <c r="BU62">
        <v>0.84392813438932357</v>
      </c>
      <c r="BV62">
        <v>0.82487792915037594</v>
      </c>
      <c r="BW62">
        <v>0.80538553046305483</v>
      </c>
      <c r="BX62">
        <v>0.78552613415475436</v>
      </c>
      <c r="BY62">
        <v>0.76536794707778033</v>
      </c>
      <c r="BZ62">
        <v>0.74497276199678542</v>
      </c>
      <c r="CA62">
        <v>0.72439649045110444</v>
      </c>
      <c r="CB62">
        <v>0.70368965569491437</v>
      </c>
      <c r="CC62">
        <v>0.68289784793606123</v>
      </c>
      <c r="CD62">
        <v>0.66206214414515419</v>
      </c>
      <c r="CE62">
        <v>0.64121949470487138</v>
      </c>
      <c r="CF62">
        <v>0.62040307913024462</v>
      </c>
      <c r="CG62">
        <v>0.59964263302417087</v>
      </c>
      <c r="CH62">
        <v>0.57896474834660649</v>
      </c>
      <c r="CI62">
        <v>0.55839314897784897</v>
      </c>
      <c r="CJ62">
        <v>0.53794894345021027</v>
      </c>
      <c r="CK62">
        <v>0.51765085661296184</v>
      </c>
      <c r="CL62">
        <v>0.49751544188441088</v>
      </c>
      <c r="CM62">
        <v>0.47755727563591588</v>
      </c>
      <c r="CN62">
        <v>0.45778913514550851</v>
      </c>
      <c r="CO62">
        <v>0.43822216145596338</v>
      </c>
      <c r="CP62">
        <v>0.41886600837383797</v>
      </c>
      <c r="CQ62">
        <v>0.399728978752523</v>
      </c>
      <c r="CR62">
        <v>0.38081814911429668</v>
      </c>
      <c r="CS62">
        <v>0.36213948358381742</v>
      </c>
      <c r="CT62">
        <v>0.3436979380280748</v>
      </c>
      <c r="CU62">
        <v>0.32549755522574619</v>
      </c>
      <c r="CV62">
        <v>0.30754155182231058</v>
      </c>
    </row>
    <row r="63" spans="47:100" x14ac:dyDescent="0.25">
      <c r="BI63">
        <v>1</v>
      </c>
      <c r="BJ63">
        <v>0.99812117607008721</v>
      </c>
      <c r="BK63">
        <v>0.99390272670305846</v>
      </c>
      <c r="BL63">
        <v>0.98758593076950596</v>
      </c>
      <c r="BM63">
        <v>0.97938117875579578</v>
      </c>
      <c r="BN63">
        <v>0.9694823989836705</v>
      </c>
      <c r="BO63">
        <v>0.95806831233881562</v>
      </c>
      <c r="BP63">
        <v>0.94530337554851496</v>
      </c>
      <c r="BQ63">
        <v>0.93133868622532434</v>
      </c>
      <c r="BR63">
        <v>0.91631286685757385</v>
      </c>
      <c r="BS63">
        <v>0.90035292273154388</v>
      </c>
      <c r="BT63">
        <v>0.88357506752037207</v>
      </c>
      <c r="BU63">
        <v>0.86608551175744863</v>
      </c>
      <c r="BV63">
        <v>0.84798121106979152</v>
      </c>
      <c r="BW63">
        <v>0.82935057245099686</v>
      </c>
      <c r="BX63">
        <v>0.81027411796074778</v>
      </c>
      <c r="BY63">
        <v>0.79082510608116641</v>
      </c>
      <c r="BZ63">
        <v>0.77107011158715411</v>
      </c>
      <c r="CA63">
        <v>0.75106956524070978</v>
      </c>
      <c r="CB63">
        <v>0.73087825493411773</v>
      </c>
      <c r="CC63">
        <v>0.71054579011435437</v>
      </c>
      <c r="CD63">
        <v>0.6901170314452354</v>
      </c>
      <c r="CE63">
        <v>0.66963248772350481</v>
      </c>
      <c r="CF63">
        <v>0.64912868207677477</v>
      </c>
      <c r="CG63">
        <v>0.62863848944665413</v>
      </c>
      <c r="CH63">
        <v>0.60819144730895502</v>
      </c>
      <c r="CI63">
        <v>0.5878140415135551</v>
      </c>
      <c r="CJ63">
        <v>0.56752996904351583</v>
      </c>
      <c r="CK63">
        <v>0.54736037940282034</v>
      </c>
      <c r="CL63">
        <v>0.5273240962464405</v>
      </c>
      <c r="CM63">
        <v>0.50743782077003829</v>
      </c>
      <c r="CN63">
        <v>0.48771631827957551</v>
      </c>
      <c r="CO63">
        <v>0.46817258926648891</v>
      </c>
      <c r="CP63">
        <v>0.4488180262219722</v>
      </c>
      <c r="CQ63">
        <v>0.42966255733565811</v>
      </c>
      <c r="CR63">
        <v>0.41071477813999219</v>
      </c>
      <c r="CS63">
        <v>0.39198207208170238</v>
      </c>
      <c r="CT63">
        <v>0.37347072092682382</v>
      </c>
      <c r="CU63">
        <v>0.35518600583545079</v>
      </c>
      <c r="CV63">
        <v>0.33713229987646881</v>
      </c>
    </row>
    <row r="64" spans="47:100" x14ac:dyDescent="0.25">
      <c r="BJ64">
        <v>1</v>
      </c>
      <c r="BK64">
        <v>0.99817987150216858</v>
      </c>
      <c r="BL64">
        <v>0.99409015011842894</v>
      </c>
      <c r="BM64">
        <v>0.98796135811458152</v>
      </c>
      <c r="BN64">
        <v>0.97999460558378926</v>
      </c>
      <c r="BO64">
        <v>0.97037551729137284</v>
      </c>
      <c r="BP64">
        <v>0.95927540577202708</v>
      </c>
      <c r="BQ64">
        <v>0.94685214290097153</v>
      </c>
      <c r="BR64">
        <v>0.93325099562383684</v>
      </c>
      <c r="BS64">
        <v>0.91860544324473203</v>
      </c>
      <c r="BT64">
        <v>0.90303797189696677</v>
      </c>
      <c r="BU64">
        <v>0.88666084040015891</v>
      </c>
      <c r="BV64">
        <v>0.86957681299113587</v>
      </c>
      <c r="BW64">
        <v>0.85187985591036763</v>
      </c>
      <c r="BX64">
        <v>0.83365579610973306</v>
      </c>
      <c r="BY64">
        <v>0.81498294136704086</v>
      </c>
      <c r="BZ64">
        <v>0.79593266187675105</v>
      </c>
      <c r="CA64">
        <v>0.77656993397442309</v>
      </c>
      <c r="CB64">
        <v>0.75695384708156199</v>
      </c>
      <c r="CC64">
        <v>0.73713807526152553</v>
      </c>
      <c r="CD64">
        <v>0.71717131498121378</v>
      </c>
      <c r="CE64">
        <v>0.69709769080078687</v>
      </c>
      <c r="CF64">
        <v>0.67695713078107733</v>
      </c>
      <c r="CG64">
        <v>0.65678571341998049</v>
      </c>
      <c r="CH64">
        <v>0.6366159879172375</v>
      </c>
      <c r="CI64">
        <v>0.61647726952850945</v>
      </c>
      <c r="CJ64">
        <v>0.59639591171391682</v>
      </c>
      <c r="CK64">
        <v>0.5763955567171769</v>
      </c>
      <c r="CL64">
        <v>0.55649736613416245</v>
      </c>
      <c r="CM64">
        <v>0.5367202329472377</v>
      </c>
      <c r="CN64">
        <v>0.51708097641726547</v>
      </c>
      <c r="CO64">
        <v>0.49759452113966679</v>
      </c>
      <c r="CP64">
        <v>0.47827406148684742</v>
      </c>
      <c r="CQ64">
        <v>0.45913121257730682</v>
      </c>
      <c r="CR64">
        <v>0.44017614883228262</v>
      </c>
      <c r="CS64">
        <v>0.42141773110541442</v>
      </c>
      <c r="CT64">
        <v>0.40286362329832293</v>
      </c>
      <c r="CU64">
        <v>0.38452039930741361</v>
      </c>
      <c r="CV64">
        <v>0.3663936410828284</v>
      </c>
    </row>
    <row r="65" spans="63:100" x14ac:dyDescent="0.25">
      <c r="BK65">
        <v>1</v>
      </c>
      <c r="BL65">
        <v>0.99823585898516431</v>
      </c>
      <c r="BM65">
        <v>0.99426906523986136</v>
      </c>
      <c r="BN65">
        <v>0.9883200194007622</v>
      </c>
      <c r="BO65">
        <v>0.98058108782920794</v>
      </c>
      <c r="BP65">
        <v>0.97123005669746365</v>
      </c>
      <c r="BQ65">
        <v>0.96043123049182455</v>
      </c>
      <c r="BR65">
        <v>0.94833623836550762</v>
      </c>
      <c r="BS65">
        <v>0.93508480675552108</v>
      </c>
      <c r="BT65">
        <v>0.92080551581768455</v>
      </c>
      <c r="BU65">
        <v>0.90561653588549618</v>
      </c>
      <c r="BV65">
        <v>0.88962633859550888</v>
      </c>
      <c r="BW65">
        <v>0.87293437842596522</v>
      </c>
      <c r="BX65">
        <v>0.85563174174463474</v>
      </c>
      <c r="BY65">
        <v>0.83780176163451436</v>
      </c>
      <c r="BZ65">
        <v>0.81952059770590957</v>
      </c>
      <c r="CA65">
        <v>0.80085778083200942</v>
      </c>
      <c r="CB65">
        <v>0.7818767232955921</v>
      </c>
      <c r="CC65">
        <v>0.762635195241259</v>
      </c>
      <c r="CD65">
        <v>0.74318576861909591</v>
      </c>
      <c r="CE65">
        <v>0.72357623000589799</v>
      </c>
      <c r="CF65">
        <v>0.70384996381889198</v>
      </c>
      <c r="CG65">
        <v>0.68404630750977502</v>
      </c>
      <c r="CH65">
        <v>0.66420088035732738</v>
      </c>
      <c r="CI65">
        <v>0.64434588747431332</v>
      </c>
      <c r="CJ65">
        <v>0.62451040061810603</v>
      </c>
      <c r="CK65">
        <v>0.60472061734956772</v>
      </c>
      <c r="CL65">
        <v>0.58500010002802494</v>
      </c>
      <c r="CM65">
        <v>0.56536999606434057</v>
      </c>
      <c r="CN65">
        <v>0.54584924078303465</v>
      </c>
      <c r="CO65">
        <v>0.52645474417054205</v>
      </c>
      <c r="CP65">
        <v>0.50720156271155659</v>
      </c>
      <c r="CQ65">
        <v>0.48810305744058419</v>
      </c>
      <c r="CR65">
        <v>0.46917103926316961</v>
      </c>
      <c r="CS65">
        <v>0.45041590252946212</v>
      </c>
      <c r="CT65">
        <v>0.43184674777524718</v>
      </c>
      <c r="CU65">
        <v>0.4134714944799075</v>
      </c>
      <c r="CV65">
        <v>0.39529698462937801</v>
      </c>
    </row>
    <row r="66" spans="63:100" x14ac:dyDescent="0.25">
      <c r="BL66">
        <v>1</v>
      </c>
      <c r="BM66">
        <v>0.99828930255796777</v>
      </c>
      <c r="BN66">
        <v>0.99443997922663385</v>
      </c>
      <c r="BO66">
        <v>0.98866289769736349</v>
      </c>
      <c r="BP66">
        <v>0.98114217911959101</v>
      </c>
      <c r="BQ66">
        <v>0.97204820411477033</v>
      </c>
      <c r="BR66">
        <v>0.96153864300275949</v>
      </c>
      <c r="BS66">
        <v>0.94975920275368786</v>
      </c>
      <c r="BT66">
        <v>0.93684434206260891</v>
      </c>
      <c r="BU66">
        <v>0.92291797219921368</v>
      </c>
      <c r="BV66">
        <v>0.90809414036749159</v>
      </c>
      <c r="BW66">
        <v>0.89247769062618942</v>
      </c>
      <c r="BX66">
        <v>0.87616489836719025</v>
      </c>
      <c r="BY66">
        <v>0.85924407556516547</v>
      </c>
      <c r="BZ66">
        <v>0.84179614508449463</v>
      </c>
      <c r="CA66">
        <v>0.82389518319510624</v>
      </c>
      <c r="CB66">
        <v>0.80560893012584367</v>
      </c>
      <c r="CC66">
        <v>0.78699926899927064</v>
      </c>
      <c r="CD66">
        <v>0.7681226738763316</v>
      </c>
      <c r="CE66">
        <v>0.74903062791846964</v>
      </c>
      <c r="CF66">
        <v>0.72977001286957655</v>
      </c>
      <c r="CG66">
        <v>0.71038347118938316</v>
      </c>
      <c r="CH66">
        <v>0.69090974224652668</v>
      </c>
      <c r="CI66">
        <v>0.67138397401679062</v>
      </c>
      <c r="CJ66">
        <v>0.6518380117376773</v>
      </c>
      <c r="CK66">
        <v>0.63230066495362647</v>
      </c>
      <c r="CL66">
        <v>0.61279795435183071</v>
      </c>
      <c r="CM66">
        <v>0.5933533397412778</v>
      </c>
      <c r="CN66">
        <v>0.57398793047309249</v>
      </c>
      <c r="CO66">
        <v>0.55472067953821369</v>
      </c>
      <c r="CP66">
        <v>0.53556856251465801</v>
      </c>
      <c r="CQ66">
        <v>0.5165467424702459</v>
      </c>
      <c r="CR66">
        <v>0.49766872186085748</v>
      </c>
      <c r="CS66">
        <v>0.47894648239861592</v>
      </c>
      <c r="CT66">
        <v>0.4603906138011109</v>
      </c>
      <c r="CU66">
        <v>0.44201043227122239</v>
      </c>
      <c r="CV66">
        <v>0.42381408949813337</v>
      </c>
    </row>
    <row r="67" spans="63:100" x14ac:dyDescent="0.25">
      <c r="BM67">
        <v>1</v>
      </c>
      <c r="BN67">
        <v>0.99834035402465493</v>
      </c>
      <c r="BO67">
        <v>0.9946033620157062</v>
      </c>
      <c r="BP67">
        <v>0.98899090510612431</v>
      </c>
      <c r="BQ67">
        <v>0.98167932281044901</v>
      </c>
      <c r="BR67">
        <v>0.97283199389974739</v>
      </c>
      <c r="BS67">
        <v>0.96260030403219798</v>
      </c>
      <c r="BT67">
        <v>0.95112433852751865</v>
      </c>
      <c r="BU67">
        <v>0.93853354491166718</v>
      </c>
      <c r="BV67">
        <v>0.92494738293221546</v>
      </c>
      <c r="BW67">
        <v>0.91047595926025471</v>
      </c>
      <c r="BX67">
        <v>0.89522064231013376</v>
      </c>
      <c r="BY67">
        <v>0.87927465341318756</v>
      </c>
      <c r="BZ67">
        <v>0.86272363167871935</v>
      </c>
      <c r="CA67">
        <v>0.84564617085577831</v>
      </c>
      <c r="CB67">
        <v>0.82811432730805645</v>
      </c>
      <c r="CC67">
        <v>0.81019409884172999</v>
      </c>
      <c r="CD67">
        <v>0.79194587460908794</v>
      </c>
      <c r="CE67">
        <v>0.77342485667320993</v>
      </c>
      <c r="CF67">
        <v>0.7546814540856619</v>
      </c>
      <c r="CG67">
        <v>0.73576165051842912</v>
      </c>
      <c r="CH67">
        <v>0.71670734661890112</v>
      </c>
      <c r="CI67">
        <v>0.69755667833669865</v>
      </c>
      <c r="CJ67">
        <v>0.67834431251285854</v>
      </c>
      <c r="CK67">
        <v>0.6591017210351533</v>
      </c>
      <c r="CL67">
        <v>0.63985743485397784</v>
      </c>
      <c r="CM67">
        <v>0.62063727912730415</v>
      </c>
      <c r="CN67">
        <v>0.60146459072584468</v>
      </c>
      <c r="CO67">
        <v>0.58236041928233817</v>
      </c>
      <c r="CP67">
        <v>0.5633437129169574</v>
      </c>
      <c r="CQ67">
        <v>0.5444314897148439</v>
      </c>
      <c r="CR67">
        <v>0.52563899597350949</v>
      </c>
      <c r="CS67">
        <v>0.50697985217964925</v>
      </c>
      <c r="CT67">
        <v>0.48846618761665139</v>
      </c>
      <c r="CU67">
        <v>0.47010876444704192</v>
      </c>
      <c r="CV67">
        <v>0.4519170920590041</v>
      </c>
    </row>
    <row r="68" spans="63:100" x14ac:dyDescent="0.25">
      <c r="BN68">
        <v>1</v>
      </c>
      <c r="BO68">
        <v>0.99838915403338768</v>
      </c>
      <c r="BP68">
        <v>0.99475964955172458</v>
      </c>
      <c r="BQ68">
        <v>0.98930488881776646</v>
      </c>
      <c r="BR68">
        <v>0.98219386123643782</v>
      </c>
      <c r="BS68">
        <v>0.97358332042782236</v>
      </c>
      <c r="BT68">
        <v>0.9636186943792262</v>
      </c>
      <c r="BU68">
        <v>0.95243472874047352</v>
      </c>
      <c r="BV68">
        <v>0.94015610135426697</v>
      </c>
      <c r="BW68">
        <v>0.92689802572776014</v>
      </c>
      <c r="BX68">
        <v>0.91276684109781392</v>
      </c>
      <c r="BY68">
        <v>0.89786058487486253</v>
      </c>
      <c r="BZ68">
        <v>0.88226954392945656</v>
      </c>
      <c r="CA68">
        <v>0.86607678217505302</v>
      </c>
      <c r="CB68">
        <v>0.84935864279676143</v>
      </c>
      <c r="CC68">
        <v>0.83218522421225627</v>
      </c>
      <c r="CD68">
        <v>0.81462082943390146</v>
      </c>
      <c r="CE68">
        <v>0.79672438895233877</v>
      </c>
      <c r="CF68">
        <v>0.77854985760395867</v>
      </c>
      <c r="CG68">
        <v>0.76014658613861219</v>
      </c>
      <c r="CH68">
        <v>0.74155966838666454</v>
      </c>
      <c r="CI68">
        <v>0.72283026505056469</v>
      </c>
      <c r="CJ68">
        <v>0.70399590522718158</v>
      </c>
      <c r="CK68">
        <v>0.6850907668133428</v>
      </c>
      <c r="CL68">
        <v>0.66614593696540714</v>
      </c>
      <c r="CM68">
        <v>0.64718965378122539</v>
      </c>
      <c r="CN68">
        <v>0.62824753035467507</v>
      </c>
      <c r="CO68">
        <v>0.60934276232234752</v>
      </c>
      <c r="CP68">
        <v>0.59049631998363294</v>
      </c>
      <c r="CQ68">
        <v>0.57172712603047526</v>
      </c>
      <c r="CR68">
        <v>0.55305221987460307</v>
      </c>
      <c r="CS68">
        <v>0.53448690950944933</v>
      </c>
      <c r="CT68">
        <v>0.51604491179200607</v>
      </c>
      <c r="CU68">
        <v>0.49773848197828302</v>
      </c>
      <c r="CV68">
        <v>0.47957853329494421</v>
      </c>
    </row>
    <row r="69" spans="63:100" x14ac:dyDescent="0.25">
      <c r="BO69">
        <v>1</v>
      </c>
      <c r="BP69">
        <v>0.99843583304587336</v>
      </c>
      <c r="BQ69">
        <v>0.99490924669457748</v>
      </c>
      <c r="BR69">
        <v>0.98960563657441836</v>
      </c>
      <c r="BS69">
        <v>0.9826870440705483</v>
      </c>
      <c r="BT69">
        <v>0.9743039494774528</v>
      </c>
      <c r="BU69">
        <v>0.96459612928996563</v>
      </c>
      <c r="BV69">
        <v>0.95369325425081652</v>
      </c>
      <c r="BW69">
        <v>0.94171545994113037</v>
      </c>
      <c r="BX69">
        <v>0.92877390758803369</v>
      </c>
      <c r="BY69">
        <v>0.91497133313780454</v>
      </c>
      <c r="BZ69">
        <v>0.90040258070848467</v>
      </c>
      <c r="CA69">
        <v>0.88515511710238148</v>
      </c>
      <c r="CB69">
        <v>0.86930952495135594</v>
      </c>
      <c r="CC69">
        <v>0.85293997288697287</v>
      </c>
      <c r="CD69">
        <v>0.83611466180748684</v>
      </c>
      <c r="CE69">
        <v>0.81889624685395557</v>
      </c>
      <c r="CF69">
        <v>0.80134223512994596</v>
      </c>
      <c r="CG69">
        <v>0.7835053595216066</v>
      </c>
      <c r="CH69">
        <v>0.7654339292162684</v>
      </c>
      <c r="CI69">
        <v>0.74717215769371548</v>
      </c>
      <c r="CJ69">
        <v>0.72876046908805714</v>
      </c>
      <c r="CK69">
        <v>0.71023578389960595</v>
      </c>
      <c r="CL69">
        <v>0.69163178508539558</v>
      </c>
      <c r="CM69">
        <v>0.67297916557980897</v>
      </c>
      <c r="CN69">
        <v>0.65430585829997723</v>
      </c>
      <c r="CO69">
        <v>0.63563724967871627</v>
      </c>
      <c r="CP69">
        <v>0.61699637774367799</v>
      </c>
      <c r="CQ69">
        <v>0.59840411573010188</v>
      </c>
      <c r="CR69">
        <v>0.57987934217596293</v>
      </c>
      <c r="CS69">
        <v>0.5614390984069868</v>
      </c>
      <c r="CT69">
        <v>0.54309873427416788</v>
      </c>
      <c r="CU69">
        <v>0.52487204296099621</v>
      </c>
      <c r="CV69">
        <v>0.50677138563168822</v>
      </c>
    </row>
    <row r="70" spans="63:100" x14ac:dyDescent="0.25">
      <c r="BP70">
        <v>1</v>
      </c>
      <c r="BQ70">
        <v>0.9984805122099718</v>
      </c>
      <c r="BR70">
        <v>0.99505252984116954</v>
      </c>
      <c r="BS70">
        <v>0.98989388160340996</v>
      </c>
      <c r="BT70">
        <v>0.98316003588796785</v>
      </c>
      <c r="BU70">
        <v>0.97499552855029026</v>
      </c>
      <c r="BV70">
        <v>0.96553477151329981</v>
      </c>
      <c r="BW70">
        <v>0.95490260938410998</v>
      </c>
      <c r="BX70">
        <v>0.94321484978566517</v>
      </c>
      <c r="BY70">
        <v>0.93057878501317992</v>
      </c>
      <c r="BZ70">
        <v>0.91709370342275576</v>
      </c>
      <c r="CA70">
        <v>0.90285138697154688</v>
      </c>
      <c r="CB70">
        <v>0.88793659179497997</v>
      </c>
      <c r="CC70">
        <v>0.87242750951111803</v>
      </c>
      <c r="CD70">
        <v>0.85639620769176439</v>
      </c>
      <c r="CE70">
        <v>0.83990904856665405</v>
      </c>
      <c r="CF70">
        <v>0.82302708552926584</v>
      </c>
      <c r="CG70">
        <v>0.80580643740674784</v>
      </c>
      <c r="CH70">
        <v>0.78829864076000544</v>
      </c>
      <c r="CI70">
        <v>0.77055098070942663</v>
      </c>
      <c r="CJ70">
        <v>0.75260680095042387</v>
      </c>
      <c r="CK70">
        <v>0.73450579374385938</v>
      </c>
      <c r="CL70">
        <v>0.71628427074804901</v>
      </c>
      <c r="CM70">
        <v>0.69797541560972398</v>
      </c>
      <c r="CN70">
        <v>0.67960951925844426</v>
      </c>
      <c r="CO70">
        <v>0.66121419885644439</v>
      </c>
      <c r="CP70">
        <v>0.64281460134899926</v>
      </c>
      <c r="CQ70">
        <v>0.62443359254307496</v>
      </c>
      <c r="CR70">
        <v>0.60609193261520533</v>
      </c>
      <c r="CS70">
        <v>0.58780843891827828</v>
      </c>
      <c r="CT70">
        <v>0.56960013692047928</v>
      </c>
      <c r="CU70">
        <v>0.55148240007082672</v>
      </c>
      <c r="CV70">
        <v>0.53346907934597798</v>
      </c>
    </row>
    <row r="71" spans="63:100" x14ac:dyDescent="0.25">
      <c r="BQ71">
        <v>1</v>
      </c>
      <c r="BR71">
        <v>0.99852330414625445</v>
      </c>
      <c r="BS71">
        <v>0.99518984929261689</v>
      </c>
      <c r="BT71">
        <v>0.99017030708021037</v>
      </c>
      <c r="BU71">
        <v>0.98361392302002904</v>
      </c>
      <c r="BV71">
        <v>0.97565959623905463</v>
      </c>
      <c r="BW71">
        <v>0.96643664317355094</v>
      </c>
      <c r="BX71">
        <v>0.95606531620246138</v>
      </c>
      <c r="BY71">
        <v>0.94465729705068302</v>
      </c>
      <c r="BZ71">
        <v>0.93231618247844494</v>
      </c>
      <c r="CA71">
        <v>0.91913796099088296</v>
      </c>
      <c r="CB71">
        <v>0.90521147726916795</v>
      </c>
      <c r="CC71">
        <v>0.89061888140390799</v>
      </c>
      <c r="CD71">
        <v>0.87543606073433677</v>
      </c>
      <c r="CE71">
        <v>0.85973305278429113</v>
      </c>
      <c r="CF71">
        <v>0.84357443836340362</v>
      </c>
      <c r="CG71">
        <v>0.82701971436816646</v>
      </c>
      <c r="CH71">
        <v>0.81012364618587662</v>
      </c>
      <c r="CI71">
        <v>0.79293659988991805</v>
      </c>
      <c r="CJ71">
        <v>0.77550485463204022</v>
      </c>
      <c r="CK71">
        <v>0.75787089579972233</v>
      </c>
      <c r="CL71">
        <v>0.7400736896234168</v>
      </c>
      <c r="CM71">
        <v>0.72214893999962348</v>
      </c>
      <c r="CN71">
        <v>0.70412932834828768</v>
      </c>
      <c r="CO71">
        <v>0.68604473735200622</v>
      </c>
      <c r="CP71">
        <v>0.66792245943665562</v>
      </c>
      <c r="CQ71">
        <v>0.64978739085033699</v>
      </c>
      <c r="CR71">
        <v>0.63166221218488694</v>
      </c>
      <c r="CS71">
        <v>0.61356755616325254</v>
      </c>
      <c r="CT71">
        <v>0.59552216348908282</v>
      </c>
      <c r="CU71">
        <v>0.57754302752430486</v>
      </c>
      <c r="CV71">
        <v>0.55964552852645311</v>
      </c>
    </row>
    <row r="72" spans="63:100" x14ac:dyDescent="0.25">
      <c r="BR72">
        <v>1</v>
      </c>
      <c r="BS72">
        <v>0.99856431365829679</v>
      </c>
      <c r="BT72">
        <v>0.99532153139518986</v>
      </c>
      <c r="BU72">
        <v>0.99043555017096896</v>
      </c>
      <c r="BV72">
        <v>0.98404971977320654</v>
      </c>
      <c r="BW72">
        <v>0.97629759074244249</v>
      </c>
      <c r="BX72">
        <v>0.96730363658060914</v>
      </c>
      <c r="BY72">
        <v>0.95718373751968633</v>
      </c>
      <c r="BZ72">
        <v>0.94604564001290015</v>
      </c>
      <c r="CA72">
        <v>0.93398940934788133</v>
      </c>
      <c r="CB72">
        <v>0.9211078744101695</v>
      </c>
      <c r="CC72">
        <v>0.90748706156176207</v>
      </c>
      <c r="CD72">
        <v>0.89320661489784925</v>
      </c>
      <c r="CE72">
        <v>0.87834020079707398</v>
      </c>
      <c r="CF72">
        <v>0.86295589530872541</v>
      </c>
      <c r="CG72">
        <v>0.84711655345402992</v>
      </c>
      <c r="CH72">
        <v>0.83088015995106779</v>
      </c>
      <c r="CI72">
        <v>0.81430016121715165</v>
      </c>
      <c r="CJ72">
        <v>0.79742577877087384</v>
      </c>
      <c r="CK72">
        <v>0.78030230436139281</v>
      </c>
      <c r="CL72">
        <v>0.76297137730858711</v>
      </c>
      <c r="CM72">
        <v>0.74547124464988468</v>
      </c>
      <c r="CN72">
        <v>0.72783700477049051</v>
      </c>
      <c r="CO72">
        <v>0.71010083524597811</v>
      </c>
      <c r="CP72">
        <v>0.69229220565838145</v>
      </c>
      <c r="CQ72">
        <v>0.67443807616133999</v>
      </c>
      <c r="CR72">
        <v>0.6565630825714639</v>
      </c>
      <c r="CS72">
        <v>0.63868970875442277</v>
      </c>
      <c r="CT72">
        <v>0.62083844705774616</v>
      </c>
      <c r="CU72">
        <v>0.60302794752029154</v>
      </c>
      <c r="CV72">
        <v>0.58527515656172668</v>
      </c>
    </row>
    <row r="73" spans="63:100" x14ac:dyDescent="0.25">
      <c r="BS73">
        <v>1</v>
      </c>
      <c r="BT73">
        <v>0.99860363837473665</v>
      </c>
      <c r="BU73">
        <v>0.9954478804789556</v>
      </c>
      <c r="BV73">
        <v>0.9906902056995065</v>
      </c>
      <c r="BW73">
        <v>0.98446837407949617</v>
      </c>
      <c r="BX73">
        <v>0.97691085761427909</v>
      </c>
      <c r="BY73">
        <v>0.96813752408489728</v>
      </c>
      <c r="BZ73">
        <v>0.9582600887864885</v>
      </c>
      <c r="CA73">
        <v>0.9473825428435696</v>
      </c>
      <c r="CB73">
        <v>0.93560157537325428</v>
      </c>
      <c r="CC73">
        <v>0.92300698879219412</v>
      </c>
      <c r="CD73">
        <v>0.90968210447475473</v>
      </c>
      <c r="CE73">
        <v>0.89570415619879773</v>
      </c>
      <c r="CF73">
        <v>0.88114466940141911</v>
      </c>
      <c r="CG73">
        <v>0.86606982484239214</v>
      </c>
      <c r="CH73">
        <v>0.85054080576603353</v>
      </c>
      <c r="CI73">
        <v>0.83461412805316371</v>
      </c>
      <c r="CJ73">
        <v>0.81834195317679992</v>
      </c>
      <c r="CK73">
        <v>0.80177238402704365</v>
      </c>
      <c r="CL73">
        <v>0.78494974386575622</v>
      </c>
      <c r="CM73">
        <v>0.76791483881926759</v>
      </c>
      <c r="CN73">
        <v>0.75070520442732769</v>
      </c>
      <c r="CO73">
        <v>0.73335533684435028</v>
      </c>
      <c r="CP73">
        <v>0.71589690934257488</v>
      </c>
      <c r="CQ73">
        <v>0.69835897480000209</v>
      </c>
      <c r="CR73">
        <v>0.68076815487294551</v>
      </c>
      <c r="CS73">
        <v>0.66314881655803948</v>
      </c>
      <c r="CT73">
        <v>0.64552323684330837</v>
      </c>
      <c r="CU73">
        <v>0.62791175613522499</v>
      </c>
      <c r="CV73">
        <v>0.61033292113096427</v>
      </c>
    </row>
    <row r="74" spans="63:100" x14ac:dyDescent="0.25">
      <c r="BT74">
        <v>1</v>
      </c>
      <c r="BU74">
        <v>0.99864136933072645</v>
      </c>
      <c r="BV74">
        <v>0.99556918061602739</v>
      </c>
      <c r="BW74">
        <v>0.99093482947785283</v>
      </c>
      <c r="BX74">
        <v>0.98487077263673939</v>
      </c>
      <c r="BY74">
        <v>0.97750065682468135</v>
      </c>
      <c r="BZ74">
        <v>0.96893996707182029</v>
      </c>
      <c r="CA74">
        <v>0.95929644895628052</v>
      </c>
      <c r="CB74">
        <v>0.94867050822791454</v>
      </c>
      <c r="CC74">
        <v>0.93715560491136796</v>
      </c>
      <c r="CD74">
        <v>0.92483864142543759</v>
      </c>
      <c r="CE74">
        <v>0.9118003421519113</v>
      </c>
      <c r="CF74">
        <v>0.89811562205273676</v>
      </c>
      <c r="CG74">
        <v>0.88385394246107141</v>
      </c>
      <c r="CH74">
        <v>0.86907965269938114</v>
      </c>
      <c r="CI74">
        <v>0.85385231663181516</v>
      </c>
      <c r="CJ74">
        <v>0.83822702363168333</v>
      </c>
      <c r="CK74">
        <v>0.82225468374468358</v>
      </c>
      <c r="CL74">
        <v>0.80598230706533203</v>
      </c>
      <c r="CM74">
        <v>0.78945326752867939</v>
      </c>
      <c r="CN74">
        <v>0.7727075514603412</v>
      </c>
      <c r="CO74">
        <v>0.75578199133306767</v>
      </c>
      <c r="CP74">
        <v>0.73871048525491556</v>
      </c>
      <c r="CQ74">
        <v>0.72152420276722429</v>
      </c>
      <c r="CR74">
        <v>0.70425177756460444</v>
      </c>
      <c r="CS74">
        <v>0.68691948776861844</v>
      </c>
      <c r="CT74">
        <v>0.66955142439430193</v>
      </c>
      <c r="CU74">
        <v>0.65216964864623639</v>
      </c>
      <c r="CV74">
        <v>0.6347943386722279</v>
      </c>
    </row>
    <row r="75" spans="63:100" x14ac:dyDescent="0.25">
      <c r="BU75">
        <v>1</v>
      </c>
      <c r="BV75">
        <v>0.99867759149518187</v>
      </c>
      <c r="BW75">
        <v>0.99568569721703426</v>
      </c>
      <c r="BX75">
        <v>0.9911699413353976</v>
      </c>
      <c r="BY75">
        <v>0.98525774559087276</v>
      </c>
      <c r="BZ75">
        <v>0.97806816920202522</v>
      </c>
      <c r="CA75">
        <v>0.9697125241807989</v>
      </c>
      <c r="CB75">
        <v>0.96029477042986178</v>
      </c>
      <c r="CC75">
        <v>0.94991188893384559</v>
      </c>
      <c r="CD75">
        <v>0.93865424997864833</v>
      </c>
      <c r="CE75">
        <v>0.92660597615409435</v>
      </c>
      <c r="CF75">
        <v>0.9138452977819973</v>
      </c>
      <c r="CG75">
        <v>0.90044489852119369</v>
      </c>
      <c r="CH75">
        <v>0.88647224937456326</v>
      </c>
      <c r="CI75">
        <v>0.87198992980581735</v>
      </c>
      <c r="CJ75">
        <v>0.85705593509383482</v>
      </c>
      <c r="CK75">
        <v>0.8417239693987062</v>
      </c>
      <c r="CL75">
        <v>0.82604372429429995</v>
      </c>
      <c r="CM75">
        <v>0.81006114274406804</v>
      </c>
      <c r="CN75">
        <v>0.79381866867156625</v>
      </c>
      <c r="CO75">
        <v>0.77735548241091745</v>
      </c>
      <c r="CP75">
        <v>0.7607077224245451</v>
      </c>
      <c r="CQ75">
        <v>0.74390869374897783</v>
      </c>
      <c r="CR75">
        <v>0.72698906368332938</v>
      </c>
      <c r="CS75">
        <v>0.70997704526893446</v>
      </c>
      <c r="CT75">
        <v>0.69289856913038828</v>
      </c>
      <c r="CU75">
        <v>0.67577744425700526</v>
      </c>
      <c r="CV75">
        <v>0.65863550830503437</v>
      </c>
    </row>
    <row r="76" spans="63:100" x14ac:dyDescent="0.25">
      <c r="BV76">
        <v>1</v>
      </c>
      <c r="BW76">
        <v>0.99871238424935449</v>
      </c>
      <c r="BX76">
        <v>0.99579767848287304</v>
      </c>
      <c r="BY76">
        <v>0.99139602787712355</v>
      </c>
      <c r="BZ76">
        <v>0.98563007080599396</v>
      </c>
      <c r="CA76">
        <v>0.97861450231691505</v>
      </c>
      <c r="CB76">
        <v>0.97045665882379506</v>
      </c>
      <c r="CC76">
        <v>0.9612568881669995</v>
      </c>
      <c r="CD76">
        <v>0.95110889842813329</v>
      </c>
      <c r="CE76">
        <v>0.94010010225019114</v>
      </c>
      <c r="CF76">
        <v>0.92831195661536803</v>
      </c>
      <c r="CG76">
        <v>0.91582029591590963</v>
      </c>
      <c r="CH76">
        <v>0.9026956562132411</v>
      </c>
      <c r="CI76">
        <v>0.88900358900534937</v>
      </c>
      <c r="CJ76">
        <v>0.87480496326464308</v>
      </c>
      <c r="CK76">
        <v>0.86015625489652447</v>
      </c>
      <c r="CL76">
        <v>0.8451098230909877</v>
      </c>
      <c r="CM76">
        <v>0.82971417330135178</v>
      </c>
      <c r="CN76">
        <v>0.81401420679266223</v>
      </c>
      <c r="CO76">
        <v>0.79805145686748857</v>
      </c>
      <c r="CP76">
        <v>0.78186431200414164</v>
      </c>
      <c r="CQ76">
        <v>0.76548822623951951</v>
      </c>
      <c r="CR76">
        <v>0.74895591720166177</v>
      </c>
      <c r="CS76">
        <v>0.7322975522480637</v>
      </c>
      <c r="CT76">
        <v>0.71554092320221452</v>
      </c>
      <c r="CU76">
        <v>0.69871161020166594</v>
      </c>
      <c r="CV76">
        <v>0.68183313518347644</v>
      </c>
    </row>
    <row r="77" spans="63:100" x14ac:dyDescent="0.25">
      <c r="BW77">
        <v>1</v>
      </c>
      <c r="BX77">
        <v>0.99874582182210225</v>
      </c>
      <c r="BY77">
        <v>0.9959053567263052</v>
      </c>
      <c r="BZ77">
        <v>0.99161354499852716</v>
      </c>
      <c r="CA77">
        <v>0.98598847776335519</v>
      </c>
      <c r="CB77">
        <v>0.97914069586263774</v>
      </c>
      <c r="CC77">
        <v>0.97117374607098661</v>
      </c>
      <c r="CD77">
        <v>0.96218452804360621</v>
      </c>
      <c r="CE77">
        <v>0.95226362062857584</v>
      </c>
      <c r="CF77">
        <v>0.94149560409920729</v>
      </c>
      <c r="CG77">
        <v>0.92995937843717247</v>
      </c>
      <c r="CH77">
        <v>0.91772847568031579</v>
      </c>
      <c r="CI77">
        <v>0.90487136436557336</v>
      </c>
      <c r="CJ77">
        <v>0.89145174447726094</v>
      </c>
      <c r="CK77">
        <v>0.87752883171697638</v>
      </c>
      <c r="CL77">
        <v>0.8631576302694659</v>
      </c>
      <c r="CM77">
        <v>0.84838919353807363</v>
      </c>
      <c r="CN77">
        <v>0.83327087256836485</v>
      </c>
      <c r="CO77">
        <v>0.81784655207375045</v>
      </c>
      <c r="CP77">
        <v>0.80215687413296455</v>
      </c>
      <c r="CQ77">
        <v>0.7862394497504237</v>
      </c>
      <c r="CR77">
        <v>0.77012905856350733</v>
      </c>
      <c r="CS77">
        <v>0.75385783705085374</v>
      </c>
      <c r="CT77">
        <v>0.73745545564685133</v>
      </c>
      <c r="CU77">
        <v>0.72094928520265023</v>
      </c>
      <c r="CV77">
        <v>0.70436455325718361</v>
      </c>
    </row>
    <row r="78" spans="63:100" x14ac:dyDescent="0.25">
      <c r="BX78">
        <v>1</v>
      </c>
      <c r="BY78">
        <v>0.99877797368600219</v>
      </c>
      <c r="BZ78">
        <v>0.99600894957678365</v>
      </c>
      <c r="CA78">
        <v>0.99182292018121399</v>
      </c>
      <c r="CB78">
        <v>0.98633365112543447</v>
      </c>
      <c r="CC78">
        <v>0.97964772658074839</v>
      </c>
      <c r="CD78">
        <v>0.97186507896334073</v>
      </c>
      <c r="CE78">
        <v>0.96307931452478857</v>
      </c>
      <c r="CF78">
        <v>0.95337801887115314</v>
      </c>
      <c r="CG78">
        <v>0.9428430587631067</v>
      </c>
      <c r="CH78">
        <v>0.93155088048790491</v>
      </c>
      <c r="CI78">
        <v>0.91957280298309918</v>
      </c>
      <c r="CJ78">
        <v>0.90697530386845215</v>
      </c>
      <c r="CK78">
        <v>0.89382029688338682</v>
      </c>
      <c r="CL78">
        <v>0.88016539959800477</v>
      </c>
      <c r="CM78">
        <v>0.86606419059802664</v>
      </c>
      <c r="CN78">
        <v>0.85156645562155098</v>
      </c>
      <c r="CO78">
        <v>0.83671842235417804</v>
      </c>
      <c r="CP78">
        <v>0.82156298377308756</v>
      </c>
      <c r="CQ78">
        <v>0.80613991007703834</v>
      </c>
      <c r="CR78">
        <v>0.79048604935472788</v>
      </c>
      <c r="CS78">
        <v>0.77463551723296842</v>
      </c>
      <c r="CT78">
        <v>0.7586198758138224</v>
      </c>
      <c r="CU78">
        <v>0.74246830225930127</v>
      </c>
      <c r="CV78">
        <v>0.72620774741794314</v>
      </c>
    </row>
    <row r="79" spans="63:100" x14ac:dyDescent="0.25">
      <c r="BY79">
        <v>1</v>
      </c>
      <c r="BZ79">
        <v>0.9988089049184059</v>
      </c>
      <c r="CA79">
        <v>0.99610866107990836</v>
      </c>
      <c r="CB79">
        <v>0.99202455459093597</v>
      </c>
      <c r="CC79">
        <v>0.98666623399774833</v>
      </c>
      <c r="CD79">
        <v>0.98013651277507496</v>
      </c>
      <c r="CE79">
        <v>0.97253187430608357</v>
      </c>
      <c r="CF79">
        <v>0.9639427777168591</v>
      </c>
      <c r="CG79">
        <v>0.95445394416347829</v>
      </c>
      <c r="CH79">
        <v>0.9441446397141654</v>
      </c>
      <c r="CI79">
        <v>0.93308895526136471</v>
      </c>
      <c r="CJ79">
        <v>0.92135608179694439</v>
      </c>
      <c r="CK79">
        <v>0.90901057932598173</v>
      </c>
      <c r="CL79">
        <v>0.89611263799808671</v>
      </c>
      <c r="CM79">
        <v>0.88271833037620273</v>
      </c>
      <c r="CN79">
        <v>0.86887985406882062</v>
      </c>
      <c r="CO79">
        <v>0.85464576421071992</v>
      </c>
      <c r="CP79">
        <v>0.84006119549036784</v>
      </c>
      <c r="CQ79">
        <v>0.82516807359491362</v>
      </c>
      <c r="CR79">
        <v>0.81000531608192761</v>
      </c>
      <c r="CS79">
        <v>0.79460902279662937</v>
      </c>
      <c r="CT79">
        <v>0.77901265603819891</v>
      </c>
      <c r="CU79">
        <v>0.76324721074418567</v>
      </c>
      <c r="CV79">
        <v>0.74734137501020459</v>
      </c>
    </row>
    <row r="80" spans="63:100" x14ac:dyDescent="0.25">
      <c r="BZ80">
        <v>1</v>
      </c>
      <c r="CA80">
        <v>0.99883867653092784</v>
      </c>
      <c r="CB80">
        <v>0.99620468270218265</v>
      </c>
      <c r="CC80">
        <v>0.99221882499706104</v>
      </c>
      <c r="CD80">
        <v>0.98698683091717632</v>
      </c>
      <c r="CE80">
        <v>0.98060791845301809</v>
      </c>
      <c r="CF80">
        <v>0.97317527799110604</v>
      </c>
      <c r="CG80">
        <v>0.96477635985511101</v>
      </c>
      <c r="CH80">
        <v>0.95549314278840725</v>
      </c>
      <c r="CI80">
        <v>0.94540239930472203</v>
      </c>
      <c r="CJ80">
        <v>0.93457595847126851</v>
      </c>
      <c r="CK80">
        <v>0.92308096459962707</v>
      </c>
      <c r="CL80">
        <v>0.91098013023103286</v>
      </c>
      <c r="CM80">
        <v>0.89833198207297937</v>
      </c>
      <c r="CN80">
        <v>0.88519109885692993</v>
      </c>
      <c r="CO80">
        <v>0.87160834036969592</v>
      </c>
      <c r="CP80">
        <v>0.85763106715248671</v>
      </c>
      <c r="CQ80">
        <v>0.84330335055998096</v>
      </c>
      <c r="CR80">
        <v>0.82866617303486334</v>
      </c>
      <c r="CS80">
        <v>0.81375761858282802</v>
      </c>
      <c r="CT80">
        <v>0.79861305353750067</v>
      </c>
      <c r="CU80">
        <v>0.78326529778548881</v>
      </c>
      <c r="CV80">
        <v>0.76774478668453083</v>
      </c>
    </row>
    <row r="81" spans="79:100" x14ac:dyDescent="0.25">
      <c r="CA81">
        <v>1</v>
      </c>
      <c r="CB81">
        <v>0.9988673457705044</v>
      </c>
      <c r="CC81">
        <v>0.99629719425003993</v>
      </c>
      <c r="CD81">
        <v>0.99240608553084886</v>
      </c>
      <c r="CE81">
        <v>0.98729601059276295</v>
      </c>
      <c r="CF81">
        <v>0.98106275712878488</v>
      </c>
      <c r="CG81">
        <v>0.97379636989147667</v>
      </c>
      <c r="CH81">
        <v>0.96558142127817925</v>
      </c>
      <c r="CI81">
        <v>0.95649726331569762</v>
      </c>
      <c r="CJ81">
        <v>0.94661827675020038</v>
      </c>
      <c r="CK81">
        <v>0.93601411792337652</v>
      </c>
      <c r="CL81">
        <v>0.92474996204144611</v>
      </c>
      <c r="CM81">
        <v>0.91288674132794811</v>
      </c>
      <c r="CN81">
        <v>0.90048137679123674</v>
      </c>
      <c r="CO81">
        <v>0.88758700262445278</v>
      </c>
      <c r="CP81">
        <v>0.87425318251782502</v>
      </c>
      <c r="CQ81">
        <v>0.86052611738703899</v>
      </c>
      <c r="CR81">
        <v>0.84644884420745192</v>
      </c>
      <c r="CS81">
        <v>0.83206142579665821</v>
      </c>
      <c r="CT81">
        <v>0.81740113151014238</v>
      </c>
      <c r="CU81">
        <v>0.80250260891372549</v>
      </c>
      <c r="CV81">
        <v>0.78739804657365631</v>
      </c>
    </row>
    <row r="82" spans="79:100" x14ac:dyDescent="0.25">
      <c r="CB82">
        <v>1</v>
      </c>
      <c r="CC82">
        <v>0.99889496639469078</v>
      </c>
      <c r="CD82">
        <v>0.99638636471151298</v>
      </c>
      <c r="CE82">
        <v>0.99258666929761186</v>
      </c>
      <c r="CF82">
        <v>0.98759430842208173</v>
      </c>
      <c r="CG82">
        <v>0.98150179531984749</v>
      </c>
      <c r="CH82">
        <v>0.97439616836692433</v>
      </c>
      <c r="CI82">
        <v>0.96635924593466949</v>
      </c>
      <c r="CJ82">
        <v>0.95746786307327825</v>
      </c>
      <c r="CK82">
        <v>0.94779410550703824</v>
      </c>
      <c r="CL82">
        <v>0.93740554172623503</v>
      </c>
      <c r="CM82">
        <v>0.92636545190442743</v>
      </c>
      <c r="CN82">
        <v>0.91473305222911372</v>
      </c>
      <c r="CO82">
        <v>0.90256371344727637</v>
      </c>
      <c r="CP82">
        <v>0.88990917268996905</v>
      </c>
      <c r="CQ82">
        <v>0.87681773788235717</v>
      </c>
      <c r="CR82">
        <v>0.86333448425479509</v>
      </c>
      <c r="CS82">
        <v>0.84950144264362382</v>
      </c>
      <c r="CT82">
        <v>0.83535777941399014</v>
      </c>
      <c r="CU82">
        <v>0.82093996795256752</v>
      </c>
      <c r="CV82">
        <v>0.80628195177123207</v>
      </c>
    </row>
    <row r="83" spans="79:100" x14ac:dyDescent="0.25">
      <c r="CC83">
        <v>1</v>
      </c>
      <c r="CD83">
        <v>0.99892158892385852</v>
      </c>
      <c r="CE83">
        <v>0.99647235302790449</v>
      </c>
      <c r="CF83">
        <v>0.99276088985662114</v>
      </c>
      <c r="CG83">
        <v>0.98788222880399301</v>
      </c>
      <c r="CH83">
        <v>0.98192575576426666</v>
      </c>
      <c r="CI83">
        <v>0.97497563441523105</v>
      </c>
      <c r="CJ83">
        <v>0.96711104646363188</v>
      </c>
      <c r="CK83">
        <v>0.95840641412550265</v>
      </c>
      <c r="CL83">
        <v>0.94893162009722243</v>
      </c>
      <c r="CM83">
        <v>0.93875222589610563</v>
      </c>
      <c r="CN83">
        <v>0.92792968741148107</v>
      </c>
      <c r="CO83">
        <v>0.91652156634575654</v>
      </c>
      <c r="CP83">
        <v>0.90458173641349893</v>
      </c>
      <c r="CQ83">
        <v>0.89216058340720805</v>
      </c>
      <c r="CR83">
        <v>0.87930519846320765</v>
      </c>
      <c r="CS83">
        <v>0.86605956405500328</v>
      </c>
      <c r="CT83">
        <v>0.85246473240425624</v>
      </c>
      <c r="CU83">
        <v>0.8385589961335691</v>
      </c>
      <c r="CV83">
        <v>0.82437805109443341</v>
      </c>
    </row>
    <row r="84" spans="79:100" x14ac:dyDescent="0.25">
      <c r="CD84">
        <v>1</v>
      </c>
      <c r="CE84">
        <v>0.9989472608722505</v>
      </c>
      <c r="CF84">
        <v>0.99655530880197341</v>
      </c>
      <c r="CG84">
        <v>0.99292904258087811</v>
      </c>
      <c r="CH84">
        <v>0.98816024726622764</v>
      </c>
      <c r="CI84">
        <v>0.98233532038443261</v>
      </c>
      <c r="CJ84">
        <v>0.97553567550077647</v>
      </c>
      <c r="CK84">
        <v>0.96783796888588047</v>
      </c>
      <c r="CL84">
        <v>0.95931430880040791</v>
      </c>
      <c r="CM84">
        <v>0.95003246242622041</v>
      </c>
      <c r="CN84">
        <v>0.940056061406356</v>
      </c>
      <c r="CO84">
        <v>0.9294448049386117</v>
      </c>
      <c r="CP84">
        <v>0.91825465918816418</v>
      </c>
      <c r="CQ84">
        <v>0.90653805194988479</v>
      </c>
      <c r="CR84">
        <v>0.89434406171221181</v>
      </c>
      <c r="CS84">
        <v>0.88171860048200035</v>
      </c>
      <c r="CT84">
        <v>0.86870458991095201</v>
      </c>
      <c r="CU84">
        <v>0.85534213041599438</v>
      </c>
      <c r="CV84">
        <v>0.8416686631118937</v>
      </c>
    </row>
    <row r="85" spans="79:100" x14ac:dyDescent="0.25">
      <c r="CE85">
        <v>1</v>
      </c>
      <c r="CF85">
        <v>0.99897202696015919</v>
      </c>
      <c r="CG85">
        <v>0.99663537294859728</v>
      </c>
      <c r="CH85">
        <v>0.99309140590793765</v>
      </c>
      <c r="CI85">
        <v>0.98842881242479264</v>
      </c>
      <c r="CJ85">
        <v>0.98273113301938242</v>
      </c>
      <c r="CK85">
        <v>0.97607714908871612</v>
      </c>
      <c r="CL85">
        <v>0.968541096939735</v>
      </c>
      <c r="CM85">
        <v>0.96019286480444044</v>
      </c>
      <c r="CN85">
        <v>0.95109818763664733</v>
      </c>
      <c r="CO85">
        <v>0.94131884072713379</v>
      </c>
      <c r="CP85">
        <v>0.93091283117851065</v>
      </c>
      <c r="CQ85">
        <v>0.91993458608504619</v>
      </c>
      <c r="CR85">
        <v>0.90843513640792461</v>
      </c>
      <c r="CS85">
        <v>0.89646229573876846</v>
      </c>
      <c r="CT85">
        <v>0.88406083333672114</v>
      </c>
      <c r="CU85">
        <v>0.87127264099303781</v>
      </c>
      <c r="CV85">
        <v>0.85813689341932631</v>
      </c>
    </row>
    <row r="86" spans="79:100" x14ac:dyDescent="0.25">
      <c r="CF86">
        <v>1</v>
      </c>
      <c r="CG86">
        <v>0.99899592930871794</v>
      </c>
      <c r="CH86">
        <v>0.99671267829316013</v>
      </c>
      <c r="CI86">
        <v>0.99324824249136978</v>
      </c>
      <c r="CJ86">
        <v>0.98868834778993064</v>
      </c>
      <c r="CK86">
        <v>0.9831138019464436</v>
      </c>
      <c r="CL86">
        <v>0.97660086591028794</v>
      </c>
      <c r="CM86">
        <v>0.96922145609184107</v>
      </c>
      <c r="CN86">
        <v>0.96104332995952502</v>
      </c>
      <c r="CO86">
        <v>0.95213026953609381</v>
      </c>
      <c r="CP86">
        <v>0.9425422638966714</v>
      </c>
      <c r="CQ86">
        <v>0.9323356897992624</v>
      </c>
      <c r="CR86">
        <v>0.92156348936793742</v>
      </c>
      <c r="CS86">
        <v>0.91027534387537434</v>
      </c>
      <c r="CT86">
        <v>0.89851784285698511</v>
      </c>
      <c r="CU86">
        <v>0.886334647967294</v>
      </c>
      <c r="CV86">
        <v>0.87376665114599184</v>
      </c>
    </row>
    <row r="87" spans="79:100" x14ac:dyDescent="0.25">
      <c r="CG87">
        <v>1</v>
      </c>
      <c r="CH87">
        <v>0.99901900761914386</v>
      </c>
      <c r="CI87">
        <v>0.99678735012238762</v>
      </c>
      <c r="CJ87">
        <v>0.99339980026213592</v>
      </c>
      <c r="CK87">
        <v>0.98893925343240441</v>
      </c>
      <c r="CL87">
        <v>0.9834839022102575</v>
      </c>
      <c r="CM87">
        <v>0.97710759298237537</v>
      </c>
      <c r="CN87">
        <v>0.96988001725034412</v>
      </c>
      <c r="CO87">
        <v>0.96186688659369912</v>
      </c>
      <c r="CP87">
        <v>0.9531301056342083</v>
      </c>
      <c r="CQ87">
        <v>0.94372794416218742</v>
      </c>
      <c r="CR87">
        <v>0.93371520763849536</v>
      </c>
      <c r="CS87">
        <v>0.92314340506234049</v>
      </c>
      <c r="CT87">
        <v>0.91206091330482475</v>
      </c>
      <c r="CU87">
        <v>0.9005131371781534</v>
      </c>
      <c r="CV87">
        <v>0.88854266467553955</v>
      </c>
    </row>
    <row r="88" spans="79:100" x14ac:dyDescent="0.25">
      <c r="CH88">
        <v>1</v>
      </c>
      <c r="CI88">
        <v>0.99904129933760522</v>
      </c>
      <c r="CJ88">
        <v>0.99685950669192369</v>
      </c>
      <c r="CK88">
        <v>0.99354631340751665</v>
      </c>
      <c r="CL88">
        <v>0.98918190752229318</v>
      </c>
      <c r="CM88">
        <v>0.98384197777604276</v>
      </c>
      <c r="CN88">
        <v>0.97759805640206232</v>
      </c>
      <c r="CO88">
        <v>0.97051770020536843</v>
      </c>
      <c r="CP88">
        <v>0.96266465561406722</v>
      </c>
      <c r="CQ88">
        <v>0.95409902182053896</v>
      </c>
      <c r="CR88">
        <v>0.94487741322463092</v>
      </c>
      <c r="CS88">
        <v>0.93505312046919076</v>
      </c>
      <c r="CT88">
        <v>0.92467626912354306</v>
      </c>
      <c r="CU88">
        <v>0.9137939751652373</v>
      </c>
      <c r="CV88">
        <v>0.90245049656575071</v>
      </c>
    </row>
    <row r="89" spans="79:100" x14ac:dyDescent="0.25">
      <c r="CI89">
        <v>1</v>
      </c>
      <c r="CJ89">
        <v>0.99906283980724142</v>
      </c>
      <c r="CK89">
        <v>0.99692925969452117</v>
      </c>
      <c r="CL89">
        <v>0.99368800327501483</v>
      </c>
      <c r="CM89">
        <v>0.98941666775116088</v>
      </c>
      <c r="CN89">
        <v>0.98418854352190444</v>
      </c>
      <c r="CO89">
        <v>0.97807294393541944</v>
      </c>
      <c r="CP89">
        <v>0.97113537681958462</v>
      </c>
      <c r="CQ89">
        <v>0.96343770028791909</v>
      </c>
      <c r="CR89">
        <v>0.95503827671212982</v>
      </c>
      <c r="CS89">
        <v>0.94599212611869632</v>
      </c>
      <c r="CT89">
        <v>0.93635107837073428</v>
      </c>
      <c r="CU89">
        <v>0.92616392325222641</v>
      </c>
      <c r="CV89">
        <v>0.9154765576522208</v>
      </c>
    </row>
    <row r="90" spans="79:100" x14ac:dyDescent="0.25">
      <c r="CJ90">
        <v>1</v>
      </c>
      <c r="CK90">
        <v>0.99908366240830215</v>
      </c>
      <c r="CL90">
        <v>0.99699671469221207</v>
      </c>
      <c r="CM90">
        <v>0.99382507920762952</v>
      </c>
      <c r="CN90">
        <v>0.98964387264779696</v>
      </c>
      <c r="CO90">
        <v>0.98452408708390093</v>
      </c>
      <c r="CP90">
        <v>0.97853290741725774</v>
      </c>
      <c r="CQ90">
        <v>0.97173387398905864</v>
      </c>
      <c r="CR90">
        <v>0.96418702975566528</v>
      </c>
      <c r="CS90">
        <v>0.95594906569724136</v>
      </c>
      <c r="CT90">
        <v>0.94707346575667817</v>
      </c>
      <c r="CU90">
        <v>0.9376106507355122</v>
      </c>
      <c r="CV90">
        <v>0.92760812032144102</v>
      </c>
    </row>
    <row r="91" spans="79:100" x14ac:dyDescent="0.25">
      <c r="CK91">
        <v>1</v>
      </c>
      <c r="CL91">
        <v>0.99910379868749533</v>
      </c>
      <c r="CM91">
        <v>0.99706197151572862</v>
      </c>
      <c r="CN91">
        <v>0.99395773931650244</v>
      </c>
      <c r="CO91">
        <v>0.98986384279640371</v>
      </c>
      <c r="CP91">
        <v>0.98484907056604953</v>
      </c>
      <c r="CQ91">
        <v>0.97897856497778235</v>
      </c>
      <c r="CR91">
        <v>0.9723139763933808</v>
      </c>
      <c r="CS91">
        <v>0.96491360229698842</v>
      </c>
      <c r="CT91">
        <v>0.95683252469897906</v>
      </c>
      <c r="CU91">
        <v>0.9481227471623499</v>
      </c>
      <c r="CV91">
        <v>0.93883333093900379</v>
      </c>
    </row>
    <row r="92" spans="79:100" x14ac:dyDescent="0.25">
      <c r="CL92">
        <v>1</v>
      </c>
      <c r="CM92">
        <v>0.99912327847754878</v>
      </c>
      <c r="CN92">
        <v>0.99712512463374126</v>
      </c>
      <c r="CO92">
        <v>0.99408617119615927</v>
      </c>
      <c r="CP92">
        <v>0.99007688196538357</v>
      </c>
      <c r="CQ92">
        <v>0.98516393212661701</v>
      </c>
      <c r="CR92">
        <v>0.979410503109996</v>
      </c>
      <c r="CS92">
        <v>0.9728764290518005</v>
      </c>
      <c r="CT92">
        <v>0.96561832836999972</v>
      </c>
      <c r="CU92">
        <v>0.95768973368097976</v>
      </c>
      <c r="CV92">
        <v>0.94914122141852864</v>
      </c>
    </row>
    <row r="93" spans="79:100" x14ac:dyDescent="0.25">
      <c r="CM93">
        <v>1</v>
      </c>
      <c r="CN93">
        <v>0.99914213000775065</v>
      </c>
      <c r="CO93">
        <v>0.99718626349482664</v>
      </c>
      <c r="CP93">
        <v>0.99421055258717461</v>
      </c>
      <c r="CQ93">
        <v>0.99028327815433215</v>
      </c>
      <c r="CR93">
        <v>0.98546908745054651</v>
      </c>
      <c r="CS93">
        <v>0.97982927859086855</v>
      </c>
      <c r="CT93">
        <v>0.97342193970084123</v>
      </c>
      <c r="CU93">
        <v>0.96630207344081764</v>
      </c>
      <c r="CV93">
        <v>0.95852171991478252</v>
      </c>
    </row>
    <row r="94" spans="79:100" x14ac:dyDescent="0.25">
      <c r="CN94">
        <v>1</v>
      </c>
      <c r="CO94">
        <v>0.99916038000625695</v>
      </c>
      <c r="CP94">
        <v>0.99724547284411758</v>
      </c>
      <c r="CQ94">
        <v>0.99433105199060701</v>
      </c>
      <c r="CR94">
        <v>0.99048330456558298</v>
      </c>
      <c r="CS94">
        <v>0.9857649311175859</v>
      </c>
      <c r="CT94">
        <v>0.98023542026794974</v>
      </c>
      <c r="CU94">
        <v>0.97395118100766687</v>
      </c>
      <c r="CV94">
        <v>0.96696566062032063</v>
      </c>
    </row>
    <row r="95" spans="79:100" x14ac:dyDescent="0.25">
      <c r="CO95">
        <v>1</v>
      </c>
      <c r="CP95">
        <v>0.99917805379488378</v>
      </c>
      <c r="CQ95">
        <v>0.99730283301700351</v>
      </c>
      <c r="CR95">
        <v>0.99444782923831587</v>
      </c>
      <c r="CS95">
        <v>0.99067722050686302</v>
      </c>
      <c r="CT95">
        <v>0.98605183787413864</v>
      </c>
      <c r="CU95">
        <v>0.98062943072201558</v>
      </c>
      <c r="CV95">
        <v>0.97446479263170116</v>
      </c>
    </row>
    <row r="96" spans="79:100" x14ac:dyDescent="0.25">
      <c r="CP96">
        <v>1</v>
      </c>
      <c r="CQ96">
        <v>0.99919517537693392</v>
      </c>
      <c r="CR96">
        <v>0.99735842021157706</v>
      </c>
      <c r="CS96">
        <v>0.99456103602252433</v>
      </c>
      <c r="CT96">
        <v>0.99086527223030119</v>
      </c>
      <c r="CU96">
        <v>0.98633016381680938</v>
      </c>
      <c r="CV96">
        <v>0.98101178781546827</v>
      </c>
    </row>
    <row r="97" spans="95:100" x14ac:dyDescent="0.25">
      <c r="CQ97">
        <v>1</v>
      </c>
      <c r="CR97">
        <v>0.99921176751877649</v>
      </c>
      <c r="CS97">
        <v>0.99741230674166403</v>
      </c>
      <c r="CT97">
        <v>0.99467081638809396</v>
      </c>
      <c r="CU97">
        <v>0.99104769371292722</v>
      </c>
      <c r="CV97">
        <v>0.98660024749425745</v>
      </c>
    </row>
    <row r="98" spans="95:100" x14ac:dyDescent="0.25">
      <c r="CR98">
        <v>1</v>
      </c>
      <c r="CS98">
        <v>0.99922785182552765</v>
      </c>
      <c r="CT98">
        <v>0.99746456127203553</v>
      </c>
      <c r="CU98">
        <v>0.99477730719045188</v>
      </c>
      <c r="CV98">
        <v>0.99122470738337487</v>
      </c>
    </row>
    <row r="99" spans="95:100" x14ac:dyDescent="0.25">
      <c r="CS99">
        <v>1</v>
      </c>
      <c r="CT99">
        <v>0.9992434488114319</v>
      </c>
      <c r="CU99">
        <v>0.99751524903712352</v>
      </c>
      <c r="CV99">
        <v>0.99488063852175102</v>
      </c>
    </row>
    <row r="100" spans="95:100" x14ac:dyDescent="0.25">
      <c r="CT100">
        <v>1</v>
      </c>
      <c r="CU100">
        <v>0.99925857796525119</v>
      </c>
      <c r="CV100">
        <v>0.99756443204458334</v>
      </c>
    </row>
    <row r="101" spans="95:100" x14ac:dyDescent="0.25">
      <c r="CU101">
        <v>1</v>
      </c>
      <c r="CV101">
        <v>0.99927325781121401</v>
      </c>
    </row>
    <row r="102" spans="95:100" x14ac:dyDescent="0.25">
      <c r="CV10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84415-119F-4171-A2A8-4BA41207319F}">
  <sheetPr codeName="Sheet3"/>
  <dimension ref="A1:CV102"/>
  <sheetViews>
    <sheetView workbookViewId="0">
      <selection sqref="A1:CV102"/>
    </sheetView>
  </sheetViews>
  <sheetFormatPr defaultRowHeight="15" x14ac:dyDescent="0.25"/>
  <sheetData>
    <row r="1" spans="1:100" x14ac:dyDescent="0.25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  <c r="K1">
        <v>12</v>
      </c>
      <c r="L1">
        <v>13</v>
      </c>
      <c r="M1">
        <v>14</v>
      </c>
      <c r="N1">
        <v>15</v>
      </c>
      <c r="O1">
        <v>16</v>
      </c>
      <c r="P1">
        <v>17</v>
      </c>
      <c r="Q1">
        <v>18</v>
      </c>
      <c r="R1">
        <v>19</v>
      </c>
      <c r="S1">
        <v>20</v>
      </c>
      <c r="T1">
        <v>21</v>
      </c>
      <c r="U1">
        <v>22</v>
      </c>
      <c r="V1">
        <v>23</v>
      </c>
      <c r="W1">
        <v>24</v>
      </c>
      <c r="X1">
        <v>25</v>
      </c>
      <c r="Y1">
        <v>26</v>
      </c>
      <c r="Z1">
        <v>27</v>
      </c>
      <c r="AA1">
        <v>28</v>
      </c>
      <c r="AB1">
        <v>29</v>
      </c>
      <c r="AC1">
        <v>30</v>
      </c>
      <c r="AD1">
        <v>31</v>
      </c>
      <c r="AE1">
        <v>32</v>
      </c>
      <c r="AF1">
        <v>33</v>
      </c>
      <c r="AG1">
        <v>34</v>
      </c>
      <c r="AH1">
        <v>35</v>
      </c>
      <c r="AI1">
        <v>36</v>
      </c>
      <c r="AJ1">
        <v>37</v>
      </c>
      <c r="AK1">
        <v>38</v>
      </c>
      <c r="AL1">
        <v>39</v>
      </c>
      <c r="AM1">
        <v>40</v>
      </c>
      <c r="AN1">
        <v>41</v>
      </c>
      <c r="AO1">
        <v>42</v>
      </c>
      <c r="AP1">
        <v>43</v>
      </c>
      <c r="AQ1">
        <v>44</v>
      </c>
      <c r="AR1">
        <v>45</v>
      </c>
      <c r="AS1">
        <v>46</v>
      </c>
      <c r="AT1">
        <v>47</v>
      </c>
      <c r="AU1">
        <v>48</v>
      </c>
      <c r="AV1">
        <v>49</v>
      </c>
      <c r="AW1">
        <v>50</v>
      </c>
      <c r="AX1">
        <v>51</v>
      </c>
      <c r="AY1">
        <v>52</v>
      </c>
      <c r="AZ1">
        <v>53</v>
      </c>
      <c r="BA1">
        <v>54</v>
      </c>
      <c r="BB1">
        <v>55</v>
      </c>
      <c r="BC1">
        <v>56</v>
      </c>
      <c r="BD1">
        <v>57</v>
      </c>
      <c r="BE1">
        <v>58</v>
      </c>
      <c r="BF1">
        <v>59</v>
      </c>
      <c r="BG1">
        <v>60</v>
      </c>
      <c r="BH1">
        <v>61</v>
      </c>
      <c r="BI1">
        <v>62</v>
      </c>
      <c r="BJ1">
        <v>63</v>
      </c>
      <c r="BK1">
        <v>64</v>
      </c>
      <c r="BL1">
        <v>65</v>
      </c>
      <c r="BM1">
        <v>66</v>
      </c>
      <c r="BN1">
        <v>67</v>
      </c>
      <c r="BO1">
        <v>68</v>
      </c>
      <c r="BP1">
        <v>69</v>
      </c>
      <c r="BQ1">
        <v>70</v>
      </c>
      <c r="BR1">
        <v>71</v>
      </c>
      <c r="BS1">
        <v>72</v>
      </c>
      <c r="BT1">
        <v>73</v>
      </c>
      <c r="BU1">
        <v>74</v>
      </c>
      <c r="BV1">
        <v>75</v>
      </c>
      <c r="BW1">
        <v>76</v>
      </c>
      <c r="BX1">
        <v>77</v>
      </c>
      <c r="BY1">
        <v>78</v>
      </c>
      <c r="BZ1">
        <v>79</v>
      </c>
      <c r="CA1">
        <v>80</v>
      </c>
      <c r="CB1">
        <v>81</v>
      </c>
      <c r="CC1">
        <v>82</v>
      </c>
      <c r="CD1">
        <v>83</v>
      </c>
      <c r="CE1">
        <v>84</v>
      </c>
      <c r="CF1">
        <v>85</v>
      </c>
      <c r="CG1">
        <v>86</v>
      </c>
      <c r="CH1">
        <v>87</v>
      </c>
      <c r="CI1">
        <v>88</v>
      </c>
      <c r="CJ1">
        <v>89</v>
      </c>
      <c r="CK1">
        <v>90</v>
      </c>
      <c r="CL1">
        <v>91</v>
      </c>
      <c r="CM1">
        <v>92</v>
      </c>
      <c r="CN1">
        <v>93</v>
      </c>
      <c r="CO1">
        <v>94</v>
      </c>
      <c r="CP1">
        <v>95</v>
      </c>
      <c r="CQ1">
        <v>96</v>
      </c>
      <c r="CR1">
        <v>97</v>
      </c>
      <c r="CS1">
        <v>98</v>
      </c>
      <c r="CT1">
        <v>99</v>
      </c>
      <c r="CU1">
        <v>100</v>
      </c>
      <c r="CV1">
        <v>101</v>
      </c>
    </row>
    <row r="2" spans="1:100" x14ac:dyDescent="0.25">
      <c r="A2">
        <v>1</v>
      </c>
      <c r="B2">
        <v>0.33333333333333331</v>
      </c>
      <c r="C2">
        <v>0.16666666666666671</v>
      </c>
      <c r="D2">
        <v>0.1</v>
      </c>
      <c r="E2">
        <v>6.6666666666666666E-2</v>
      </c>
      <c r="F2">
        <v>4.7619047619047623E-2</v>
      </c>
      <c r="G2">
        <v>3.5714285714285712E-2</v>
      </c>
      <c r="H2">
        <v>2.777777777777778E-2</v>
      </c>
      <c r="I2">
        <v>2.222222222222222E-2</v>
      </c>
      <c r="J2">
        <v>1.8181818181818191E-2</v>
      </c>
      <c r="K2">
        <v>1.515151515151515E-2</v>
      </c>
      <c r="L2">
        <v>1.282051282051282E-2</v>
      </c>
      <c r="M2">
        <v>1.098901098901099E-2</v>
      </c>
      <c r="N2">
        <v>9.5238095238095247E-3</v>
      </c>
      <c r="O2">
        <v>8.3333333333333332E-3</v>
      </c>
      <c r="P2">
        <v>7.3529411764705881E-3</v>
      </c>
      <c r="Q2">
        <v>6.5359477124183017E-3</v>
      </c>
      <c r="R2">
        <v>5.8479532163742704E-3</v>
      </c>
      <c r="S2">
        <v>5.263157894736842E-3</v>
      </c>
      <c r="T2">
        <v>4.7619047619047623E-3</v>
      </c>
      <c r="U2">
        <v>4.329004329004329E-3</v>
      </c>
      <c r="V2">
        <v>3.952569169960474E-3</v>
      </c>
      <c r="W2">
        <v>3.6231884057971011E-3</v>
      </c>
      <c r="X2">
        <v>3.333333333333334E-3</v>
      </c>
      <c r="Y2">
        <v>3.0769230769230769E-3</v>
      </c>
      <c r="Z2">
        <v>2.8490028490028491E-3</v>
      </c>
      <c r="AA2">
        <v>2.6455026455026449E-3</v>
      </c>
      <c r="AB2">
        <v>2.4630541871921178E-3</v>
      </c>
      <c r="AC2">
        <v>2.2988505747126441E-3</v>
      </c>
      <c r="AD2">
        <v>2.1505376344086021E-3</v>
      </c>
      <c r="AE2">
        <v>2.0161290322580649E-3</v>
      </c>
      <c r="AF2">
        <v>1.893939393939394E-3</v>
      </c>
      <c r="AG2">
        <v>1.7825311942959001E-3</v>
      </c>
      <c r="AH2">
        <v>1.6806722689075629E-3</v>
      </c>
      <c r="AI2">
        <v>1.5873015873015871E-3</v>
      </c>
      <c r="AJ2">
        <v>1.5015015015015011E-3</v>
      </c>
      <c r="AK2">
        <v>1.4224751066856331E-3</v>
      </c>
      <c r="AL2">
        <v>1.3495276653171389E-3</v>
      </c>
      <c r="AM2">
        <v>1.2820512820512821E-3</v>
      </c>
      <c r="AN2">
        <v>1.2195121951219521E-3</v>
      </c>
      <c r="AO2">
        <v>1.1614401858304299E-3</v>
      </c>
      <c r="AP2">
        <v>1.107419712070875E-3</v>
      </c>
      <c r="AQ2">
        <v>1.0570824524312899E-3</v>
      </c>
      <c r="AR2">
        <v>1.0101010101010101E-3</v>
      </c>
      <c r="AS2">
        <v>9.6618357487922703E-4</v>
      </c>
      <c r="AT2">
        <v>9.2506938020351531E-4</v>
      </c>
      <c r="AU2">
        <v>8.8652482269503544E-4</v>
      </c>
      <c r="AV2">
        <v>8.5034013605442195E-4</v>
      </c>
      <c r="AW2">
        <v>8.1632653061224493E-4</v>
      </c>
      <c r="AX2">
        <v>7.8431372549019626E-4</v>
      </c>
      <c r="AY2">
        <v>7.5414781297134252E-4</v>
      </c>
      <c r="AZ2">
        <v>7.2568940493468795E-4</v>
      </c>
      <c r="BA2">
        <v>6.9881201956673651E-4</v>
      </c>
      <c r="BB2">
        <v>6.7340067340067344E-4</v>
      </c>
      <c r="BC2">
        <v>6.4935064935064935E-4</v>
      </c>
      <c r="BD2">
        <v>6.2656641604010022E-4</v>
      </c>
      <c r="BE2">
        <v>6.0496067755595902E-4</v>
      </c>
      <c r="BF2">
        <v>5.8445353594389242E-4</v>
      </c>
      <c r="BG2">
        <v>5.649717514124294E-4</v>
      </c>
      <c r="BH2">
        <v>5.464480874316941E-4</v>
      </c>
      <c r="BI2">
        <v>5.2882072977260709E-4</v>
      </c>
      <c r="BJ2">
        <v>5.1203277009728623E-4</v>
      </c>
      <c r="BK2">
        <v>4.96031746031746E-4</v>
      </c>
      <c r="BL2">
        <v>4.807692307692308E-4</v>
      </c>
      <c r="BM2">
        <v>4.662004662004662E-4</v>
      </c>
      <c r="BN2">
        <v>4.5228403437358661E-4</v>
      </c>
      <c r="BO2">
        <v>4.3898156277436348E-4</v>
      </c>
      <c r="BP2">
        <v>4.2625745950554129E-4</v>
      </c>
      <c r="BQ2">
        <v>4.1407867494824022E-4</v>
      </c>
      <c r="BR2">
        <v>4.0241448692152922E-4</v>
      </c>
      <c r="BS2">
        <v>3.9123630672926448E-4</v>
      </c>
      <c r="BT2">
        <v>3.8051750380517502E-4</v>
      </c>
      <c r="BU2">
        <v>3.7023324694557567E-4</v>
      </c>
      <c r="BV2">
        <v>3.6036036036036042E-4</v>
      </c>
      <c r="BW2">
        <v>3.5087719298245611E-4</v>
      </c>
      <c r="BX2">
        <v>3.4176349965823653E-4</v>
      </c>
      <c r="BY2">
        <v>3.3300033300033311E-4</v>
      </c>
      <c r="BZ2">
        <v>3.2456994482310948E-4</v>
      </c>
      <c r="CA2">
        <v>3.1645569620253171E-4</v>
      </c>
      <c r="CB2">
        <v>3.0864197530864202E-4</v>
      </c>
      <c r="CC2">
        <v>3.0111412225233369E-4</v>
      </c>
      <c r="CD2">
        <v>2.9385836027034972E-4</v>
      </c>
      <c r="CE2">
        <v>2.8686173264486509E-4</v>
      </c>
      <c r="CF2">
        <v>2.8011204481792721E-4</v>
      </c>
      <c r="CG2">
        <v>2.7359781121751031E-4</v>
      </c>
      <c r="CH2">
        <v>2.6730820636193531E-4</v>
      </c>
      <c r="CI2">
        <v>2.6123301985370948E-4</v>
      </c>
      <c r="CJ2">
        <v>2.5536261491317672E-4</v>
      </c>
      <c r="CK2">
        <v>2.4968789013732828E-4</v>
      </c>
      <c r="CL2">
        <v>2.442002442002442E-4</v>
      </c>
      <c r="CM2">
        <v>2.3889154323936929E-4</v>
      </c>
      <c r="CN2">
        <v>2.337540906965872E-4</v>
      </c>
      <c r="CO2">
        <v>2.2878059940517051E-4</v>
      </c>
      <c r="CP2">
        <v>2.2396416573348271E-4</v>
      </c>
      <c r="CQ2">
        <v>2.1929824561403509E-4</v>
      </c>
      <c r="CR2">
        <v>2.1477663230240549E-4</v>
      </c>
      <c r="CS2">
        <v>2.103934357248054E-4</v>
      </c>
      <c r="CT2">
        <v>2.0614306328592039E-4</v>
      </c>
      <c r="CU2">
        <v>2.0202020202020199E-4</v>
      </c>
      <c r="CV2">
        <v>1.9801980198019801E-4</v>
      </c>
    </row>
    <row r="3" spans="1:100" x14ac:dyDescent="0.25">
      <c r="A3">
        <v>1</v>
      </c>
      <c r="B3">
        <v>1.333333333333333</v>
      </c>
      <c r="C3">
        <v>0.83333333333333326</v>
      </c>
      <c r="D3">
        <v>0.54444444444444462</v>
      </c>
      <c r="E3">
        <v>0.37847495629784689</v>
      </c>
      <c r="F3">
        <v>0.27682604736156602</v>
      </c>
      <c r="G3">
        <v>0.21070422714350601</v>
      </c>
      <c r="H3">
        <v>0.1654953615608056</v>
      </c>
      <c r="I3">
        <v>0.13330599085106989</v>
      </c>
      <c r="J3">
        <v>0.10961227326699489</v>
      </c>
      <c r="K3">
        <v>9.1684517413196151E-2</v>
      </c>
      <c r="L3">
        <v>7.780168674681906E-2</v>
      </c>
      <c r="M3">
        <v>6.6837284497681407E-2</v>
      </c>
      <c r="N3">
        <v>5.802989302860128E-2</v>
      </c>
      <c r="O3">
        <v>5.0850361005919893E-2</v>
      </c>
      <c r="P3">
        <v>4.4921940543254123E-2</v>
      </c>
      <c r="Q3">
        <v>3.9970628810914073E-2</v>
      </c>
      <c r="R3">
        <v>3.5793365186176547E-2</v>
      </c>
      <c r="S3">
        <v>3.2237123188488988E-2</v>
      </c>
      <c r="T3">
        <v>2.9184840098505499E-2</v>
      </c>
      <c r="U3">
        <v>2.6545747682501789E-2</v>
      </c>
      <c r="V3">
        <v>2.424860077153166E-2</v>
      </c>
      <c r="W3">
        <v>2.2236853464711229E-2</v>
      </c>
      <c r="X3">
        <v>2.046516893297437E-2</v>
      </c>
      <c r="Y3">
        <v>1.889685802426351E-2</v>
      </c>
      <c r="Z3">
        <v>1.7501974876065571E-2</v>
      </c>
      <c r="AA3">
        <v>1.6255883957504259E-2</v>
      </c>
      <c r="AB3">
        <v>1.513816985996759E-2</v>
      </c>
      <c r="AC3">
        <v>1.4131799327905391E-2</v>
      </c>
      <c r="AD3">
        <v>1.3222471025464659E-2</v>
      </c>
      <c r="AE3">
        <v>1.2398106501373841E-2</v>
      </c>
      <c r="AF3">
        <v>1.1648448392267721E-2</v>
      </c>
      <c r="AG3">
        <v>1.0964740818306571E-2</v>
      </c>
      <c r="AH3">
        <v>1.033947331454038E-2</v>
      </c>
      <c r="AI3">
        <v>9.7661742710234527E-3</v>
      </c>
      <c r="AJ3">
        <v>9.2392432428419231E-3</v>
      </c>
      <c r="AK3">
        <v>8.753813994360234E-3</v>
      </c>
      <c r="AL3">
        <v>8.3056420077882737E-3</v>
      </c>
      <c r="AM3">
        <v>7.8910115886006403E-3</v>
      </c>
      <c r="AN3">
        <v>7.5066587628515747E-3</v>
      </c>
      <c r="AO3">
        <v>7.1497069724666277E-3</v>
      </c>
      <c r="AP3">
        <v>6.817613198072882E-3</v>
      </c>
      <c r="AQ3">
        <v>6.5081226214761187E-3</v>
      </c>
      <c r="AR3">
        <v>6.2192303157486859E-3</v>
      </c>
      <c r="AS3">
        <v>5.9491487454403419E-3</v>
      </c>
      <c r="AT3">
        <v>5.6962800915922674E-3</v>
      </c>
      <c r="AU3">
        <v>5.4591926002481106E-3</v>
      </c>
      <c r="AV3">
        <v>5.2366002997777262E-3</v>
      </c>
      <c r="AW3">
        <v>5.027345549741654E-3</v>
      </c>
      <c r="AX3">
        <v>4.8303839785080061E-3</v>
      </c>
      <c r="AY3">
        <v>4.644771443213124E-3</v>
      </c>
      <c r="AZ3">
        <v>4.4696527076774784E-3</v>
      </c>
      <c r="BA3">
        <v>4.3042515844634883E-3</v>
      </c>
      <c r="BB3">
        <v>4.1478623286710353E-3</v>
      </c>
      <c r="BC3">
        <v>3.9998421051063576E-3</v>
      </c>
      <c r="BD3">
        <v>3.8596043785436148E-3</v>
      </c>
      <c r="BE3">
        <v>3.7266131000573762E-3</v>
      </c>
      <c r="BF3">
        <v>3.600377581730149E-3</v>
      </c>
      <c r="BG3">
        <v>3.480447968153136E-3</v>
      </c>
      <c r="BH3">
        <v>3.3664112266196312E-3</v>
      </c>
      <c r="BI3">
        <v>3.2578875892193748E-3</v>
      </c>
      <c r="BJ3">
        <v>3.1545273895643888E-3</v>
      </c>
      <c r="BK3">
        <v>3.0560082449124859E-3</v>
      </c>
      <c r="BL3">
        <v>2.962032541256212E-3</v>
      </c>
      <c r="BM3">
        <v>2.8723251847214601E-3</v>
      </c>
      <c r="BN3">
        <v>2.7866315875324449E-3</v>
      </c>
      <c r="BO3">
        <v>2.704715860994284E-3</v>
      </c>
      <c r="BP3">
        <v>2.6263591915302682E-3</v>
      </c>
      <c r="BQ3">
        <v>2.55135837888699E-3</v>
      </c>
      <c r="BR3">
        <v>2.479524518263226E-3</v>
      </c>
      <c r="BS3">
        <v>2.4106818103947262E-3</v>
      </c>
      <c r="BT3">
        <v>2.344666485593486E-3</v>
      </c>
      <c r="BU3">
        <v>2.281325829439268E-3</v>
      </c>
      <c r="BV3">
        <v>2.2205172992955111E-3</v>
      </c>
      <c r="BW3">
        <v>2.1621077221020491E-3</v>
      </c>
      <c r="BX3">
        <v>2.1059725650115942E-3</v>
      </c>
      <c r="BY3">
        <v>2.051995271407979E-3</v>
      </c>
      <c r="BZ3">
        <v>2.0000666556938169E-3</v>
      </c>
      <c r="CA3">
        <v>1.9500843509775549E-3</v>
      </c>
      <c r="CB3">
        <v>1.9019523044415509E-3</v>
      </c>
      <c r="CC3">
        <v>1.855580315744597E-3</v>
      </c>
      <c r="CD3">
        <v>1.8108836143159281E-3</v>
      </c>
      <c r="CE3">
        <v>1.767782471840445E-3</v>
      </c>
      <c r="CF3">
        <v>1.7262018466269371E-3</v>
      </c>
      <c r="CG3">
        <v>1.6860710568963641E-3</v>
      </c>
      <c r="CH3">
        <v>1.647323480333479E-3</v>
      </c>
      <c r="CI3">
        <v>1.6098962775169411E-3</v>
      </c>
      <c r="CJ3">
        <v>1.57373013708327E-3</v>
      </c>
      <c r="CK3">
        <v>1.5387690406947921E-3</v>
      </c>
      <c r="CL3">
        <v>1.504960046072075E-3</v>
      </c>
      <c r="CM3">
        <v>1.472253086521605E-3</v>
      </c>
      <c r="CN3">
        <v>1.440600785540816E-3</v>
      </c>
      <c r="CO3">
        <v>1.409958285218532E-3</v>
      </c>
      <c r="CP3">
        <v>1.3802830872702071E-3</v>
      </c>
      <c r="CQ3">
        <v>1.351534905655575E-3</v>
      </c>
      <c r="CR3">
        <v>1.323675529824695E-3</v>
      </c>
      <c r="CS3">
        <v>1.2966686977251621E-3</v>
      </c>
      <c r="CT3">
        <v>1.2704799777822999E-3</v>
      </c>
      <c r="CU3">
        <v>1.245076659135297E-3</v>
      </c>
      <c r="CV3">
        <v>1.2204276494755979E-3</v>
      </c>
    </row>
    <row r="4" spans="1:100" x14ac:dyDescent="0.25">
      <c r="B4">
        <v>0.33333333333333331</v>
      </c>
      <c r="C4">
        <v>0.83333333333333326</v>
      </c>
      <c r="D4">
        <v>0.71111111111111114</v>
      </c>
      <c r="E4">
        <v>0.55485837703548646</v>
      </c>
      <c r="F4">
        <v>0.43174538120986261</v>
      </c>
      <c r="G4">
        <v>0.34112269248350441</v>
      </c>
      <c r="H4">
        <v>0.27453871250016121</v>
      </c>
      <c r="I4">
        <v>0.2248893420631268</v>
      </c>
      <c r="J4">
        <v>0.18716988178030561</v>
      </c>
      <c r="K4">
        <v>0.1579747055643704</v>
      </c>
      <c r="L4">
        <v>0.13498192668960829</v>
      </c>
      <c r="M4">
        <v>0.1165866558987117</v>
      </c>
      <c r="N4">
        <v>0.10166007032571819</v>
      </c>
      <c r="O4">
        <v>8.9393697325930499E-2</v>
      </c>
      <c r="P4">
        <v>7.9198270503686635E-2</v>
      </c>
      <c r="Q4">
        <v>7.0637166885633873E-2</v>
      </c>
      <c r="R4">
        <v>6.3381891762630066E-2</v>
      </c>
      <c r="S4">
        <v>5.7181802127566933E-2</v>
      </c>
      <c r="T4">
        <v>5.1843169000849461E-2</v>
      </c>
      <c r="U4">
        <v>4.7214465293740522E-2</v>
      </c>
      <c r="V4">
        <v>4.3175871170242033E-2</v>
      </c>
      <c r="W4">
        <v>3.963168133346754E-2</v>
      </c>
      <c r="X4">
        <v>3.6504738794271407E-2</v>
      </c>
      <c r="Y4">
        <v>3.3732303685956547E-2</v>
      </c>
      <c r="Z4">
        <v>3.1262951735201598E-2</v>
      </c>
      <c r="AA4">
        <v>2.9054220677978849E-2</v>
      </c>
      <c r="AB4">
        <v>2.707080629682506E-2</v>
      </c>
      <c r="AC4">
        <v>2.5283166740551161E-2</v>
      </c>
      <c r="AD4">
        <v>2.3666433230270911E-2</v>
      </c>
      <c r="AE4">
        <v>2.2199552889291371E-2</v>
      </c>
      <c r="AF4">
        <v>2.0864609017603421E-2</v>
      </c>
      <c r="AG4">
        <v>1.9646278160713609E-2</v>
      </c>
      <c r="AH4">
        <v>1.8531393476282389E-2</v>
      </c>
      <c r="AI4">
        <v>1.750859132216832E-2</v>
      </c>
      <c r="AJ4">
        <v>1.6568023462080601E-2</v>
      </c>
      <c r="AK4">
        <v>1.570112135630046E-2</v>
      </c>
      <c r="AL4">
        <v>1.4900402058705931E-2</v>
      </c>
      <c r="AM4">
        <v>1.415930754991971E-2</v>
      </c>
      <c r="AN4">
        <v>1.3472071094470919E-2</v>
      </c>
      <c r="AO4">
        <v>1.2833605558313759E-2</v>
      </c>
      <c r="AP4">
        <v>1.2239409664139301E-2</v>
      </c>
      <c r="AQ4">
        <v>1.168548897091707E-2</v>
      </c>
      <c r="AR4">
        <v>1.116828899658465E-2</v>
      </c>
      <c r="AS4">
        <v>1.068463840013298E-2</v>
      </c>
      <c r="AT4">
        <v>1.02317005325748E-2</v>
      </c>
      <c r="AU4">
        <v>9.8069319789003406E-3</v>
      </c>
      <c r="AV4">
        <v>9.4080469628557064E-3</v>
      </c>
      <c r="AW4">
        <v>9.0329866868997296E-3</v>
      </c>
      <c r="AX4">
        <v>8.6798928414220811E-3</v>
      </c>
      <c r="AY4">
        <v>8.3470846483312301E-3</v>
      </c>
      <c r="AZ4">
        <v>8.0330389107424426E-3</v>
      </c>
      <c r="BA4">
        <v>7.7363726275994447E-3</v>
      </c>
      <c r="BB4">
        <v>7.4558278035212573E-3</v>
      </c>
      <c r="BC4">
        <v>7.1902581429930251E-3</v>
      </c>
      <c r="BD4">
        <v>6.9386173666457556E-3</v>
      </c>
      <c r="BE4">
        <v>6.699948927693565E-3</v>
      </c>
      <c r="BF4">
        <v>6.4733769401520268E-3</v>
      </c>
      <c r="BG4">
        <v>6.2580981584772844E-3</v>
      </c>
      <c r="BH4">
        <v>6.0533748717342866E-3</v>
      </c>
      <c r="BI4">
        <v>5.8585285951202916E-3</v>
      </c>
      <c r="BJ4">
        <v>5.6729344582694078E-3</v>
      </c>
      <c r="BK4">
        <v>5.4960162038170971E-3</v>
      </c>
      <c r="BL4">
        <v>5.3272417215880479E-3</v>
      </c>
      <c r="BM4">
        <v>5.1661190538817041E-3</v>
      </c>
      <c r="BN4">
        <v>5.012192815941255E-3</v>
      </c>
      <c r="BO4">
        <v>4.8650409830405172E-3</v>
      </c>
      <c r="BP4">
        <v>4.7242720019176924E-3</v>
      </c>
      <c r="BQ4">
        <v>4.5895221896944107E-3</v>
      </c>
      <c r="BR4">
        <v>4.4604533880510536E-3</v>
      </c>
      <c r="BS4">
        <v>4.3367508444477508E-3</v>
      </c>
      <c r="BT4">
        <v>4.2181212956257574E-3</v>
      </c>
      <c r="BU4">
        <v>4.1042912316347144E-3</v>
      </c>
      <c r="BV4">
        <v>3.9950053212119384E-3</v>
      </c>
      <c r="BW4">
        <v>3.890024981613633E-3</v>
      </c>
      <c r="BX4">
        <v>3.7891270779514142E-3</v>
      </c>
      <c r="BY4">
        <v>3.6921027388124509E-3</v>
      </c>
      <c r="BZ4">
        <v>3.5987562764347712E-3</v>
      </c>
      <c r="CA4">
        <v>3.508904201029164E-3</v>
      </c>
      <c r="CB4">
        <v>3.4223743199781162E-3</v>
      </c>
      <c r="CC4">
        <v>3.3390049136756638E-3</v>
      </c>
      <c r="CD4">
        <v>3.2586439806340929E-3</v>
      </c>
      <c r="CE4">
        <v>3.1811485453030241E-3</v>
      </c>
      <c r="CF4">
        <v>3.1063840226995139E-3</v>
      </c>
      <c r="CG4">
        <v>3.0342236346015492E-3</v>
      </c>
      <c r="CH4">
        <v>2.964547872568289E-3</v>
      </c>
      <c r="CI4">
        <v>2.8972440035488671E-3</v>
      </c>
      <c r="CJ4">
        <v>2.8322056142633268E-3</v>
      </c>
      <c r="CK4">
        <v>2.7693321909186362E-3</v>
      </c>
      <c r="CL4">
        <v>2.7085287311679092E-3</v>
      </c>
      <c r="CM4">
        <v>2.6497053855120542E-3</v>
      </c>
      <c r="CN4">
        <v>2.5927771256219661E-3</v>
      </c>
      <c r="CO4">
        <v>2.5376634372961679E-3</v>
      </c>
      <c r="CP4">
        <v>2.4842880359857351E-3</v>
      </c>
      <c r="CQ4">
        <v>2.4325786030104908E-3</v>
      </c>
      <c r="CR4">
        <v>2.382466540764364E-3</v>
      </c>
      <c r="CS4">
        <v>2.333886745365298E-3</v>
      </c>
      <c r="CT4">
        <v>2.2867773953425112E-3</v>
      </c>
      <c r="CU4">
        <v>2.2410797550829172E-3</v>
      </c>
      <c r="CV4">
        <v>2.1967379918677531E-3</v>
      </c>
    </row>
    <row r="5" spans="1:100" x14ac:dyDescent="0.25">
      <c r="C5">
        <v>0.16666666666666671</v>
      </c>
      <c r="D5">
        <v>0.54444444444444462</v>
      </c>
      <c r="E5">
        <v>0.55485837703548646</v>
      </c>
      <c r="F5">
        <v>0.48761904761904762</v>
      </c>
      <c r="G5">
        <v>0.41245879465870372</v>
      </c>
      <c r="H5">
        <v>0.34642851097304639</v>
      </c>
      <c r="I5">
        <v>0.29204268367968411</v>
      </c>
      <c r="J5">
        <v>0.24804810426402879</v>
      </c>
      <c r="K5">
        <v>0.21250841776102111</v>
      </c>
      <c r="L5">
        <v>0.18364686520355011</v>
      </c>
      <c r="M5">
        <v>0.16002185176295269</v>
      </c>
      <c r="N5">
        <v>0.14051169980242759</v>
      </c>
      <c r="O5">
        <v>0.124255382132515</v>
      </c>
      <c r="P5">
        <v>0.1105929090070291</v>
      </c>
      <c r="Q5">
        <v>9.9016271717502657E-2</v>
      </c>
      <c r="R5">
        <v>8.9131757099204373E-2</v>
      </c>
      <c r="S5">
        <v>8.0631763996117739E-2</v>
      </c>
      <c r="T5">
        <v>7.3273918185075865E-2</v>
      </c>
      <c r="U5">
        <v>6.6865605864551717E-2</v>
      </c>
      <c r="V5">
        <v>6.1252477129558912E-2</v>
      </c>
      <c r="W5">
        <v>5.6309848724648268E-2</v>
      </c>
      <c r="X5">
        <v>5.1936228368493008E-2</v>
      </c>
      <c r="Y5">
        <v>4.8048399081184752E-2</v>
      </c>
      <c r="Z5">
        <v>4.4577657933060989E-2</v>
      </c>
      <c r="AA5">
        <v>4.1466915243007177E-2</v>
      </c>
      <c r="AB5">
        <v>3.8668439979710513E-2</v>
      </c>
      <c r="AC5">
        <v>3.6142094199405603E-2</v>
      </c>
      <c r="AD5">
        <v>3.3853940405225623E-2</v>
      </c>
      <c r="AE5">
        <v>3.177513541091774E-2</v>
      </c>
      <c r="AF5">
        <v>2.9881045916750251E-2</v>
      </c>
      <c r="AG5">
        <v>2.8150536862242628E-2</v>
      </c>
      <c r="AH5">
        <v>2.656539533077797E-2</v>
      </c>
      <c r="AI5">
        <v>2.5109861490692529E-2</v>
      </c>
      <c r="AJ5">
        <v>2.3770244581554821E-2</v>
      </c>
      <c r="AK5">
        <v>2.253460687441701E-2</v>
      </c>
      <c r="AL5">
        <v>2.1392502271216519E-2</v>
      </c>
      <c r="AM5">
        <v>2.0334759063382762E-2</v>
      </c>
      <c r="AN5">
        <v>1.935329856625187E-2</v>
      </c>
      <c r="AO5">
        <v>1.8440983044662729E-2</v>
      </c>
      <c r="AP5">
        <v>1.7591487668269529E-2</v>
      </c>
      <c r="AQ5">
        <v>1.679919226991947E-2</v>
      </c>
      <c r="AR5">
        <v>1.6059089495835972E-2</v>
      </c>
      <c r="AS5">
        <v>1.536670658052201E-2</v>
      </c>
      <c r="AT5">
        <v>1.4718038492398E-2</v>
      </c>
      <c r="AU5">
        <v>1.410949060548908E-2</v>
      </c>
      <c r="AV5">
        <v>1.353782938158358E-2</v>
      </c>
      <c r="AW5">
        <v>1.3000139812216011E-2</v>
      </c>
      <c r="AX5">
        <v>1.249378858486936E-2</v>
      </c>
      <c r="AY5">
        <v>1.201639211230658E-2</v>
      </c>
      <c r="AZ5">
        <v>1.156578870656837E-2</v>
      </c>
      <c r="BA5">
        <v>1.1140014296304009E-2</v>
      </c>
      <c r="BB5">
        <v>1.073728118196675E-2</v>
      </c>
      <c r="BC5">
        <v>1.035595940327326E-2</v>
      </c>
      <c r="BD5">
        <v>9.9945603588214148E-3</v>
      </c>
      <c r="BE5">
        <v>9.6517223726985193E-3</v>
      </c>
      <c r="BF5">
        <v>9.326197948488147E-3</v>
      </c>
      <c r="BG5">
        <v>9.0168424893675974E-3</v>
      </c>
      <c r="BH5">
        <v>8.7226042949811525E-3</v>
      </c>
      <c r="BI5">
        <v>8.4425156729468591E-3</v>
      </c>
      <c r="BJ5">
        <v>8.1756850253150142E-3</v>
      </c>
      <c r="BK5">
        <v>7.921289790045697E-3</v>
      </c>
      <c r="BL5">
        <v>7.6785701335462773E-3</v>
      </c>
      <c r="BM5">
        <v>7.446823304521644E-3</v>
      </c>
      <c r="BN5">
        <v>7.2253985711167711E-3</v>
      </c>
      <c r="BO5">
        <v>7.0136926736703124E-3</v>
      </c>
      <c r="BP5">
        <v>6.8111457338630122E-3</v>
      </c>
      <c r="BQ5">
        <v>6.6172375688938641E-3</v>
      </c>
      <c r="BR5">
        <v>6.431484365407289E-3</v>
      </c>
      <c r="BS5">
        <v>6.2534356737016039E-3</v>
      </c>
      <c r="BT5">
        <v>6.0826716875210874E-3</v>
      </c>
      <c r="BU5">
        <v>5.9188007787755719E-3</v>
      </c>
      <c r="BV5">
        <v>5.7614572604259163E-3</v>
      </c>
      <c r="BW5">
        <v>5.6102993535477718E-3</v>
      </c>
      <c r="BX5">
        <v>5.4650073377691712E-3</v>
      </c>
      <c r="BY5">
        <v>5.3252818663189032E-3</v>
      </c>
      <c r="BZ5">
        <v>5.1908424291470601E-3</v>
      </c>
      <c r="CA5">
        <v>5.0614259495930783E-3</v>
      </c>
      <c r="CB5">
        <v>4.936785501320087E-3</v>
      </c>
      <c r="CC5">
        <v>4.8166891340726426E-3</v>
      </c>
      <c r="CD5">
        <v>4.700918797686012E-3</v>
      </c>
      <c r="CE5">
        <v>4.5892693551796756E-3</v>
      </c>
      <c r="CF5">
        <v>4.4815476765882531E-3</v>
      </c>
      <c r="CG5">
        <v>4.3775718060151446E-3</v>
      </c>
      <c r="CH5">
        <v>4.2771701953356238E-3</v>
      </c>
      <c r="CI5">
        <v>4.180180998416703E-3</v>
      </c>
      <c r="CJ5">
        <v>4.0864514205390034E-3</v>
      </c>
      <c r="CK5">
        <v>3.9958371181070696E-3</v>
      </c>
      <c r="CL5">
        <v>3.9082016442692864E-3</v>
      </c>
      <c r="CM5">
        <v>3.823415936449504E-3</v>
      </c>
      <c r="CN5">
        <v>3.741357842277485E-3</v>
      </c>
      <c r="CO5">
        <v>3.661911680621314E-3</v>
      </c>
      <c r="CP5">
        <v>3.5849678347382292E-3</v>
      </c>
      <c r="CQ5">
        <v>3.5104223750259522E-3</v>
      </c>
      <c r="CR5">
        <v>3.4381767087545089E-3</v>
      </c>
      <c r="CS5">
        <v>3.3681372547988749E-3</v>
      </c>
      <c r="CT5">
        <v>3.3002151411645471E-3</v>
      </c>
      <c r="CU5">
        <v>3.2343259236364522E-3</v>
      </c>
      <c r="CV5">
        <v>3.1703893238241641E-3</v>
      </c>
    </row>
    <row r="6" spans="1:100" x14ac:dyDescent="0.25">
      <c r="D6">
        <v>0.1</v>
      </c>
      <c r="E6">
        <v>0.37847495629784689</v>
      </c>
      <c r="F6">
        <v>0.43174538120986261</v>
      </c>
      <c r="G6">
        <v>0.41245879465870372</v>
      </c>
      <c r="H6">
        <v>0.37151927437641719</v>
      </c>
      <c r="I6">
        <v>0.32753976118389738</v>
      </c>
      <c r="J6">
        <v>0.28687912477900812</v>
      </c>
      <c r="K6">
        <v>0.25127560319920078</v>
      </c>
      <c r="L6">
        <v>0.22076779356611029</v>
      </c>
      <c r="M6">
        <v>0.1948261493734163</v>
      </c>
      <c r="N6">
        <v>0.17278964725360191</v>
      </c>
      <c r="O6">
        <v>0.1540269808071672</v>
      </c>
      <c r="P6">
        <v>0.13798774620192439</v>
      </c>
      <c r="Q6">
        <v>0.1242105331329631</v>
      </c>
      <c r="R6">
        <v>0.1123153414773068</v>
      </c>
      <c r="S6">
        <v>0.1019914996994465</v>
      </c>
      <c r="T6">
        <v>9.298546795788451E-2</v>
      </c>
      <c r="U6">
        <v>8.5090060391843636E-2</v>
      </c>
      <c r="V6">
        <v>7.8135449475556118E-2</v>
      </c>
      <c r="W6">
        <v>7.1981862055283272E-2</v>
      </c>
      <c r="X6">
        <v>6.6513728675315201E-2</v>
      </c>
      <c r="Y6">
        <v>6.1635025142559363E-2</v>
      </c>
      <c r="Z6">
        <v>5.7265569680156628E-2</v>
      </c>
      <c r="AA6">
        <v>5.3338077047322317E-2</v>
      </c>
      <c r="AB6">
        <v>4.9795809093234077E-2</v>
      </c>
      <c r="AC6">
        <v>4.6590694533154828E-2</v>
      </c>
      <c r="AD6">
        <v>4.3681818160059588E-2</v>
      </c>
      <c r="AE6">
        <v>4.1034201586046301E-2</v>
      </c>
      <c r="AF6">
        <v>3.8617814771790937E-2</v>
      </c>
      <c r="AG6">
        <v>3.6406770950785289E-2</v>
      </c>
      <c r="AH6">
        <v>3.4378667890389257E-2</v>
      </c>
      <c r="AI6">
        <v>3.251404642809911E-2</v>
      </c>
      <c r="AJ6">
        <v>3.0795943408673671E-2</v>
      </c>
      <c r="AK6">
        <v>2.9209520950432079E-2</v>
      </c>
      <c r="AL6">
        <v>2.774175770021042E-2</v>
      </c>
      <c r="AM6">
        <v>2.6381190653146001E-2</v>
      </c>
      <c r="AN6">
        <v>2.5117698393627791E-2</v>
      </c>
      <c r="AO6">
        <v>2.3942318410757349E-2</v>
      </c>
      <c r="AP6">
        <v>2.2847092559015288E-2</v>
      </c>
      <c r="AQ6">
        <v>2.182493585715729E-2</v>
      </c>
      <c r="AR6">
        <v>2.0869524716401459E-2</v>
      </c>
      <c r="AS6">
        <v>1.997520140160201E-2</v>
      </c>
      <c r="AT6">
        <v>1.9136892105061639E-2</v>
      </c>
      <c r="AU6">
        <v>1.8350036475255668E-2</v>
      </c>
      <c r="AV6">
        <v>1.761052681675563E-2</v>
      </c>
      <c r="AW6">
        <v>1.6914655483861368E-2</v>
      </c>
      <c r="AX6">
        <v>1.625906923461139E-2</v>
      </c>
      <c r="AY6">
        <v>1.5640729519944468E-2</v>
      </c>
      <c r="AZ6">
        <v>1.50568778448276E-2</v>
      </c>
      <c r="BA6">
        <v>1.4505005478873069E-2</v>
      </c>
      <c r="BB6">
        <v>1.39828269049056E-2</v>
      </c>
      <c r="BC6">
        <v>1.348825649108207E-2</v>
      </c>
      <c r="BD6">
        <v>1.3019387947282831E-2</v>
      </c>
      <c r="BE6">
        <v>1.257447619482265E-2</v>
      </c>
      <c r="BF6">
        <v>1.215192133180497E-2</v>
      </c>
      <c r="BG6">
        <v>1.175025442228908E-2</v>
      </c>
      <c r="BH6">
        <v>1.1368124877398781E-2</v>
      </c>
      <c r="BI6">
        <v>1.10042892283902E-2</v>
      </c>
      <c r="BJ6">
        <v>1.065760111849832E-2</v>
      </c>
      <c r="BK6">
        <v>1.032700236676721E-2</v>
      </c>
      <c r="BL6">
        <v>1.0011514973871269E-2</v>
      </c>
      <c r="BM6">
        <v>9.7102339580591723E-3</v>
      </c>
      <c r="BN6">
        <v>9.4223209258454538E-3</v>
      </c>
      <c r="BO6">
        <v>9.1469982917233069E-3</v>
      </c>
      <c r="BP6">
        <v>8.8835440731416145E-3</v>
      </c>
      <c r="BQ6">
        <v>8.6312871974582005E-3</v>
      </c>
      <c r="BR6">
        <v>8.3896032630055677E-3</v>
      </c>
      <c r="BS6">
        <v>8.1579107056041159E-3</v>
      </c>
      <c r="BT6">
        <v>7.9356673267437054E-3</v>
      </c>
      <c r="BU6">
        <v>7.7223671451726837E-3</v>
      </c>
      <c r="BV6">
        <v>7.5175375373292309E-3</v>
      </c>
      <c r="BW6">
        <v>7.3207366376633679E-3</v>
      </c>
      <c r="BX6">
        <v>7.1315509718399058E-3</v>
      </c>
      <c r="BY6">
        <v>6.9495932991461892E-3</v>
      </c>
      <c r="BZ6">
        <v>6.7745006436820314E-3</v>
      </c>
      <c r="CA6">
        <v>6.6059324951937759E-3</v>
      </c>
      <c r="CB6">
        <v>6.4435691637915694E-3</v>
      </c>
      <c r="CC6">
        <v>6.287110273280036E-3</v>
      </c>
      <c r="CD6">
        <v>6.1362733792089067E-3</v>
      </c>
      <c r="CE6">
        <v>5.9907927021542609E-3</v>
      </c>
      <c r="CF6">
        <v>5.8504179627299523E-3</v>
      </c>
      <c r="CG6">
        <v>5.7149133109375781E-3</v>
      </c>
      <c r="CH6">
        <v>5.5840563408456577E-3</v>
      </c>
      <c r="CI6">
        <v>5.4576371824156082E-3</v>
      </c>
      <c r="CJ6">
        <v>5.3354576642347861E-3</v>
      </c>
      <c r="CK6">
        <v>5.2173305404988584E-3</v>
      </c>
      <c r="CL6">
        <v>5.1030787771111979E-3</v>
      </c>
      <c r="CM6">
        <v>4.9925348914449247E-3</v>
      </c>
      <c r="CN6">
        <v>4.8855403411446922E-3</v>
      </c>
      <c r="CO6">
        <v>4.7819449582896566E-3</v>
      </c>
      <c r="CP6">
        <v>4.6816064245213031E-3</v>
      </c>
      <c r="CQ6">
        <v>4.5843897847758037E-3</v>
      </c>
      <c r="CR6">
        <v>4.490166994701293E-3</v>
      </c>
      <c r="CS6">
        <v>4.3988165013728988E-3</v>
      </c>
      <c r="CT6">
        <v>4.3102228520567679E-3</v>
      </c>
      <c r="CU6">
        <v>4.2242763316863432E-3</v>
      </c>
      <c r="CV6">
        <v>4.1408726236795649E-3</v>
      </c>
    </row>
    <row r="7" spans="1:100" x14ac:dyDescent="0.25">
      <c r="E7">
        <v>6.6666666666666666E-2</v>
      </c>
      <c r="F7">
        <v>0.27682604736156602</v>
      </c>
      <c r="G7">
        <v>0.34112269248350441</v>
      </c>
      <c r="H7">
        <v>0.34642851097304639</v>
      </c>
      <c r="I7">
        <v>0.32753976118389738</v>
      </c>
      <c r="J7">
        <v>0.30021759545569082</v>
      </c>
      <c r="K7">
        <v>0.27140524091069612</v>
      </c>
      <c r="L7">
        <v>0.24401579030667611</v>
      </c>
      <c r="M7">
        <v>0.21912625300977059</v>
      </c>
      <c r="N7">
        <v>0.19698723596461309</v>
      </c>
      <c r="O7">
        <v>0.17749191339170359</v>
      </c>
      <c r="P7">
        <v>0.16039466199761859</v>
      </c>
      <c r="Q7">
        <v>0.1454119615738029</v>
      </c>
      <c r="R7">
        <v>0.13226728044874661</v>
      </c>
      <c r="S7">
        <v>0.1207092276286701</v>
      </c>
      <c r="T7">
        <v>0.11051708321912081</v>
      </c>
      <c r="U7">
        <v>0.10150057480165189</v>
      </c>
      <c r="V7">
        <v>9.3497246163509323E-2</v>
      </c>
      <c r="W7">
        <v>8.6369029967915914E-2</v>
      </c>
      <c r="X7">
        <v>7.9998774836291295E-2</v>
      </c>
      <c r="Y7">
        <v>7.4287050122314208E-2</v>
      </c>
      <c r="Z7">
        <v>6.9149342360034421E-2</v>
      </c>
      <c r="AA7">
        <v>6.4513658080345121E-2</v>
      </c>
      <c r="AB7">
        <v>6.0318503828552958E-2</v>
      </c>
      <c r="AC7">
        <v>5.6511197923066032E-2</v>
      </c>
      <c r="AD7">
        <v>5.3046465493459642E-2</v>
      </c>
      <c r="AE7">
        <v>4.9885271336232079E-2</v>
      </c>
      <c r="AF7">
        <v>4.6993850460966539E-2</v>
      </c>
      <c r="AG7">
        <v>4.434290206032012E-2</v>
      </c>
      <c r="AH7">
        <v>4.1906918204680253E-2</v>
      </c>
      <c r="AI7">
        <v>3.9663623505188858E-2</v>
      </c>
      <c r="AJ7">
        <v>3.7593506204037508E-2</v>
      </c>
      <c r="AK7">
        <v>3.5679424686039657E-2</v>
      </c>
      <c r="AL7">
        <v>3.3906276321189588E-2</v>
      </c>
      <c r="AM7">
        <v>3.2260717927028608E-2</v>
      </c>
      <c r="AN7">
        <v>3.0730929098017071E-2</v>
      </c>
      <c r="AO7">
        <v>2.9306411216178021E-2</v>
      </c>
      <c r="AP7">
        <v>2.7977816257695361E-2</v>
      </c>
      <c r="AQ7">
        <v>2.6736800540109219E-2</v>
      </c>
      <c r="AR7">
        <v>2.5575899418233069E-2</v>
      </c>
      <c r="AS7">
        <v>2.4488419616763509E-2</v>
      </c>
      <c r="AT7">
        <v>2.3468346462946609E-2</v>
      </c>
      <c r="AU7">
        <v>2.2510263736935061E-2</v>
      </c>
      <c r="AV7">
        <v>2.16092842409039E-2</v>
      </c>
      <c r="AW7">
        <v>2.076098949697509E-2</v>
      </c>
      <c r="AX7">
        <v>1.9961377244941229E-2</v>
      </c>
      <c r="AY7">
        <v>1.9206815612575319E-2</v>
      </c>
      <c r="AZ7">
        <v>1.8494003026726859E-2</v>
      </c>
      <c r="BA7">
        <v>1.781993305210218E-2</v>
      </c>
      <c r="BB7">
        <v>1.71818634924196E-2</v>
      </c>
      <c r="BC7">
        <v>1.657728917378315E-2</v>
      </c>
      <c r="BD7">
        <v>1.6003917925420968E-2</v>
      </c>
      <c r="BE7">
        <v>1.545964932918203E-2</v>
      </c>
      <c r="BF7">
        <v>1.4942555892331399E-2</v>
      </c>
      <c r="BG7">
        <v>1.445086633080989E-2</v>
      </c>
      <c r="BH7">
        <v>1.398295069115534E-2</v>
      </c>
      <c r="BI7">
        <v>1.353730710002227E-2</v>
      </c>
      <c r="BJ7">
        <v>1.3112549926079549E-2</v>
      </c>
      <c r="BK7">
        <v>1.2707399197582009E-2</v>
      </c>
      <c r="BL7">
        <v>1.2320671119495381E-2</v>
      </c>
      <c r="BM7">
        <v>1.1951269566375541E-2</v>
      </c>
      <c r="BN7">
        <v>1.1598178436503501E-2</v>
      </c>
      <c r="BO7">
        <v>1.1260454765043931E-2</v>
      </c>
      <c r="BP7">
        <v>1.0937222526030689E-2</v>
      </c>
      <c r="BQ7">
        <v>1.062766702447205E-2</v>
      </c>
      <c r="BR7">
        <v>1.0331029836347811E-2</v>
      </c>
      <c r="BS7">
        <v>1.0046604223583619E-2</v>
      </c>
      <c r="BT7">
        <v>9.773730974917131E-3</v>
      </c>
      <c r="BU7">
        <v>9.5117946387008843E-3</v>
      </c>
      <c r="BV7">
        <v>9.2602200864613932E-3</v>
      </c>
      <c r="BW7">
        <v>9.0184694007036607E-3</v>
      </c>
      <c r="BX7">
        <v>8.7860390246263242E-3</v>
      </c>
      <c r="BY7">
        <v>8.5624571702242174E-3</v>
      </c>
      <c r="BZ7">
        <v>8.3472814543618049E-3</v>
      </c>
      <c r="CA7">
        <v>8.1400967267495038E-3</v>
      </c>
      <c r="CB7">
        <v>7.9405130902425753E-3</v>
      </c>
      <c r="CC7">
        <v>7.7481640833296566E-3</v>
      </c>
      <c r="CD7">
        <v>7.5627050152431178E-3</v>
      </c>
      <c r="CE7">
        <v>7.3838114356512127E-3</v>
      </c>
      <c r="CF7">
        <v>7.2111777253279054E-3</v>
      </c>
      <c r="CG7">
        <v>7.0445158073945656E-3</v>
      </c>
      <c r="CH7">
        <v>6.883553952300365E-3</v>
      </c>
      <c r="CI7">
        <v>6.7280356789167703E-3</v>
      </c>
      <c r="CJ7">
        <v>6.5777187446351398E-3</v>
      </c>
      <c r="CK7">
        <v>6.432374205259367E-3</v>
      </c>
      <c r="CL7">
        <v>6.2917855516413336E-3</v>
      </c>
      <c r="CM7">
        <v>6.1557479121814411E-3</v>
      </c>
      <c r="CN7">
        <v>6.0240673054668542E-3</v>
      </c>
      <c r="CO7">
        <v>5.8965599615451664E-3</v>
      </c>
      <c r="CP7">
        <v>5.7730516798579958E-3</v>
      </c>
      <c r="CQ7">
        <v>5.6533772364219179E-3</v>
      </c>
      <c r="CR7">
        <v>5.537379844256147E-3</v>
      </c>
      <c r="CS7">
        <v>5.4249106329582984E-3</v>
      </c>
      <c r="CT7">
        <v>5.3158281814808814E-3</v>
      </c>
      <c r="CU7">
        <v>5.2099980707441627E-3</v>
      </c>
      <c r="CV7">
        <v>5.1072924745275182E-3</v>
      </c>
    </row>
    <row r="8" spans="1:100" x14ac:dyDescent="0.25">
      <c r="F8">
        <v>4.7619047619047623E-2</v>
      </c>
      <c r="G8">
        <v>0.21070422714350601</v>
      </c>
      <c r="H8">
        <v>0.27453871250016121</v>
      </c>
      <c r="I8">
        <v>0.29204268367968411</v>
      </c>
      <c r="J8">
        <v>0.28687912477900812</v>
      </c>
      <c r="K8">
        <v>0.27140524091069612</v>
      </c>
      <c r="L8">
        <v>0.25193084933344673</v>
      </c>
      <c r="M8">
        <v>0.2316127944684569</v>
      </c>
      <c r="N8">
        <v>0.21197358592682081</v>
      </c>
      <c r="O8">
        <v>0.19369002382520401</v>
      </c>
      <c r="P8">
        <v>0.17700425351565841</v>
      </c>
      <c r="Q8">
        <v>0.16193951723760261</v>
      </c>
      <c r="R8">
        <v>0.14841394259593599</v>
      </c>
      <c r="S8">
        <v>0.13630048235872499</v>
      </c>
      <c r="T8">
        <v>0.12545812119087671</v>
      </c>
      <c r="U8">
        <v>0.11574764465394211</v>
      </c>
      <c r="V8">
        <v>0.1070391017243468</v>
      </c>
      <c r="W8">
        <v>9.9214827684085405E-2</v>
      </c>
      <c r="X8">
        <v>9.217013991060459E-2</v>
      </c>
      <c r="Y8">
        <v>8.5812863980011297E-2</v>
      </c>
      <c r="Z8">
        <v>8.0062321970568853E-2</v>
      </c>
      <c r="AA8">
        <v>7.484812350972371E-2</v>
      </c>
      <c r="AB8">
        <v>7.0108938000435814E-2</v>
      </c>
      <c r="AC8">
        <v>6.5791336397862915E-2</v>
      </c>
      <c r="AD8">
        <v>6.1848741290520003E-2</v>
      </c>
      <c r="AE8">
        <v>5.8240497248089933E-2</v>
      </c>
      <c r="AF8">
        <v>5.4931059442400287E-2</v>
      </c>
      <c r="AG8">
        <v>5.1889291831003763E-2</v>
      </c>
      <c r="AH8">
        <v>4.9087863436896903E-2</v>
      </c>
      <c r="AI8">
        <v>4.6502730682882402E-2</v>
      </c>
      <c r="AJ8">
        <v>4.4112694216896849E-2</v>
      </c>
      <c r="AK8">
        <v>4.189901971634391E-2</v>
      </c>
      <c r="AL8">
        <v>3.9845113337232937E-2</v>
      </c>
      <c r="AM8">
        <v>3.7936243701093803E-2</v>
      </c>
      <c r="AN8">
        <v>3.6159303444728043E-2</v>
      </c>
      <c r="AO8">
        <v>3.4502604399084993E-2</v>
      </c>
      <c r="AP8">
        <v>3.2955701328244338E-2</v>
      </c>
      <c r="AQ8">
        <v>3.1509239967326651E-2</v>
      </c>
      <c r="AR8">
        <v>3.0154825753835091E-2</v>
      </c>
      <c r="AS8">
        <v>2.8884910179193962E-2</v>
      </c>
      <c r="AT8">
        <v>2.7692692211155692E-2</v>
      </c>
      <c r="AU8">
        <v>2.6572032590540431E-2</v>
      </c>
      <c r="AV8">
        <v>2.5517379167670232E-2</v>
      </c>
      <c r="AW8">
        <v>2.4523701717276618E-2</v>
      </c>
      <c r="AX8">
        <v>2.3586434922648229E-2</v>
      </c>
      <c r="AY8">
        <v>2.2701428366033841E-2</v>
      </c>
      <c r="AZ8">
        <v>2.1864902617140261E-2</v>
      </c>
      <c r="BA8">
        <v>2.107341058095618E-2</v>
      </c>
      <c r="BB8">
        <v>2.0323803381602969E-2</v>
      </c>
      <c r="BC8">
        <v>1.961320025918601E-2</v>
      </c>
      <c r="BD8">
        <v>1.893896185517608E-2</v>
      </c>
      <c r="BE8">
        <v>1.8298666593902491E-2</v>
      </c>
      <c r="BF8">
        <v>1.7690089617316291E-2</v>
      </c>
      <c r="BG8">
        <v>1.711118409400109E-2</v>
      </c>
      <c r="BH8">
        <v>1.656006451214935E-2</v>
      </c>
      <c r="BI8">
        <v>1.6034991788640068E-2</v>
      </c>
      <c r="BJ8">
        <v>1.5534359905489299E-2</v>
      </c>
      <c r="BK8">
        <v>1.5056683988159E-2</v>
      </c>
      <c r="BL8">
        <v>1.460058955008799E-2</v>
      </c>
      <c r="BM8">
        <v>1.416480286850012E-2</v>
      </c>
      <c r="BN8">
        <v>1.3748142292362269E-2</v>
      </c>
      <c r="BO8">
        <v>1.3349510418184281E-2</v>
      </c>
      <c r="BP8">
        <v>1.296788703453702E-2</v>
      </c>
      <c r="BQ8">
        <v>1.2602322702630869E-2</v>
      </c>
      <c r="BR8">
        <v>1.225193302638415E-2</v>
      </c>
      <c r="BS8">
        <v>1.1915893352782351E-2</v>
      </c>
      <c r="BT8">
        <v>1.159343404348106E-2</v>
      </c>
      <c r="BU8">
        <v>1.128383615976938E-2</v>
      </c>
      <c r="BV8">
        <v>1.098642749103783E-2</v>
      </c>
      <c r="BW8">
        <v>1.0700579008537429E-2</v>
      </c>
      <c r="BX8">
        <v>1.042570157140725E-2</v>
      </c>
      <c r="BY8">
        <v>1.01612429597315E-2</v>
      </c>
      <c r="BZ8">
        <v>9.9066851104313985E-3</v>
      </c>
      <c r="CA8">
        <v>9.6615416718072791E-3</v>
      </c>
      <c r="CB8">
        <v>9.4253556696778512E-3</v>
      </c>
      <c r="CC8">
        <v>9.1976974244131638E-3</v>
      </c>
      <c r="CD8">
        <v>8.9781626414383239E-3</v>
      </c>
      <c r="CE8">
        <v>8.7663706077365077E-3</v>
      </c>
      <c r="CF8">
        <v>8.5619625943706493E-3</v>
      </c>
      <c r="CG8">
        <v>8.3646003354536161E-3</v>
      </c>
      <c r="CH8">
        <v>8.173964664548056E-3</v>
      </c>
      <c r="CI8">
        <v>7.9897542284223678E-3</v>
      </c>
      <c r="CJ8">
        <v>7.8116843073306299E-3</v>
      </c>
      <c r="CK8">
        <v>7.6394857328391502E-3</v>
      </c>
      <c r="CL8">
        <v>7.4729038998036052E-3</v>
      </c>
      <c r="CM8">
        <v>7.3116977973246254E-3</v>
      </c>
      <c r="CN8">
        <v>7.1556391993744268E-3</v>
      </c>
      <c r="CO8">
        <v>7.004511785896287E-3</v>
      </c>
      <c r="CP8">
        <v>6.8581105040559382E-3</v>
      </c>
      <c r="CQ8">
        <v>6.7162407878474228E-3</v>
      </c>
      <c r="CR8">
        <v>6.5787179846653046E-3</v>
      </c>
      <c r="CS8">
        <v>6.4453666920618923E-3</v>
      </c>
      <c r="CT8">
        <v>6.3160202733535268E-3</v>
      </c>
      <c r="CU8">
        <v>6.1905203206507166E-3</v>
      </c>
      <c r="CV8">
        <v>6.0687161379888348E-3</v>
      </c>
    </row>
    <row r="9" spans="1:100" x14ac:dyDescent="0.25">
      <c r="G9">
        <v>3.5714285714285712E-2</v>
      </c>
      <c r="H9">
        <v>0.1654953615608056</v>
      </c>
      <c r="I9">
        <v>0.2248893420631268</v>
      </c>
      <c r="J9">
        <v>0.24804810426402879</v>
      </c>
      <c r="K9">
        <v>0.25127560319920078</v>
      </c>
      <c r="L9">
        <v>0.24401579030667611</v>
      </c>
      <c r="M9">
        <v>0.2316127944684569</v>
      </c>
      <c r="N9">
        <v>0.21704811634881571</v>
      </c>
      <c r="O9">
        <v>0.2019583081782298</v>
      </c>
      <c r="P9">
        <v>0.187216339677619</v>
      </c>
      <c r="Q9">
        <v>0.17326210948945611</v>
      </c>
      <c r="R9">
        <v>0.16029092404406031</v>
      </c>
      <c r="S9">
        <v>0.14836155407091481</v>
      </c>
      <c r="T9">
        <v>0.1374584628600386</v>
      </c>
      <c r="U9">
        <v>0.12752769665343311</v>
      </c>
      <c r="V9">
        <v>0.1184975106627424</v>
      </c>
      <c r="W9">
        <v>0.1102900868929818</v>
      </c>
      <c r="X9">
        <v>0.1028280303480311</v>
      </c>
      <c r="Y9">
        <v>9.6037802353918622E-2</v>
      </c>
      <c r="Z9">
        <v>8.9851365259344868E-2</v>
      </c>
      <c r="AA9">
        <v>8.4206795121599912E-2</v>
      </c>
      <c r="AB9">
        <v>7.904831302795505E-2</v>
      </c>
      <c r="AC9">
        <v>7.4326003324807835E-2</v>
      </c>
      <c r="AD9">
        <v>6.9995377594155112E-2</v>
      </c>
      <c r="AE9">
        <v>6.6016877257478013E-2</v>
      </c>
      <c r="AF9">
        <v>6.2355367852391097E-2</v>
      </c>
      <c r="AG9">
        <v>5.8979654026946687E-2</v>
      </c>
      <c r="AH9">
        <v>5.5862029888935051E-2</v>
      </c>
      <c r="AI9">
        <v>5.2977870871008421E-2</v>
      </c>
      <c r="AJ9">
        <v>5.0305268314702133E-2</v>
      </c>
      <c r="AK9">
        <v>4.7824705288110031E-2</v>
      </c>
      <c r="AL9">
        <v>4.5518770698702193E-2</v>
      </c>
      <c r="AM9">
        <v>4.3371908196339029E-2</v>
      </c>
      <c r="AN9">
        <v>4.1370196155669607E-2</v>
      </c>
      <c r="AO9">
        <v>3.9501155201755789E-2</v>
      </c>
      <c r="AP9">
        <v>3.7753579887316702E-2</v>
      </c>
      <c r="AQ9">
        <v>3.6117391553632111E-2</v>
      </c>
      <c r="AR9">
        <v>3.4583509607105448E-2</v>
      </c>
      <c r="AS9">
        <v>3.3143738893369877E-2</v>
      </c>
      <c r="AT9">
        <v>3.179067098297781E-2</v>
      </c>
      <c r="AU9">
        <v>3.051759761837405E-2</v>
      </c>
      <c r="AV9">
        <v>2.9318434711566969E-2</v>
      </c>
      <c r="AW9">
        <v>2.8187655449167289E-2</v>
      </c>
      <c r="AX9">
        <v>2.7120231476483379E-2</v>
      </c>
      <c r="AY9">
        <v>2.611158090931311E-2</v>
      </c>
      <c r="AZ9">
        <v>2.51575224776906E-2</v>
      </c>
      <c r="BA9">
        <v>2.4254234983534659E-2</v>
      </c>
      <c r="BB9">
        <v>2.3398221246908289E-2</v>
      </c>
      <c r="BC9">
        <v>2.2586276258671649E-2</v>
      </c>
      <c r="BD9">
        <v>2.181545874416552E-2</v>
      </c>
      <c r="BE9">
        <v>2.1083065911431449E-2</v>
      </c>
      <c r="BF9">
        <v>2.038661096191792E-2</v>
      </c>
      <c r="BG9">
        <v>1.9723802883708549E-2</v>
      </c>
      <c r="BH9">
        <v>1.909252853643751E-2</v>
      </c>
      <c r="BI9">
        <v>1.8490836430605648E-2</v>
      </c>
      <c r="BJ9">
        <v>1.7916922370859401E-2</v>
      </c>
      <c r="BK9">
        <v>1.736911638468517E-2</v>
      </c>
      <c r="BL9">
        <v>1.6845871012336672E-2</v>
      </c>
      <c r="BM9">
        <v>1.6345750873869469E-2</v>
      </c>
      <c r="BN9">
        <v>1.5867423051078772E-2</v>
      </c>
      <c r="BO9">
        <v>1.5409648558093269E-2</v>
      </c>
      <c r="BP9">
        <v>1.4971274567313829E-2</v>
      </c>
      <c r="BQ9">
        <v>1.4551227420701401E-2</v>
      </c>
      <c r="BR9">
        <v>1.4148506152242619E-2</v>
      </c>
      <c r="BS9">
        <v>1.376217675514518E-2</v>
      </c>
      <c r="BT9">
        <v>1.339136693927997E-2</v>
      </c>
      <c r="BU9">
        <v>1.303526130201528E-2</v>
      </c>
      <c r="BV9">
        <v>1.269309696063961E-2</v>
      </c>
      <c r="BW9">
        <v>1.2364159603214971E-2</v>
      </c>
      <c r="BX9">
        <v>1.2047779822211E-2</v>
      </c>
      <c r="BY9">
        <v>1.1743329709703029E-2</v>
      </c>
      <c r="BZ9">
        <v>1.145022008672668E-2</v>
      </c>
      <c r="CA9">
        <v>1.116789733791102E-2</v>
      </c>
      <c r="CB9">
        <v>1.0895841178645539E-2</v>
      </c>
      <c r="CC9">
        <v>1.06335620482327E-2</v>
      </c>
      <c r="CD9">
        <v>1.0380599147088091E-2</v>
      </c>
      <c r="CE9">
        <v>1.0136518415285629E-2</v>
      </c>
      <c r="CF9">
        <v>9.9009105716572066E-3</v>
      </c>
      <c r="CG9">
        <v>9.6733896608110336E-3</v>
      </c>
      <c r="CH9">
        <v>9.4535912457925191E-3</v>
      </c>
      <c r="CI9">
        <v>9.2411711276677386E-3</v>
      </c>
      <c r="CJ9">
        <v>9.0358040696738254E-3</v>
      </c>
      <c r="CK9">
        <v>8.8371823679191698E-3</v>
      </c>
      <c r="CL9">
        <v>8.6450149955411334E-3</v>
      </c>
      <c r="CM9">
        <v>8.4590262114526589E-3</v>
      </c>
      <c r="CN9">
        <v>8.2789549471046237E-3</v>
      </c>
      <c r="CO9">
        <v>8.1045537505499629E-3</v>
      </c>
      <c r="CP9">
        <v>7.9355878935905236E-3</v>
      </c>
      <c r="CQ9">
        <v>7.7718342104617037E-3</v>
      </c>
      <c r="CR9">
        <v>7.6130816119480034E-3</v>
      </c>
      <c r="CS9">
        <v>7.4591289903068146E-3</v>
      </c>
      <c r="CT9">
        <v>7.3097854020321169E-3</v>
      </c>
      <c r="CU9">
        <v>7.1648692084796848E-3</v>
      </c>
      <c r="CV9">
        <v>7.0242077516792104E-3</v>
      </c>
    </row>
    <row r="10" spans="1:100" x14ac:dyDescent="0.25">
      <c r="H10">
        <v>2.777777777777778E-2</v>
      </c>
      <c r="I10">
        <v>0.13330599085106989</v>
      </c>
      <c r="J10">
        <v>0.18716988178030561</v>
      </c>
      <c r="K10">
        <v>0.21250841776102111</v>
      </c>
      <c r="L10">
        <v>0.22076779356611029</v>
      </c>
      <c r="M10">
        <v>0.21912625300977059</v>
      </c>
      <c r="N10">
        <v>0.21197358592682081</v>
      </c>
      <c r="O10">
        <v>0.2019583081782298</v>
      </c>
      <c r="P10">
        <v>0.19066187475346941</v>
      </c>
      <c r="Q10">
        <v>0.1790158634397033</v>
      </c>
      <c r="R10">
        <v>0.16755658452714281</v>
      </c>
      <c r="S10">
        <v>0.15658010264747491</v>
      </c>
      <c r="T10">
        <v>0.14623686244797629</v>
      </c>
      <c r="U10">
        <v>0.1365896886137431</v>
      </c>
      <c r="V10">
        <v>0.12764947470175569</v>
      </c>
      <c r="W10">
        <v>0.1193971937024937</v>
      </c>
      <c r="X10">
        <v>0.1117974662683158</v>
      </c>
      <c r="Y10">
        <v>0.1048068862307532</v>
      </c>
      <c r="Z10">
        <v>9.8379074585994611E-2</v>
      </c>
      <c r="AA10">
        <v>9.2467685997716959E-2</v>
      </c>
      <c r="AB10">
        <v>8.7028133441267488E-2</v>
      </c>
      <c r="AC10">
        <v>8.2018512833291327E-2</v>
      </c>
      <c r="AD10">
        <v>7.7400032341611968E-2</v>
      </c>
      <c r="AE10">
        <v>7.3137139602502871E-2</v>
      </c>
      <c r="AF10">
        <v>6.9197469493929298E-2</v>
      </c>
      <c r="AG10">
        <v>6.5551690108280158E-2</v>
      </c>
      <c r="AH10">
        <v>6.217329581525282E-2</v>
      </c>
      <c r="AI10">
        <v>5.9038377820130702E-2</v>
      </c>
      <c r="AJ10">
        <v>5.6125390773845783E-2</v>
      </c>
      <c r="AK10">
        <v>5.3414926373924823E-2</v>
      </c>
      <c r="AL10">
        <v>5.0889500059965599E-2</v>
      </c>
      <c r="AM10">
        <v>4.8533353847817019E-2</v>
      </c>
      <c r="AN10">
        <v>4.6332276348388303E-2</v>
      </c>
      <c r="AO10">
        <v>4.4273440029781091E-2</v>
      </c>
      <c r="AP10">
        <v>4.2345254880256387E-2</v>
      </c>
      <c r="AQ10">
        <v>4.0537237487343343E-2</v>
      </c>
      <c r="AR10">
        <v>3.8839894151278663E-2</v>
      </c>
      <c r="AS10">
        <v>3.7244616853172062E-2</v>
      </c>
      <c r="AT10">
        <v>3.5743590720704439E-2</v>
      </c>
      <c r="AU10">
        <v>3.432971169817655E-2</v>
      </c>
      <c r="AV10">
        <v>3.2996513512611347E-2</v>
      </c>
      <c r="AW10">
        <v>3.1738102607897771E-2</v>
      </c>
      <c r="AX10">
        <v>3.0549100470759791E-2</v>
      </c>
      <c r="AY10">
        <v>2.9424592173493139E-2</v>
      </c>
      <c r="AZ10">
        <v>2.8360080654177462E-2</v>
      </c>
      <c r="BA10">
        <v>2.735144588611441E-2</v>
      </c>
      <c r="BB10">
        <v>2.639490862443148E-2</v>
      </c>
      <c r="BC10">
        <v>2.5486997784318219E-2</v>
      </c>
      <c r="BD10">
        <v>2.4624521586319632E-2</v>
      </c>
      <c r="BE10">
        <v>2.3804541527078969E-2</v>
      </c>
      <c r="BF10">
        <v>2.3024348988992159E-2</v>
      </c>
      <c r="BG10">
        <v>2.228144457048482E-2</v>
      </c>
      <c r="BH10">
        <v>2.1573519249590022E-2</v>
      </c>
      <c r="BI10">
        <v>2.089843748710634E-2</v>
      </c>
      <c r="BJ10">
        <v>2.025422215844536E-2</v>
      </c>
      <c r="BK10">
        <v>1.9639040698130421E-2</v>
      </c>
      <c r="BL10">
        <v>1.9051193087211701E-2</v>
      </c>
      <c r="BM10">
        <v>1.8489100423692631E-2</v>
      </c>
      <c r="BN10">
        <v>1.7951294787285091E-2</v>
      </c>
      <c r="BO10">
        <v>1.7436410255469891E-2</v>
      </c>
      <c r="BP10">
        <v>1.694317480072885E-2</v>
      </c>
      <c r="BQ10">
        <v>1.6470402435288162E-2</v>
      </c>
      <c r="BR10">
        <v>1.6016986260778899E-2</v>
      </c>
      <c r="BS10">
        <v>1.5581893251958721E-2</v>
      </c>
      <c r="BT10">
        <v>1.516415676001215E-2</v>
      </c>
      <c r="BU10">
        <v>1.476287329873162E-2</v>
      </c>
      <c r="BV10">
        <v>1.437719641786939E-2</v>
      </c>
      <c r="BW10">
        <v>1.4006333514912849E-2</v>
      </c>
      <c r="BX10">
        <v>1.364954075353191E-2</v>
      </c>
      <c r="BY10">
        <v>1.330612036896533E-2</v>
      </c>
      <c r="BZ10">
        <v>1.297541675742301E-2</v>
      </c>
      <c r="CA10">
        <v>1.2656813770777131E-2</v>
      </c>
      <c r="CB10">
        <v>1.2349732416402149E-2</v>
      </c>
      <c r="CC10">
        <v>1.205362638762849E-2</v>
      </c>
      <c r="CD10">
        <v>1.1767983046710159E-2</v>
      </c>
      <c r="CE10">
        <v>1.1492317442237381E-2</v>
      </c>
      <c r="CF10">
        <v>1.1226173120169171E-2</v>
      </c>
      <c r="CG10">
        <v>1.0969118850934949E-2</v>
      </c>
      <c r="CH10">
        <v>1.072074768874093E-2</v>
      </c>
      <c r="CI10">
        <v>1.0480675178966571E-2</v>
      </c>
      <c r="CJ10">
        <v>1.0248537100067109E-2</v>
      </c>
      <c r="CK10">
        <v>1.0023990155400011E-2</v>
      </c>
      <c r="CL10">
        <v>9.8067079322076266E-3</v>
      </c>
      <c r="CM10">
        <v>9.5963823169805743E-3</v>
      </c>
      <c r="CN10">
        <v>9.3927204580971004E-3</v>
      </c>
      <c r="CO10">
        <v>9.1954454993435301E-3</v>
      </c>
      <c r="CP10">
        <v>9.0042941165266489E-3</v>
      </c>
      <c r="CQ10">
        <v>8.8190167059053783E-3</v>
      </c>
      <c r="CR10">
        <v>8.6393759712425147E-3</v>
      </c>
      <c r="CS10">
        <v>8.4651463550859812E-3</v>
      </c>
      <c r="CT10">
        <v>8.2961141410514538E-3</v>
      </c>
      <c r="CU10">
        <v>8.1320748149755987E-3</v>
      </c>
      <c r="CV10">
        <v>7.9728349214616585E-3</v>
      </c>
    </row>
    <row r="11" spans="1:100" x14ac:dyDescent="0.25">
      <c r="I11">
        <v>2.222222222222222E-2</v>
      </c>
      <c r="J11">
        <v>0.10961227326699489</v>
      </c>
      <c r="K11">
        <v>0.1579747055643704</v>
      </c>
      <c r="L11">
        <v>0.18364686520355011</v>
      </c>
      <c r="M11">
        <v>0.1948261493734163</v>
      </c>
      <c r="N11">
        <v>0.19698723596461309</v>
      </c>
      <c r="O11">
        <v>0.19369002382520401</v>
      </c>
      <c r="P11">
        <v>0.187216339677619</v>
      </c>
      <c r="Q11">
        <v>0.1790158634397033</v>
      </c>
      <c r="R11">
        <v>0.17000191928482719</v>
      </c>
      <c r="S11">
        <v>0.16074328638784591</v>
      </c>
      <c r="T11">
        <v>0.15158757511168119</v>
      </c>
      <c r="U11">
        <v>0.1427404922713611</v>
      </c>
      <c r="V11">
        <v>0.13431687263860459</v>
      </c>
      <c r="W11">
        <v>0.12637364202802359</v>
      </c>
      <c r="X11">
        <v>0.1189311794068158</v>
      </c>
      <c r="Y11">
        <v>0.1119871941198545</v>
      </c>
      <c r="Z11">
        <v>0.1055257478212507</v>
      </c>
      <c r="AA11">
        <v>9.952311041250414E-2</v>
      </c>
      <c r="AB11">
        <v>9.3951542114775216E-2</v>
      </c>
      <c r="AC11">
        <v>8.8781712319841791E-2</v>
      </c>
      <c r="AD11">
        <v>8.3984220517438729E-2</v>
      </c>
      <c r="AE11">
        <v>7.9530525692268331E-2</v>
      </c>
      <c r="AF11">
        <v>7.5393486923646794E-2</v>
      </c>
      <c r="AG11">
        <v>7.1547649876781083E-2</v>
      </c>
      <c r="AH11">
        <v>6.7969368873602595E-2</v>
      </c>
      <c r="AI11">
        <v>6.4636824371944471E-2</v>
      </c>
      <c r="AJ11">
        <v>6.152997571549617E-2</v>
      </c>
      <c r="AK11">
        <v>5.8630475629929887E-2</v>
      </c>
      <c r="AL11">
        <v>5.592156393671769E-2</v>
      </c>
      <c r="AM11">
        <v>5.3387951967482861E-2</v>
      </c>
      <c r="AN11">
        <v>5.1015704954370973E-2</v>
      </c>
      <c r="AO11">
        <v>4.8792126965249233E-2</v>
      </c>
      <c r="AP11">
        <v>4.6705651310274397E-2</v>
      </c>
      <c r="AQ11">
        <v>4.4745737726054773E-2</v>
      </c>
      <c r="AR11">
        <v>4.2902777121891063E-2</v>
      </c>
      <c r="AS11">
        <v>4.1168004230546E-2</v>
      </c>
      <c r="AT11">
        <v>3.9533417782020908E-2</v>
      </c>
      <c r="AU11">
        <v>3.7991707912348287E-2</v>
      </c>
      <c r="AV11">
        <v>3.6536190819319241E-2</v>
      </c>
      <c r="AW11">
        <v>3.516074907899152E-2</v>
      </c>
      <c r="AX11">
        <v>3.3859778502035337E-2</v>
      </c>
      <c r="AY11">
        <v>3.2628139671853573E-2</v>
      </c>
      <c r="AZ11">
        <v>3.1461114802006598E-2</v>
      </c>
      <c r="BA11">
        <v>3.0354368499321441E-2</v>
      </c>
      <c r="BB11">
        <v>2.9303912652555459E-2</v>
      </c>
      <c r="BC11">
        <v>2.8306074730874011E-2</v>
      </c>
      <c r="BD11">
        <v>2.73574696007414E-2</v>
      </c>
      <c r="BE11">
        <v>2.6454973172174129E-2</v>
      </c>
      <c r="BF11">
        <v>2.559569989884266E-2</v>
      </c>
      <c r="BG11">
        <v>2.4776982182880599E-2</v>
      </c>
      <c r="BH11">
        <v>2.3996350033152519E-2</v>
      </c>
      <c r="BI11">
        <v>2.3251515553283669E-2</v>
      </c>
      <c r="BJ11">
        <v>2.254035630543923E-2</v>
      </c>
      <c r="BK11">
        <v>2.1860903521384738E-2</v>
      </c>
      <c r="BL11">
        <v>2.1211326345791811E-2</v>
      </c>
      <c r="BM11">
        <v>2.0589922826989931E-2</v>
      </c>
      <c r="BN11">
        <v>1.9995108748535249E-2</v>
      </c>
      <c r="BO11">
        <v>1.9425407322159801E-2</v>
      </c>
      <c r="BP11">
        <v>1.8879441804005529E-2</v>
      </c>
      <c r="BQ11">
        <v>1.8355927738914771E-2</v>
      </c>
      <c r="BR11">
        <v>1.785366501680145E-2</v>
      </c>
      <c r="BS11">
        <v>1.737153120307915E-2</v>
      </c>
      <c r="BT11">
        <v>1.6908476333491181E-2</v>
      </c>
      <c r="BU11">
        <v>1.6463516843070451E-2</v>
      </c>
      <c r="BV11">
        <v>1.6035732492272942E-2</v>
      </c>
      <c r="BW11">
        <v>1.5624258712844031E-2</v>
      </c>
      <c r="BX11">
        <v>1.5228284725333311E-2</v>
      </c>
      <c r="BY11">
        <v>1.484704744552324E-2</v>
      </c>
      <c r="BZ11">
        <v>1.447983261413794E-2</v>
      </c>
      <c r="CA11">
        <v>1.4125967136256161E-2</v>
      </c>
      <c r="CB11">
        <v>1.378481558674694E-2</v>
      </c>
      <c r="CC11">
        <v>1.345578318107221E-2</v>
      </c>
      <c r="CD11">
        <v>1.3138304298333601E-2</v>
      </c>
      <c r="CE11">
        <v>1.2831849887433969E-2</v>
      </c>
      <c r="CF11">
        <v>1.2535918841861331E-2</v>
      </c>
      <c r="CG11">
        <v>1.225003733868957E-2</v>
      </c>
      <c r="CH11">
        <v>1.197376384692608E-2</v>
      </c>
      <c r="CI11">
        <v>1.1706668737493301E-2</v>
      </c>
      <c r="CJ11">
        <v>1.1448356931467099E-2</v>
      </c>
      <c r="CK11">
        <v>1.119844855874056E-2</v>
      </c>
      <c r="CL11">
        <v>1.0956583296533481E-2</v>
      </c>
      <c r="CM11">
        <v>1.0722426474996591E-2</v>
      </c>
      <c r="CN11">
        <v>1.049565057704256E-2</v>
      </c>
      <c r="CO11">
        <v>1.027595547887262E-2</v>
      </c>
      <c r="CP11">
        <v>1.006305201960732E-2</v>
      </c>
      <c r="CQ11">
        <v>9.8566574881775414E-3</v>
      </c>
      <c r="CR11">
        <v>9.6565138831272036E-3</v>
      </c>
      <c r="CS11">
        <v>9.4623770611870564E-3</v>
      </c>
      <c r="CT11">
        <v>9.2740041654237812E-3</v>
      </c>
      <c r="CU11">
        <v>9.0911739492925293E-3</v>
      </c>
      <c r="CV11">
        <v>8.9136744555823096E-3</v>
      </c>
    </row>
    <row r="12" spans="1:100" x14ac:dyDescent="0.25">
      <c r="J12">
        <v>1.8181818181818191E-2</v>
      </c>
      <c r="K12">
        <v>9.1684517413196151E-2</v>
      </c>
      <c r="L12">
        <v>0.13498192668960829</v>
      </c>
      <c r="M12">
        <v>0.16002185176295269</v>
      </c>
      <c r="N12">
        <v>0.17278964725360191</v>
      </c>
      <c r="O12">
        <v>0.17749191339170359</v>
      </c>
      <c r="P12">
        <v>0.17700425351565841</v>
      </c>
      <c r="Q12">
        <v>0.17326210948945611</v>
      </c>
      <c r="R12">
        <v>0.16755658452714281</v>
      </c>
      <c r="S12">
        <v>0.16074328638784591</v>
      </c>
      <c r="T12">
        <v>0.15338519033217499</v>
      </c>
      <c r="U12">
        <v>0.1458490194442417</v>
      </c>
      <c r="V12">
        <v>0.1383699363858073</v>
      </c>
      <c r="W12">
        <v>0.1310949418736036</v>
      </c>
      <c r="X12">
        <v>0.1241120389379493</v>
      </c>
      <c r="Y12">
        <v>0.1174698840938079</v>
      </c>
      <c r="Z12">
        <v>0.11119106525744241</v>
      </c>
      <c r="AA12">
        <v>0.1052810937610604</v>
      </c>
      <c r="AB12">
        <v>9.9734501637144132E-2</v>
      </c>
      <c r="AC12">
        <v>9.4538975193880923E-2</v>
      </c>
      <c r="AD12">
        <v>8.9678151045199522E-2</v>
      </c>
      <c r="AE12">
        <v>8.5133497949562875E-2</v>
      </c>
      <c r="AF12">
        <v>8.088557219323908E-2</v>
      </c>
      <c r="AG12">
        <v>7.6914843063648736E-2</v>
      </c>
      <c r="AH12">
        <v>7.3202223274507691E-2</v>
      </c>
      <c r="AI12">
        <v>6.9729397257381365E-2</v>
      </c>
      <c r="AJ12">
        <v>6.6479011534427132E-2</v>
      </c>
      <c r="AK12">
        <v>6.3434771664873796E-2</v>
      </c>
      <c r="AL12">
        <v>6.0581476613188481E-2</v>
      </c>
      <c r="AM12">
        <v>5.7905011981715958E-2</v>
      </c>
      <c r="AN12">
        <v>5.5392316917636797E-2</v>
      </c>
      <c r="AO12">
        <v>5.3031334944144921E-2</v>
      </c>
      <c r="AP12">
        <v>5.0810955708749522E-2</v>
      </c>
      <c r="AQ12">
        <v>4.8720952525766137E-2</v>
      </c>
      <c r="AR12">
        <v>4.6751918855467131E-2</v>
      </c>
      <c r="AS12">
        <v>4.4895205608298031E-2</v>
      </c>
      <c r="AT12">
        <v>4.3142861261165788E-2</v>
      </c>
      <c r="AU12">
        <v>4.1487574528412223E-2</v>
      </c>
      <c r="AV12">
        <v>3.9922621162091727E-2</v>
      </c>
      <c r="AW12">
        <v>3.84418141864847E-2</v>
      </c>
      <c r="AX12">
        <v>3.7039458201240362E-2</v>
      </c>
      <c r="AY12">
        <v>3.5710307023002298E-2</v>
      </c>
      <c r="AZ12">
        <v>3.4449525169034281E-2</v>
      </c>
      <c r="BA12">
        <v>3.3252652084830553E-2</v>
      </c>
      <c r="BB12">
        <v>3.2115570827118863E-2</v>
      </c>
      <c r="BC12">
        <v>3.1034477893623388E-2</v>
      </c>
      <c r="BD12">
        <v>3.0005856089477739E-2</v>
      </c>
      <c r="BE12">
        <v>2.9026451747234529E-2</v>
      </c>
      <c r="BF12">
        <v>2.8093250945297799E-2</v>
      </c>
      <c r="BG12">
        <v>2.7203460733645948E-2</v>
      </c>
      <c r="BH12">
        <v>2.6354489455839462E-2</v>
      </c>
      <c r="BI12">
        <v>2.554393155354116E-2</v>
      </c>
      <c r="BJ12">
        <v>2.4769551141123881E-2</v>
      </c>
      <c r="BK12">
        <v>2.4029268586285572E-2</v>
      </c>
      <c r="BL12">
        <v>2.3321147799903071E-2</v>
      </c>
      <c r="BM12">
        <v>2.264338707236865E-2</v>
      </c>
      <c r="BN12">
        <v>2.1994304658945509E-2</v>
      </c>
      <c r="BO12">
        <v>2.137233142415939E-2</v>
      </c>
      <c r="BP12">
        <v>2.0776005601805349E-2</v>
      </c>
      <c r="BQ12">
        <v>2.0203953243755169E-2</v>
      </c>
      <c r="BR12">
        <v>1.9654895392641581E-2</v>
      </c>
      <c r="BS12">
        <v>1.9127636615225471E-2</v>
      </c>
      <c r="BT12">
        <v>1.8621051774837059E-2</v>
      </c>
      <c r="BU12">
        <v>1.8134086334689589E-2</v>
      </c>
      <c r="BV12">
        <v>1.7665756036349341E-2</v>
      </c>
      <c r="BW12">
        <v>1.721513453806996E-2</v>
      </c>
      <c r="BX12">
        <v>1.6781350550243199E-2</v>
      </c>
      <c r="BY12">
        <v>1.6363581519692381E-2</v>
      </c>
      <c r="BZ12">
        <v>1.596106204805953E-2</v>
      </c>
      <c r="CA12">
        <v>1.5573065245471029E-2</v>
      </c>
      <c r="CB12">
        <v>1.519891077040264E-2</v>
      </c>
      <c r="CC12">
        <v>1.4837945445245731E-2</v>
      </c>
      <c r="CD12">
        <v>1.4489572167000491E-2</v>
      </c>
      <c r="CE12">
        <v>1.415321632875877E-2</v>
      </c>
      <c r="CF12">
        <v>1.3828334292204619E-2</v>
      </c>
      <c r="CG12">
        <v>1.3514430047171519E-2</v>
      </c>
      <c r="CH12">
        <v>1.3210993327638591E-2</v>
      </c>
      <c r="CI12">
        <v>1.291756659783686E-2</v>
      </c>
      <c r="CJ12">
        <v>1.263375218419744E-2</v>
      </c>
      <c r="CK12">
        <v>1.2359109774449579E-2</v>
      </c>
      <c r="CL12">
        <v>1.2093255243017031E-2</v>
      </c>
      <c r="CM12">
        <v>1.1835829995875151E-2</v>
      </c>
      <c r="CN12">
        <v>1.158648134060134E-2</v>
      </c>
      <c r="CO12">
        <v>1.1344866398757919E-2</v>
      </c>
      <c r="CP12">
        <v>1.1110673062113489E-2</v>
      </c>
      <c r="CQ12">
        <v>1.088362236164535E-2</v>
      </c>
      <c r="CR12">
        <v>1.0663422249012341E-2</v>
      </c>
      <c r="CS12">
        <v>1.0449785010292889E-2</v>
      </c>
      <c r="CT12">
        <v>1.024246136383552E-2</v>
      </c>
      <c r="CU12">
        <v>1.0041221775631021E-2</v>
      </c>
      <c r="CV12">
        <v>9.8457963535961198E-3</v>
      </c>
    </row>
    <row r="13" spans="1:100" x14ac:dyDescent="0.25">
      <c r="K13">
        <v>1.515151515151515E-2</v>
      </c>
      <c r="L13">
        <v>7.780168674681906E-2</v>
      </c>
      <c r="M13">
        <v>0.1165866558987117</v>
      </c>
      <c r="N13">
        <v>0.14051169980242759</v>
      </c>
      <c r="O13">
        <v>0.1540269808071672</v>
      </c>
      <c r="P13">
        <v>0.16039466199761859</v>
      </c>
      <c r="Q13">
        <v>0.16193951723760261</v>
      </c>
      <c r="R13">
        <v>0.16029092404406031</v>
      </c>
      <c r="S13">
        <v>0.15658010264747491</v>
      </c>
      <c r="T13">
        <v>0.15158757511168119</v>
      </c>
      <c r="U13">
        <v>0.1458490194442417</v>
      </c>
      <c r="V13">
        <v>0.13972978001274741</v>
      </c>
      <c r="W13">
        <v>0.13347684386698611</v>
      </c>
      <c r="X13">
        <v>0.12725497753833151</v>
      </c>
      <c r="Y13">
        <v>0.1211718462884433</v>
      </c>
      <c r="Z13">
        <v>0.1152955002546506</v>
      </c>
      <c r="AA13">
        <v>0.1096665737959764</v>
      </c>
      <c r="AB13">
        <v>0.1043068164636734</v>
      </c>
      <c r="AC13">
        <v>9.9225071004288137E-2</v>
      </c>
      <c r="AD13">
        <v>9.4421468377844181E-2</v>
      </c>
      <c r="AE13">
        <v>8.9890372957324868E-2</v>
      </c>
      <c r="AF13">
        <v>8.5622448531844003E-2</v>
      </c>
      <c r="AG13">
        <v>8.160610385034725E-2</v>
      </c>
      <c r="AH13">
        <v>7.7828499133360041E-2</v>
      </c>
      <c r="AI13">
        <v>7.4276241315511415E-2</v>
      </c>
      <c r="AJ13">
        <v>7.0935858364405191E-2</v>
      </c>
      <c r="AK13">
        <v>6.7794116801811494E-2</v>
      </c>
      <c r="AL13">
        <v>6.4838228087627334E-2</v>
      </c>
      <c r="AM13">
        <v>6.2055976477390043E-2</v>
      </c>
      <c r="AN13">
        <v>5.9435791669275401E-2</v>
      </c>
      <c r="AO13">
        <v>5.6966782981048007E-2</v>
      </c>
      <c r="AP13">
        <v>5.4638747095493247E-2</v>
      </c>
      <c r="AQ13">
        <v>5.2442157718367313E-2</v>
      </c>
      <c r="AR13">
        <v>5.0368143790096458E-2</v>
      </c>
      <c r="AS13">
        <v>4.8408459899614183E-2</v>
      </c>
      <c r="AT13">
        <v>4.655545279936061E-2</v>
      </c>
      <c r="AU13">
        <v>4.4802025587980243E-2</v>
      </c>
      <c r="AV13">
        <v>4.3141601312978242E-2</v>
      </c>
      <c r="AW13">
        <v>4.1568086923327127E-2</v>
      </c>
      <c r="AX13">
        <v>4.0075838591054909E-2</v>
      </c>
      <c r="AY13">
        <v>3.8659629016336433E-2</v>
      </c>
      <c r="AZ13">
        <v>3.7314614352503862E-2</v>
      </c>
      <c r="BA13">
        <v>3.6036306125127093E-2</v>
      </c>
      <c r="BB13">
        <v>3.4820543524505053E-2</v>
      </c>
      <c r="BC13">
        <v>3.3663467038485113E-2</v>
      </c>
      <c r="BD13">
        <v>3.2561495118825258E-2</v>
      </c>
      <c r="BE13">
        <v>3.1511303243589403E-2</v>
      </c>
      <c r="BF13">
        <v>3.050980179196822E-2</v>
      </c>
      <c r="BG13">
        <v>2.9554118140365428E-2</v>
      </c>
      <c r="BH13">
        <v>2.8641582710301781E-2</v>
      </c>
      <c r="BI13">
        <v>2.7769706060004739E-2</v>
      </c>
      <c r="BJ13">
        <v>2.693617383560809E-2</v>
      </c>
      <c r="BK13">
        <v>2.613882847786449E-2</v>
      </c>
      <c r="BL13">
        <v>2.5375655534598009E-2</v>
      </c>
      <c r="BM13">
        <v>2.4644770265360352E-2</v>
      </c>
      <c r="BN13">
        <v>2.394442232259817E-2</v>
      </c>
      <c r="BO13">
        <v>2.3272971159948429E-2</v>
      </c>
      <c r="BP13">
        <v>2.2628875454408389E-2</v>
      </c>
      <c r="BQ13">
        <v>2.201070031239058E-2</v>
      </c>
      <c r="BR13">
        <v>2.1417096552187351E-2</v>
      </c>
      <c r="BS13">
        <v>2.0846821932295919E-2</v>
      </c>
      <c r="BT13">
        <v>2.029866301942997E-2</v>
      </c>
      <c r="BU13">
        <v>1.9771528328213571E-2</v>
      </c>
      <c r="BV13">
        <v>1.9264370041428829E-2</v>
      </c>
      <c r="BW13">
        <v>1.8776211587545149E-2</v>
      </c>
      <c r="BX13">
        <v>1.8306117232813869E-2</v>
      </c>
      <c r="BY13">
        <v>1.7853232795612101E-2</v>
      </c>
      <c r="BZ13">
        <v>1.741673851813634E-2</v>
      </c>
      <c r="CA13">
        <v>1.6995853069734512E-2</v>
      </c>
      <c r="CB13">
        <v>1.658983992362922E-2</v>
      </c>
      <c r="CC13">
        <v>1.6198078520142042E-2</v>
      </c>
      <c r="CD13">
        <v>1.5819840400195271E-2</v>
      </c>
      <c r="CE13">
        <v>1.545456408946054E-2</v>
      </c>
      <c r="CF13">
        <v>1.5101682649020469E-2</v>
      </c>
      <c r="CG13">
        <v>1.476057378739234E-2</v>
      </c>
      <c r="CH13">
        <v>1.443078461260552E-2</v>
      </c>
      <c r="CI13">
        <v>1.411184596762439E-2</v>
      </c>
      <c r="CJ13">
        <v>1.3803241481818589E-2</v>
      </c>
      <c r="CK13">
        <v>1.350454713636488E-2</v>
      </c>
      <c r="CL13">
        <v>1.321538990532533E-2</v>
      </c>
      <c r="CM13">
        <v>1.293527582681734E-2</v>
      </c>
      <c r="CN13">
        <v>1.2663916414510871E-2</v>
      </c>
      <c r="CO13">
        <v>1.240099853797718E-2</v>
      </c>
      <c r="CP13">
        <v>1.2145992020541421E-2</v>
      </c>
      <c r="CQ13">
        <v>1.189882484509576E-2</v>
      </c>
      <c r="CR13">
        <v>1.16590480043004E-2</v>
      </c>
      <c r="CS13">
        <v>1.1426330548928811E-2</v>
      </c>
      <c r="CT13">
        <v>1.120048792799104E-2</v>
      </c>
      <c r="CU13">
        <v>1.098125693510941E-2</v>
      </c>
      <c r="CV13">
        <v>1.076838756894378E-2</v>
      </c>
    </row>
    <row r="14" spans="1:100" x14ac:dyDescent="0.25">
      <c r="L14">
        <v>1.282051282051282E-2</v>
      </c>
      <c r="M14">
        <v>6.6837284497681407E-2</v>
      </c>
      <c r="N14">
        <v>0.10166007032571819</v>
      </c>
      <c r="O14">
        <v>0.124255382132515</v>
      </c>
      <c r="P14">
        <v>0.13798774620192439</v>
      </c>
      <c r="Q14">
        <v>0.1454119615738029</v>
      </c>
      <c r="R14">
        <v>0.14841394259593599</v>
      </c>
      <c r="S14">
        <v>0.14836155407091481</v>
      </c>
      <c r="T14">
        <v>0.14623686244797629</v>
      </c>
      <c r="U14">
        <v>0.1427404922713611</v>
      </c>
      <c r="V14">
        <v>0.13836993638580741</v>
      </c>
      <c r="W14">
        <v>0.13347684386698611</v>
      </c>
      <c r="X14">
        <v>0.1283083892986619</v>
      </c>
      <c r="Y14">
        <v>0.123036963800083</v>
      </c>
      <c r="Z14">
        <v>0.11778143658595649</v>
      </c>
      <c r="AA14">
        <v>0.112622380077239</v>
      </c>
      <c r="AB14">
        <v>0.1076129858335684</v>
      </c>
      <c r="AC14">
        <v>0.1027869053072379</v>
      </c>
      <c r="AD14">
        <v>9.8163893013714684E-2</v>
      </c>
      <c r="AE14">
        <v>9.3753875546803894E-2</v>
      </c>
      <c r="AF14">
        <v>8.9559889747052077E-2</v>
      </c>
      <c r="AG14">
        <v>8.5580205972092802E-2</v>
      </c>
      <c r="AH14">
        <v>8.1809862335831277E-2</v>
      </c>
      <c r="AI14">
        <v>7.8241771954031272E-2</v>
      </c>
      <c r="AJ14">
        <v>7.4867519862887838E-2</v>
      </c>
      <c r="AK14">
        <v>7.1677933929897644E-2</v>
      </c>
      <c r="AL14">
        <v>6.8663490919772308E-2</v>
      </c>
      <c r="AM14">
        <v>6.5814602223463262E-2</v>
      </c>
      <c r="AN14">
        <v>6.3121811727285149E-2</v>
      </c>
      <c r="AO14">
        <v>6.0575929662808781E-2</v>
      </c>
      <c r="AP14">
        <v>5.8168119816836131E-2</v>
      </c>
      <c r="AQ14">
        <v>5.5889953061405907E-2</v>
      </c>
      <c r="AR14">
        <v>5.3733436474112412E-2</v>
      </c>
      <c r="AS14">
        <v>5.1691025127918663E-2</v>
      </c>
      <c r="AT14">
        <v>4.9755621810904843E-2</v>
      </c>
      <c r="AU14">
        <v>4.7920568176923202E-2</v>
      </c>
      <c r="AV14">
        <v>4.617962985828674E-2</v>
      </c>
      <c r="AW14">
        <v>4.4526978837788347E-2</v>
      </c>
      <c r="AX14">
        <v>4.2957173182104243E-2</v>
      </c>
      <c r="AY14">
        <v>4.1465133901844621E-2</v>
      </c>
      <c r="AZ14">
        <v>4.0046126262049439E-2</v>
      </c>
      <c r="BA14">
        <v>3.869573538032197E-2</v>
      </c>
      <c r="BB14">
        <v>3.7409845789034959E-2</v>
      </c>
      <c r="BC14">
        <v>3.6184622214261108E-2</v>
      </c>
      <c r="BD14">
        <v>3.5016488353454563E-2</v>
      </c>
      <c r="BE14">
        <v>3.3902112447240923E-2</v>
      </c>
      <c r="BF14">
        <v>3.2838383022645107E-2</v>
      </c>
      <c r="BG14">
        <v>3.1822402938394813E-2</v>
      </c>
      <c r="BH14">
        <v>3.085145965730654E-2</v>
      </c>
      <c r="BI14">
        <v>2.9923031384620019E-2</v>
      </c>
      <c r="BJ14">
        <v>2.9034753200213211E-2</v>
      </c>
      <c r="BK14">
        <v>2.8184421865007209E-2</v>
      </c>
      <c r="BL14">
        <v>2.736997418875323E-2</v>
      </c>
      <c r="BM14">
        <v>2.6589471192566199E-2</v>
      </c>
      <c r="BN14">
        <v>2.584110997250692E-2</v>
      </c>
      <c r="BO14">
        <v>2.512320511061493E-2</v>
      </c>
      <c r="BP14">
        <v>2.4434157095159059E-2</v>
      </c>
      <c r="BQ14">
        <v>2.3772488870186809E-2</v>
      </c>
      <c r="BR14">
        <v>2.313679589600285E-2</v>
      </c>
      <c r="BS14">
        <v>2.2525769498867951E-2</v>
      </c>
      <c r="BT14">
        <v>2.1938193870971422E-2</v>
      </c>
      <c r="BU14">
        <v>2.1372860136736869E-2</v>
      </c>
      <c r="BV14">
        <v>2.0828736998621339E-2</v>
      </c>
      <c r="BW14">
        <v>2.0304774238957352E-2</v>
      </c>
      <c r="BX14">
        <v>1.980000828813451E-2</v>
      </c>
      <c r="BY14">
        <v>1.9313525297989759E-2</v>
      </c>
      <c r="BZ14">
        <v>1.8844493499095581E-2</v>
      </c>
      <c r="CA14">
        <v>1.8392077669063509E-2</v>
      </c>
      <c r="CB14">
        <v>1.7955425884806302E-2</v>
      </c>
      <c r="CC14">
        <v>1.7534094819666689E-2</v>
      </c>
      <c r="CD14">
        <v>1.7127141968484191E-2</v>
      </c>
      <c r="CE14">
        <v>1.6734004419180871E-2</v>
      </c>
      <c r="CF14">
        <v>1.6354124616268149E-2</v>
      </c>
      <c r="CG14">
        <v>1.598679345584544E-2</v>
      </c>
      <c r="CH14">
        <v>1.563156968738114E-2</v>
      </c>
      <c r="CI14">
        <v>1.5287925863909259E-2</v>
      </c>
      <c r="CJ14">
        <v>1.495541366329807E-2</v>
      </c>
      <c r="CK14">
        <v>1.4633269256676049E-2</v>
      </c>
      <c r="CL14">
        <v>1.4321524252860649E-2</v>
      </c>
      <c r="CM14">
        <v>1.4019564772466299E-2</v>
      </c>
      <c r="CN14">
        <v>1.3726806937290691E-2</v>
      </c>
      <c r="CO14">
        <v>1.344312930706075E-2</v>
      </c>
      <c r="CP14">
        <v>1.31677781723842E-2</v>
      </c>
      <c r="CQ14">
        <v>1.290118496141897E-2</v>
      </c>
      <c r="CR14">
        <v>1.264199577223587E-2</v>
      </c>
      <c r="CS14">
        <v>1.2390731790770061E-2</v>
      </c>
      <c r="CT14">
        <v>1.2147019717162651E-2</v>
      </c>
      <c r="CU14">
        <v>1.191018047205623E-2</v>
      </c>
      <c r="CV14">
        <v>1.1680392507555979E-2</v>
      </c>
    </row>
    <row r="15" spans="1:100" x14ac:dyDescent="0.25">
      <c r="M15">
        <v>1.098901098901099E-2</v>
      </c>
      <c r="N15">
        <v>5.802989302860128E-2</v>
      </c>
      <c r="O15">
        <v>8.9393697325930499E-2</v>
      </c>
      <c r="P15">
        <v>0.1105929090070291</v>
      </c>
      <c r="Q15">
        <v>0.1242105331329631</v>
      </c>
      <c r="R15">
        <v>0.13226728044874661</v>
      </c>
      <c r="S15">
        <v>0.13630048235872499</v>
      </c>
      <c r="T15">
        <v>0.1374584628600386</v>
      </c>
      <c r="U15">
        <v>0.1365896886137431</v>
      </c>
      <c r="V15">
        <v>0.13431687263860459</v>
      </c>
      <c r="W15">
        <v>0.1310949418736036</v>
      </c>
      <c r="X15">
        <v>0.12725497753833151</v>
      </c>
      <c r="Y15">
        <v>0.123036963800083</v>
      </c>
      <c r="Z15">
        <v>0.11861397766276301</v>
      </c>
      <c r="AA15">
        <v>0.114109979672628</v>
      </c>
      <c r="AB15">
        <v>0.1096128778458903</v>
      </c>
      <c r="AC15">
        <v>0.1051841215964552</v>
      </c>
      <c r="AD15">
        <v>0.10086575479865049</v>
      </c>
      <c r="AE15">
        <v>9.6685608948003487E-2</v>
      </c>
      <c r="AF15">
        <v>9.2661133442246718E-2</v>
      </c>
      <c r="AG15">
        <v>8.8802225283579422E-2</v>
      </c>
      <c r="AH15">
        <v>8.5113322437312705E-2</v>
      </c>
      <c r="AI15">
        <v>8.159495388396179E-2</v>
      </c>
      <c r="AJ15">
        <v>7.8244887728835047E-2</v>
      </c>
      <c r="AK15">
        <v>7.505898118771788E-2</v>
      </c>
      <c r="AL15">
        <v>7.2031808925453134E-2</v>
      </c>
      <c r="AM15">
        <v>6.915712627694845E-2</v>
      </c>
      <c r="AN15">
        <v>6.6428209232821639E-2</v>
      </c>
      <c r="AO15">
        <v>6.3838102374592573E-2</v>
      </c>
      <c r="AP15">
        <v>6.1379797975900541E-2</v>
      </c>
      <c r="AQ15">
        <v>5.9046363626306643E-2</v>
      </c>
      <c r="AR15">
        <v>5.683103144202202E-2</v>
      </c>
      <c r="AS15">
        <v>5.472725869442116E-2</v>
      </c>
      <c r="AT15">
        <v>5.2728767044027028E-2</v>
      </c>
      <c r="AU15">
        <v>5.0829565895606818E-2</v>
      </c>
      <c r="AV15">
        <v>4.9023964736656579E-2</v>
      </c>
      <c r="AW15">
        <v>4.7306576300269888E-2</v>
      </c>
      <c r="AX15">
        <v>4.5672313992326879E-2</v>
      </c>
      <c r="AY15">
        <v>4.4116385766586413E-2</v>
      </c>
      <c r="AZ15">
        <v>4.2634283333889821E-2</v>
      </c>
      <c r="BA15">
        <v>4.1221771828687838E-2</v>
      </c>
      <c r="BB15">
        <v>3.9874875529055942E-2</v>
      </c>
      <c r="BC15">
        <v>3.8589865734097867E-2</v>
      </c>
      <c r="BD15">
        <v>3.7363247236664357E-2</v>
      </c>
      <c r="BE15">
        <v>3.6191744233824673E-2</v>
      </c>
      <c r="BF15">
        <v>3.5072284552992508E-2</v>
      </c>
      <c r="BG15">
        <v>3.4001991496877278E-2</v>
      </c>
      <c r="BH15">
        <v>3.2978170186033377E-2</v>
      </c>
      <c r="BI15">
        <v>3.199829140584267E-2</v>
      </c>
      <c r="BJ15">
        <v>3.105999916358336E-2</v>
      </c>
      <c r="BK15">
        <v>3.016104171936395E-2</v>
      </c>
      <c r="BL15">
        <v>2.9299369599020741E-2</v>
      </c>
      <c r="BM15">
        <v>2.84730050712559E-2</v>
      </c>
      <c r="BN15">
        <v>2.7680135744512259E-2</v>
      </c>
      <c r="BO15">
        <v>2.6919021605133538E-2</v>
      </c>
      <c r="BP15">
        <v>2.618806040705619E-2</v>
      </c>
      <c r="BQ15">
        <v>2.548571822356276E-2</v>
      </c>
      <c r="BR15">
        <v>2.4810536567840599E-2</v>
      </c>
      <c r="BS15">
        <v>2.4161240420700131E-2</v>
      </c>
      <c r="BT15">
        <v>2.353651974369628E-2</v>
      </c>
      <c r="BU15">
        <v>2.2935138799146111E-2</v>
      </c>
      <c r="BV15">
        <v>2.2356056913558821E-2</v>
      </c>
      <c r="BW15">
        <v>2.1798174510619359E-2</v>
      </c>
      <c r="BX15">
        <v>2.1260547334339599E-2</v>
      </c>
      <c r="BY15">
        <v>2.074211460809311E-2</v>
      </c>
      <c r="BZ15">
        <v>2.0242076654065449E-2</v>
      </c>
      <c r="CA15">
        <v>1.975967200110669E-2</v>
      </c>
      <c r="CB15">
        <v>1.929386199202077E-2</v>
      </c>
      <c r="CC15">
        <v>1.88441286741939E-2</v>
      </c>
      <c r="CD15">
        <v>1.840969796622284E-2</v>
      </c>
      <c r="CE15">
        <v>1.7989768479637291E-2</v>
      </c>
      <c r="CF15">
        <v>1.7583812626826439E-2</v>
      </c>
      <c r="CG15">
        <v>1.7191276570959941E-2</v>
      </c>
      <c r="CH15">
        <v>1.6811684977448591E-2</v>
      </c>
      <c r="CI15">
        <v>1.6444311693440138E-2</v>
      </c>
      <c r="CJ15">
        <v>1.6088736603021001E-2</v>
      </c>
      <c r="CK15">
        <v>1.574427678896009E-2</v>
      </c>
      <c r="CL15">
        <v>1.5410187695337561E-2</v>
      </c>
      <c r="CM15">
        <v>1.5087321438177851E-2</v>
      </c>
      <c r="CN15">
        <v>1.477383801842171E-2</v>
      </c>
      <c r="CO15">
        <v>1.4469832939812379E-2</v>
      </c>
      <c r="CP15">
        <v>1.417554248797805E-2</v>
      </c>
      <c r="CQ15">
        <v>1.389009323622918E-2</v>
      </c>
      <c r="CR15">
        <v>1.361182257079099E-2</v>
      </c>
      <c r="CS15">
        <v>1.334301431876957E-2</v>
      </c>
      <c r="CT15">
        <v>1.308176107511917E-2</v>
      </c>
      <c r="CU15">
        <v>1.282757037507205E-2</v>
      </c>
      <c r="CV15">
        <v>1.2579629111334719E-2</v>
      </c>
    </row>
    <row r="16" spans="1:100" x14ac:dyDescent="0.25">
      <c r="N16">
        <v>9.5238095238095247E-3</v>
      </c>
      <c r="O16">
        <v>5.0850361005919893E-2</v>
      </c>
      <c r="P16">
        <v>7.9198270503686635E-2</v>
      </c>
      <c r="Q16">
        <v>9.9016271717502657E-2</v>
      </c>
      <c r="R16">
        <v>0.1123153414773068</v>
      </c>
      <c r="S16">
        <v>0.1207092276286701</v>
      </c>
      <c r="T16">
        <v>0.12545812119087671</v>
      </c>
      <c r="U16">
        <v>0.12752769665343311</v>
      </c>
      <c r="V16">
        <v>0.12764947470175569</v>
      </c>
      <c r="W16">
        <v>0.12637364202802359</v>
      </c>
      <c r="X16">
        <v>0.1241120389379493</v>
      </c>
      <c r="Y16">
        <v>0.1211718462884433</v>
      </c>
      <c r="Z16">
        <v>0.11778143658595649</v>
      </c>
      <c r="AA16">
        <v>0.114109979672628</v>
      </c>
      <c r="AB16">
        <v>0.1102822167796826</v>
      </c>
      <c r="AC16">
        <v>0.10638955872366811</v>
      </c>
      <c r="AD16">
        <v>0.1024984135954706</v>
      </c>
      <c r="AE16">
        <v>9.8656436540761727E-2</v>
      </c>
      <c r="AF16">
        <v>9.4897224394592639E-2</v>
      </c>
      <c r="AG16">
        <v>9.1243846806917647E-2</v>
      </c>
      <c r="AH16">
        <v>8.7711506159074429E-2</v>
      </c>
      <c r="AI16">
        <v>8.4309544130504829E-2</v>
      </c>
      <c r="AJ16">
        <v>8.1042957322504661E-2</v>
      </c>
      <c r="AK16">
        <v>7.7913543156387585E-2</v>
      </c>
      <c r="AL16">
        <v>7.4920766690629886E-2</v>
      </c>
      <c r="AM16">
        <v>7.2062416301861651E-2</v>
      </c>
      <c r="AN16">
        <v>6.9335099286809546E-2</v>
      </c>
      <c r="AO16">
        <v>6.6734615856852697E-2</v>
      </c>
      <c r="AP16">
        <v>6.4256240596886838E-2</v>
      </c>
      <c r="AQ16">
        <v>6.1894933424874572E-2</v>
      </c>
      <c r="AR16">
        <v>5.9645496755241792E-2</v>
      </c>
      <c r="AS16">
        <v>5.7502691656715482E-2</v>
      </c>
      <c r="AT16">
        <v>5.5461322647270501E-2</v>
      </c>
      <c r="AU16">
        <v>5.3516298638774898E-2</v>
      </c>
      <c r="AV16">
        <v>5.1662675832152873E-2</v>
      </c>
      <c r="AW16">
        <v>4.9895686366568152E-2</v>
      </c>
      <c r="AX16">
        <v>4.8210757553044173E-2</v>
      </c>
      <c r="AY16">
        <v>4.660352120212953E-2</v>
      </c>
      <c r="AZ16">
        <v>4.5069820301757151E-2</v>
      </c>
      <c r="BA16">
        <v>4.3605708299282141E-2</v>
      </c>
      <c r="BB16">
        <v>4.220744481341214E-2</v>
      </c>
      <c r="BC16">
        <v>4.0871496350123687E-2</v>
      </c>
      <c r="BD16">
        <v>3.9594518806753257E-2</v>
      </c>
      <c r="BE16">
        <v>3.8373363700020653E-2</v>
      </c>
      <c r="BF16">
        <v>3.7205061733355152E-2</v>
      </c>
      <c r="BG16">
        <v>3.6086810027497009E-2</v>
      </c>
      <c r="BH16">
        <v>3.5015970787918571E-2</v>
      </c>
      <c r="BI16">
        <v>3.3990070864873982E-2</v>
      </c>
      <c r="BJ16">
        <v>3.3006760397261997E-2</v>
      </c>
      <c r="BK16">
        <v>3.2063849072044598E-2</v>
      </c>
      <c r="BL16">
        <v>3.1159275326957999E-2</v>
      </c>
      <c r="BM16">
        <v>3.0291067028176029E-2</v>
      </c>
      <c r="BN16">
        <v>2.9457398655899601E-2</v>
      </c>
      <c r="BO16">
        <v>2.865652957023123E-2</v>
      </c>
      <c r="BP16">
        <v>2.7886883143338981E-2</v>
      </c>
      <c r="BQ16">
        <v>2.7146850849959311E-2</v>
      </c>
      <c r="BR16">
        <v>2.6435057589720791E-2</v>
      </c>
      <c r="BS16">
        <v>2.575005274870204E-2</v>
      </c>
      <c r="BT16">
        <v>2.50906951762279E-2</v>
      </c>
      <c r="BU16">
        <v>2.4455557169657121E-2</v>
      </c>
      <c r="BV16">
        <v>2.384364403457967E-2</v>
      </c>
      <c r="BW16">
        <v>2.3253858994046209E-2</v>
      </c>
      <c r="BX16">
        <v>2.2685011665085509E-2</v>
      </c>
      <c r="BY16">
        <v>2.213659869361197E-2</v>
      </c>
      <c r="BZ16">
        <v>2.16073833348145E-2</v>
      </c>
      <c r="CA16">
        <v>2.1096348521386289E-2</v>
      </c>
      <c r="CB16">
        <v>2.0602973335087892E-2</v>
      </c>
      <c r="CC16">
        <v>2.0126111868811681E-2</v>
      </c>
      <c r="CD16">
        <v>1.9665517974982338E-2</v>
      </c>
      <c r="CE16">
        <v>1.9219998512902809E-2</v>
      </c>
      <c r="CF16">
        <v>1.8789559550072579E-2</v>
      </c>
      <c r="CG16">
        <v>1.8373009976574501E-2</v>
      </c>
      <c r="CH16">
        <v>1.7969060063257249E-2</v>
      </c>
      <c r="CI16">
        <v>1.75792275144868E-2</v>
      </c>
      <c r="CJ16">
        <v>1.720189087106699E-2</v>
      </c>
      <c r="CK16">
        <v>1.6835823652383151E-2</v>
      </c>
      <c r="CL16">
        <v>1.6480573840740979E-2</v>
      </c>
      <c r="CM16">
        <v>1.6137176021935779E-2</v>
      </c>
      <c r="CN16">
        <v>1.5802988493685399E-2</v>
      </c>
      <c r="CO16">
        <v>1.548034486423653E-2</v>
      </c>
      <c r="CP16">
        <v>1.516694490680498E-2</v>
      </c>
      <c r="CQ16">
        <v>1.48635006565437E-2</v>
      </c>
      <c r="CR16">
        <v>1.4566153502665919E-2</v>
      </c>
      <c r="CS16">
        <v>1.4280406446477651E-2</v>
      </c>
      <c r="CT16">
        <v>1.4001981437648201E-2</v>
      </c>
      <c r="CU16">
        <v>1.372918986706655E-2</v>
      </c>
      <c r="CV16">
        <v>1.3472967986992639E-2</v>
      </c>
    </row>
    <row r="17" spans="15:100" x14ac:dyDescent="0.25">
      <c r="O17">
        <v>8.3333333333333332E-3</v>
      </c>
      <c r="P17">
        <v>4.4921940543254123E-2</v>
      </c>
      <c r="Q17">
        <v>7.0637166885633873E-2</v>
      </c>
      <c r="R17">
        <v>8.9131757099204373E-2</v>
      </c>
      <c r="S17">
        <v>0.1019914996994465</v>
      </c>
      <c r="T17">
        <v>0.11051708321912081</v>
      </c>
      <c r="U17">
        <v>0.11574764465394211</v>
      </c>
      <c r="V17">
        <v>0.1184975106627424</v>
      </c>
      <c r="W17">
        <v>0.1193971937024937</v>
      </c>
      <c r="X17">
        <v>0.1189311794068158</v>
      </c>
      <c r="Y17">
        <v>0.1174698840938079</v>
      </c>
      <c r="Z17">
        <v>0.1152955002546506</v>
      </c>
      <c r="AA17">
        <v>0.112622380077239</v>
      </c>
      <c r="AB17">
        <v>0.1096128778458904</v>
      </c>
      <c r="AC17">
        <v>0.10638955872366811</v>
      </c>
      <c r="AD17">
        <v>0.1030445629532073</v>
      </c>
      <c r="AE17">
        <v>9.9646771501276932E-2</v>
      </c>
      <c r="AF17">
        <v>9.6247284972985514E-2</v>
      </c>
      <c r="AG17">
        <v>9.2883613629610659E-2</v>
      </c>
      <c r="AH17">
        <v>8.9582884273715288E-2</v>
      </c>
      <c r="AI17">
        <v>8.6364297480503754E-2</v>
      </c>
      <c r="AJ17">
        <v>8.3241012845777076E-2</v>
      </c>
      <c r="AK17">
        <v>8.0221597260543204E-2</v>
      </c>
      <c r="AL17">
        <v>7.7311138798545745E-2</v>
      </c>
      <c r="AM17">
        <v>7.45121042354525E-2</v>
      </c>
      <c r="AN17">
        <v>7.1824999619817628E-2</v>
      </c>
      <c r="AO17">
        <v>6.924887924192713E-2</v>
      </c>
      <c r="AP17">
        <v>6.6781737676328612E-2</v>
      </c>
      <c r="AQ17">
        <v>6.4420811485809776E-2</v>
      </c>
      <c r="AR17">
        <v>6.2162810989638363E-2</v>
      </c>
      <c r="AS17">
        <v>6.0004097883699758E-2</v>
      </c>
      <c r="AT17">
        <v>5.7940820750715633E-2</v>
      </c>
      <c r="AU17">
        <v>5.5969017990505819E-2</v>
      </c>
      <c r="AV17">
        <v>5.4084695451482513E-2</v>
      </c>
      <c r="AW17">
        <v>5.2283884091017321E-2</v>
      </c>
      <c r="AX17">
        <v>5.056268267433045E-2</v>
      </c>
      <c r="AY17">
        <v>4.8917288664581719E-2</v>
      </c>
      <c r="AZ17">
        <v>4.7344019460380887E-2</v>
      </c>
      <c r="BA17">
        <v>4.583932645632624E-2</v>
      </c>
      <c r="BB17">
        <v>4.4399805611894862E-2</v>
      </c>
      <c r="BC17">
        <v>4.3022200600436107E-2</v>
      </c>
      <c r="BD17">
        <v>4.1703405741132599E-2</v>
      </c>
      <c r="BE17">
        <v>4.0440465213444757E-2</v>
      </c>
      <c r="BF17">
        <v>3.9230568936706532E-2</v>
      </c>
      <c r="BG17">
        <v>3.8071048673396647E-2</v>
      </c>
      <c r="BH17">
        <v>3.6959383771779312E-2</v>
      </c>
      <c r="BI17">
        <v>3.5893175377932497E-2</v>
      </c>
      <c r="BJ17">
        <v>3.4870164763906822E-2</v>
      </c>
      <c r="BK17">
        <v>3.3888209249032561E-2</v>
      </c>
      <c r="BL17">
        <v>3.2945274783743067E-2</v>
      </c>
      <c r="BM17">
        <v>3.2039448571255173E-2</v>
      </c>
      <c r="BN17">
        <v>3.1168923952346141E-2</v>
      </c>
      <c r="BO17">
        <v>3.033199272780188E-2</v>
      </c>
      <c r="BP17">
        <v>2.9527055070127289E-2</v>
      </c>
      <c r="BQ17">
        <v>2.8752524337685589E-2</v>
      </c>
      <c r="BR17">
        <v>2.8006957625028299E-2</v>
      </c>
      <c r="BS17">
        <v>2.7289181820541068E-2</v>
      </c>
      <c r="BT17">
        <v>2.659760397569795E-2</v>
      </c>
      <c r="BU17">
        <v>2.593132199380806E-2</v>
      </c>
      <c r="BV17">
        <v>2.528884576894895E-2</v>
      </c>
      <c r="BW17">
        <v>2.4669340002461768E-2</v>
      </c>
      <c r="BX17">
        <v>2.4071870022582358E-2</v>
      </c>
      <c r="BY17">
        <v>2.349491108609256E-2</v>
      </c>
      <c r="BZ17">
        <v>2.2938107244767671E-2</v>
      </c>
      <c r="CA17">
        <v>2.239989469987631E-2</v>
      </c>
      <c r="CB17">
        <v>2.1879616673580619E-2</v>
      </c>
      <c r="CC17">
        <v>2.1377984548254271E-2</v>
      </c>
      <c r="CD17">
        <v>2.0893849768385521E-2</v>
      </c>
      <c r="CE17">
        <v>2.0423574464255849E-2</v>
      </c>
      <c r="CF17">
        <v>1.996941536115562E-2</v>
      </c>
      <c r="CG17">
        <v>1.9529253523856441E-2</v>
      </c>
      <c r="CH17">
        <v>1.9103661475474511E-2</v>
      </c>
      <c r="CI17">
        <v>1.8690991437335689E-2</v>
      </c>
      <c r="CJ17">
        <v>1.8292055117261591E-2</v>
      </c>
      <c r="CK17">
        <v>1.7906044273066211E-2</v>
      </c>
      <c r="CL17">
        <v>1.7529570788574679E-2</v>
      </c>
      <c r="CM17">
        <v>1.716600235028988E-2</v>
      </c>
      <c r="CN17">
        <v>1.6808191385331881E-2</v>
      </c>
      <c r="CO17">
        <v>1.647077971365047E-2</v>
      </c>
      <c r="CP17">
        <v>1.614196602354577E-2</v>
      </c>
      <c r="CQ17">
        <v>1.5819505335172079E-2</v>
      </c>
      <c r="CR17">
        <v>1.5502635794326289E-2</v>
      </c>
      <c r="CS17">
        <v>1.520928804239626E-2</v>
      </c>
      <c r="CT17">
        <v>1.4912660069379051E-2</v>
      </c>
      <c r="CU17">
        <v>1.462259305115267E-2</v>
      </c>
      <c r="CV17">
        <v>1.434739009743586E-2</v>
      </c>
    </row>
    <row r="18" spans="15:100" x14ac:dyDescent="0.25">
      <c r="P18">
        <v>7.3529411764705881E-3</v>
      </c>
      <c r="Q18">
        <v>3.9970628810914073E-2</v>
      </c>
      <c r="R18">
        <v>6.3381891762630066E-2</v>
      </c>
      <c r="S18">
        <v>8.0631763996117739E-2</v>
      </c>
      <c r="T18">
        <v>9.298546795788451E-2</v>
      </c>
      <c r="U18">
        <v>0.10150057480165189</v>
      </c>
      <c r="V18">
        <v>0.1070391017243468</v>
      </c>
      <c r="W18">
        <v>0.1102900868929818</v>
      </c>
      <c r="X18">
        <v>0.1117974662683158</v>
      </c>
      <c r="Y18">
        <v>0.1119871941198545</v>
      </c>
      <c r="Z18">
        <v>0.11119106525744241</v>
      </c>
      <c r="AA18">
        <v>0.1096665737959764</v>
      </c>
      <c r="AB18">
        <v>0.1076129858335684</v>
      </c>
      <c r="AC18">
        <v>0.1051841215964552</v>
      </c>
      <c r="AD18">
        <v>0.1024984135954706</v>
      </c>
      <c r="AE18">
        <v>9.9646771501276932E-2</v>
      </c>
      <c r="AF18">
        <v>9.6698710102716606E-2</v>
      </c>
      <c r="AG18">
        <v>9.3707115504303481E-2</v>
      </c>
      <c r="AH18">
        <v>9.0711950036822447E-2</v>
      </c>
      <c r="AI18">
        <v>8.7743132786510122E-2</v>
      </c>
      <c r="AJ18">
        <v>8.482278074620811E-2</v>
      </c>
      <c r="AK18">
        <v>8.1966954237835288E-2</v>
      </c>
      <c r="AL18">
        <v>7.9187017793502276E-2</v>
      </c>
      <c r="AM18">
        <v>7.6490702433400046E-2</v>
      </c>
      <c r="AN18">
        <v>7.3882935747374756E-2</v>
      </c>
      <c r="AO18">
        <v>7.136649112537774E-2</v>
      </c>
      <c r="AP18">
        <v>6.8942495881973417E-2</v>
      </c>
      <c r="AQ18">
        <v>6.6610829090633705E-2</v>
      </c>
      <c r="AR18">
        <v>6.4370433064906404E-2</v>
      </c>
      <c r="AS18">
        <v>6.2219557104190408E-2</v>
      </c>
      <c r="AT18">
        <v>6.0155948040652767E-2</v>
      </c>
      <c r="AU18">
        <v>5.8176998968782277E-2</v>
      </c>
      <c r="AV18">
        <v>5.627986495775663E-2</v>
      </c>
      <c r="AW18">
        <v>5.4461552864090372E-2</v>
      </c>
      <c r="AX18">
        <v>5.2718990607257349E-2</v>
      </c>
      <c r="AY18">
        <v>5.1049080254178023E-2</v>
      </c>
      <c r="AZ18">
        <v>4.9448738388173027E-2</v>
      </c>
      <c r="BA18">
        <v>4.7914926780083217E-2</v>
      </c>
      <c r="BB18">
        <v>4.6444673916052531E-2</v>
      </c>
      <c r="BC18">
        <v>4.5035093237903327E-2</v>
      </c>
      <c r="BD18">
        <v>4.3683389276140128E-2</v>
      </c>
      <c r="BE18">
        <v>4.238687303354903E-2</v>
      </c>
      <c r="BF18">
        <v>4.11429616016913E-2</v>
      </c>
      <c r="BG18">
        <v>3.9949178162712103E-2</v>
      </c>
      <c r="BH18">
        <v>3.8803155208781408E-2</v>
      </c>
      <c r="BI18">
        <v>3.7702642265150153E-2</v>
      </c>
      <c r="BJ18">
        <v>3.6645472220707929E-2</v>
      </c>
      <c r="BK18">
        <v>3.562962404046182E-2</v>
      </c>
      <c r="BL18">
        <v>3.4653114968681981E-2</v>
      </c>
      <c r="BM18">
        <v>3.3714146177852351E-2</v>
      </c>
      <c r="BN18">
        <v>3.2810906082945623E-2</v>
      </c>
      <c r="BO18">
        <v>3.1941761096596202E-2</v>
      </c>
      <c r="BP18">
        <v>3.110509060510815E-2</v>
      </c>
      <c r="BQ18">
        <v>3.029950314692607E-2</v>
      </c>
      <c r="BR18">
        <v>2.95234215507661E-2</v>
      </c>
      <c r="BS18">
        <v>2.8775717427316071E-2</v>
      </c>
      <c r="BT18">
        <v>2.8054738877168611E-2</v>
      </c>
      <c r="BU18">
        <v>2.7359529711776569E-2</v>
      </c>
      <c r="BV18">
        <v>2.668927946564777E-2</v>
      </c>
      <c r="BW18">
        <v>2.6041963645816742E-2</v>
      </c>
      <c r="BX18">
        <v>2.5417751463966839E-2</v>
      </c>
      <c r="BY18">
        <v>2.4814008420944809E-2</v>
      </c>
      <c r="BZ18">
        <v>2.423159730327544E-2</v>
      </c>
      <c r="CA18">
        <v>2.3668787576957971E-2</v>
      </c>
      <c r="CB18">
        <v>2.3125021353288821E-2</v>
      </c>
      <c r="CC18">
        <v>2.2598857754937401E-2</v>
      </c>
      <c r="CD18">
        <v>2.2089009141059199E-2</v>
      </c>
      <c r="CE18">
        <v>2.1597662787050029E-2</v>
      </c>
      <c r="CF18">
        <v>2.1120285627793289E-2</v>
      </c>
      <c r="CG18">
        <v>2.0659911870990651E-2</v>
      </c>
      <c r="CH18">
        <v>2.0210409932677292E-2</v>
      </c>
      <c r="CI18">
        <v>1.9779088024914619E-2</v>
      </c>
      <c r="CJ18">
        <v>1.936079589491102E-2</v>
      </c>
      <c r="CK18">
        <v>1.8954016601344631E-2</v>
      </c>
      <c r="CL18">
        <v>1.8570307305989769E-2</v>
      </c>
      <c r="CM18">
        <v>1.8180486961729241E-2</v>
      </c>
      <c r="CN18">
        <v>1.7812433608121628E-2</v>
      </c>
      <c r="CO18">
        <v>1.7446424963012609E-2</v>
      </c>
      <c r="CP18">
        <v>1.7096183177426661E-2</v>
      </c>
      <c r="CQ18">
        <v>1.675462044838618E-2</v>
      </c>
      <c r="CR18">
        <v>1.643067819873785E-2</v>
      </c>
      <c r="CS18">
        <v>1.610910596753768E-2</v>
      </c>
      <c r="CT18">
        <v>1.577368084081085E-2</v>
      </c>
      <c r="CU18">
        <v>1.5487044601345E-2</v>
      </c>
      <c r="CV18">
        <v>1.520828573651792E-2</v>
      </c>
    </row>
    <row r="19" spans="15:100" x14ac:dyDescent="0.25">
      <c r="Q19">
        <v>6.5359477124183017E-3</v>
      </c>
      <c r="R19">
        <v>3.5793365186176547E-2</v>
      </c>
      <c r="S19">
        <v>5.7181802127566933E-2</v>
      </c>
      <c r="T19">
        <v>7.3273918185075865E-2</v>
      </c>
      <c r="U19">
        <v>8.5090060391843636E-2</v>
      </c>
      <c r="V19">
        <v>9.3497246163509323E-2</v>
      </c>
      <c r="W19">
        <v>9.9214827684085405E-2</v>
      </c>
      <c r="X19">
        <v>0.1028280303480311</v>
      </c>
      <c r="Y19">
        <v>0.1048068862307532</v>
      </c>
      <c r="Z19">
        <v>0.1055257478212507</v>
      </c>
      <c r="AA19">
        <v>0.1052810937610604</v>
      </c>
      <c r="AB19">
        <v>0.1043068164636734</v>
      </c>
      <c r="AC19">
        <v>0.1027869053072379</v>
      </c>
      <c r="AD19">
        <v>0.10086575479865049</v>
      </c>
      <c r="AE19">
        <v>9.8656436540761727E-2</v>
      </c>
      <c r="AF19">
        <v>9.6247284972985514E-2</v>
      </c>
      <c r="AG19">
        <v>9.3707115504303481E-2</v>
      </c>
      <c r="AH19">
        <v>9.1089347698489698E-2</v>
      </c>
      <c r="AI19">
        <v>8.8435258840872527E-2</v>
      </c>
      <c r="AJ19">
        <v>8.5776550217099123E-2</v>
      </c>
      <c r="AK19">
        <v>8.3137371712546232E-2</v>
      </c>
      <c r="AL19">
        <v>8.0535920058911414E-2</v>
      </c>
      <c r="AM19">
        <v>7.798570160867685E-2</v>
      </c>
      <c r="AN19">
        <v>7.549653104593633E-2</v>
      </c>
      <c r="AO19">
        <v>7.3075322062248607E-2</v>
      </c>
      <c r="AP19">
        <v>7.0726713943607106E-2</v>
      </c>
      <c r="AQ19">
        <v>6.8453568548300578E-2</v>
      </c>
      <c r="AR19">
        <v>6.6257364756239306E-2</v>
      </c>
      <c r="AS19">
        <v>6.4138511686011049E-2</v>
      </c>
      <c r="AT19">
        <v>6.2096597436732501E-2</v>
      </c>
      <c r="AU19">
        <v>6.0130586618466417E-2</v>
      </c>
      <c r="AV19">
        <v>5.8238977058460803E-2</v>
      </c>
      <c r="AW19">
        <v>5.64199241244683E-2</v>
      </c>
      <c r="AX19">
        <v>5.4671338892643723E-2</v>
      </c>
      <c r="AY19">
        <v>5.2990965901565323E-2</v>
      </c>
      <c r="AZ19">
        <v>5.1376444075589472E-2</v>
      </c>
      <c r="BA19">
        <v>4.9825354531102407E-2</v>
      </c>
      <c r="BB19">
        <v>4.8335258287651867E-2</v>
      </c>
      <c r="BC19">
        <v>4.6903723632595443E-2</v>
      </c>
      <c r="BD19">
        <v>4.5528350405986302E-2</v>
      </c>
      <c r="BE19">
        <v>4.4206783710645958E-2</v>
      </c>
      <c r="BF19">
        <v>4.2936729809378328E-2</v>
      </c>
      <c r="BG19">
        <v>4.1715960040362862E-2</v>
      </c>
      <c r="BH19">
        <v>4.0542323999895463E-2</v>
      </c>
      <c r="BI19">
        <v>3.9413730810460769E-2</v>
      </c>
      <c r="BJ19">
        <v>3.8328216392628178E-2</v>
      </c>
      <c r="BK19">
        <v>3.7283842106095227E-2</v>
      </c>
      <c r="BL19">
        <v>3.627878869722187E-2</v>
      </c>
      <c r="BM19">
        <v>3.5311293594026238E-2</v>
      </c>
      <c r="BN19">
        <v>3.4379677140735199E-2</v>
      </c>
      <c r="BO19">
        <v>3.3482352321314787E-2</v>
      </c>
      <c r="BP19">
        <v>3.2617816417240333E-2</v>
      </c>
      <c r="BQ19">
        <v>3.1784510985899142E-2</v>
      </c>
      <c r="BR19">
        <v>3.0981206633411279E-2</v>
      </c>
      <c r="BS19">
        <v>3.0206445072864449E-2</v>
      </c>
      <c r="BT19">
        <v>2.94590194839148E-2</v>
      </c>
      <c r="BU19">
        <v>2.873812768778862E-2</v>
      </c>
      <c r="BV19">
        <v>2.8041763404396871E-2</v>
      </c>
      <c r="BW19">
        <v>2.7369413639159498E-2</v>
      </c>
      <c r="BX19">
        <v>2.6719883553005589E-2</v>
      </c>
      <c r="BY19">
        <v>2.6093045781035249E-2</v>
      </c>
      <c r="BZ19">
        <v>2.5487196626275611E-2</v>
      </c>
      <c r="CA19">
        <v>2.4899851219421409E-2</v>
      </c>
      <c r="CB19">
        <v>2.433347910091883E-2</v>
      </c>
      <c r="CC19">
        <v>2.3784712638150581E-2</v>
      </c>
      <c r="CD19">
        <v>2.3255815294771231E-2</v>
      </c>
      <c r="CE19">
        <v>2.2741505130442371E-2</v>
      </c>
      <c r="CF19">
        <v>2.2245613840252771E-2</v>
      </c>
      <c r="CG19">
        <v>2.1758118525195061E-2</v>
      </c>
      <c r="CH19">
        <v>2.129097378093112E-2</v>
      </c>
      <c r="CI19">
        <v>2.08405443763185E-2</v>
      </c>
      <c r="CJ19">
        <v>2.04096726288765E-2</v>
      </c>
      <c r="CK19">
        <v>1.998083310561987E-2</v>
      </c>
      <c r="CL19">
        <v>1.9558155146425601E-2</v>
      </c>
      <c r="CM19">
        <v>1.9161433715222349E-2</v>
      </c>
      <c r="CN19">
        <v>1.8794524520873469E-2</v>
      </c>
      <c r="CO19">
        <v>1.8402151737547879E-2</v>
      </c>
      <c r="CP19">
        <v>1.8069357297890221E-2</v>
      </c>
      <c r="CQ19">
        <v>1.7687598231248811E-2</v>
      </c>
      <c r="CR19">
        <v>1.7336233855835308E-2</v>
      </c>
      <c r="CS19">
        <v>1.7036203894322071E-2</v>
      </c>
      <c r="CT19">
        <v>1.665080622303507E-2</v>
      </c>
      <c r="CU19">
        <v>1.6407616761107191E-2</v>
      </c>
      <c r="CV19">
        <v>1.5999558559294989E-2</v>
      </c>
    </row>
    <row r="20" spans="15:100" x14ac:dyDescent="0.25">
      <c r="R20">
        <v>5.8479532163742704E-3</v>
      </c>
      <c r="S20">
        <v>3.2237123188488988E-2</v>
      </c>
      <c r="T20">
        <v>5.1843169000849461E-2</v>
      </c>
      <c r="U20">
        <v>6.6865605864551717E-2</v>
      </c>
      <c r="V20">
        <v>7.8135449475556118E-2</v>
      </c>
      <c r="W20">
        <v>8.6369029967915914E-2</v>
      </c>
      <c r="X20">
        <v>9.217013991060459E-2</v>
      </c>
      <c r="Y20">
        <v>9.6037802353918622E-2</v>
      </c>
      <c r="Z20">
        <v>9.8379074585994611E-2</v>
      </c>
      <c r="AA20">
        <v>9.952311041250414E-2</v>
      </c>
      <c r="AB20">
        <v>9.9734501637144132E-2</v>
      </c>
      <c r="AC20">
        <v>9.9225071004288137E-2</v>
      </c>
      <c r="AD20">
        <v>9.8163893013714684E-2</v>
      </c>
      <c r="AE20">
        <v>9.6685608948003487E-2</v>
      </c>
      <c r="AF20">
        <v>9.4897224394592639E-2</v>
      </c>
      <c r="AG20">
        <v>9.2883613629610659E-2</v>
      </c>
      <c r="AH20">
        <v>9.0711950036822447E-2</v>
      </c>
      <c r="AI20">
        <v>8.8435258840872527E-2</v>
      </c>
      <c r="AJ20">
        <v>8.6095259909614988E-2</v>
      </c>
      <c r="AK20">
        <v>8.3724640076002138E-2</v>
      </c>
      <c r="AL20">
        <v>8.1348868902776331E-2</v>
      </c>
      <c r="AM20">
        <v>7.8987649925364375E-2</v>
      </c>
      <c r="AN20">
        <v>7.6656081193318321E-2</v>
      </c>
      <c r="AO20">
        <v>7.4365584053195238E-2</v>
      </c>
      <c r="AP20">
        <v>7.212464711026334E-2</v>
      </c>
      <c r="AQ20">
        <v>6.9939422694145548E-2</v>
      </c>
      <c r="AR20">
        <v>6.7814205496076377E-2</v>
      </c>
      <c r="AS20">
        <v>6.575181696359654E-2</v>
      </c>
      <c r="AT20">
        <v>6.3753914216804514E-2</v>
      </c>
      <c r="AU20">
        <v>6.1821238429589823E-2</v>
      </c>
      <c r="AV20">
        <v>5.9953814597120042E-2</v>
      </c>
      <c r="AW20">
        <v>5.8151112189006253E-2</v>
      </c>
      <c r="AX20">
        <v>5.6412174327951453E-2</v>
      </c>
      <c r="AY20">
        <v>5.4735721577352341E-2</v>
      </c>
      <c r="AZ20">
        <v>5.312023522114457E-2</v>
      </c>
      <c r="BA20">
        <v>5.1564023928094102E-2</v>
      </c>
      <c r="BB20">
        <v>5.006527719557418E-2</v>
      </c>
      <c r="BC20">
        <v>4.8622107944792943E-2</v>
      </c>
      <c r="BD20">
        <v>4.7232585321489433E-2</v>
      </c>
      <c r="BE20">
        <v>4.5894763689890782E-2</v>
      </c>
      <c r="BF20">
        <v>4.4606698707996391E-2</v>
      </c>
      <c r="BG20">
        <v>4.3366472888120719E-2</v>
      </c>
      <c r="BH20">
        <v>4.2172189480560889E-2</v>
      </c>
      <c r="BI20">
        <v>4.1022017091813481E-2</v>
      </c>
      <c r="BJ20">
        <v>3.9914144218000581E-2</v>
      </c>
      <c r="BK20">
        <v>3.8846826387868127E-2</v>
      </c>
      <c r="BL20">
        <v>3.781838693761657E-2</v>
      </c>
      <c r="BM20">
        <v>3.6827213076783057E-2</v>
      </c>
      <c r="BN20">
        <v>3.5871742078641973E-2</v>
      </c>
      <c r="BO20">
        <v>3.4950430335285998E-2</v>
      </c>
      <c r="BP20">
        <v>3.406186236394667E-2</v>
      </c>
      <c r="BQ20">
        <v>3.3204703161311758E-2</v>
      </c>
      <c r="BR20">
        <v>3.2377426147463979E-2</v>
      </c>
      <c r="BS20">
        <v>3.157916432681071E-2</v>
      </c>
      <c r="BT20">
        <v>3.0808281762136909E-2</v>
      </c>
      <c r="BU20">
        <v>3.0063647245431799E-2</v>
      </c>
      <c r="BV20">
        <v>2.9344901931530509E-2</v>
      </c>
      <c r="BW20">
        <v>2.864968246965522E-2</v>
      </c>
      <c r="BX20">
        <v>2.7977625180320039E-2</v>
      </c>
      <c r="BY20">
        <v>2.7328744781108149E-2</v>
      </c>
      <c r="BZ20">
        <v>2.6700603796030072E-2</v>
      </c>
      <c r="CA20">
        <v>2.6093907317143471E-2</v>
      </c>
      <c r="CB20">
        <v>2.5506578776968419E-2</v>
      </c>
      <c r="CC20">
        <v>2.4935944393681918E-2</v>
      </c>
      <c r="CD20">
        <v>2.4387739533528661E-2</v>
      </c>
      <c r="CE20">
        <v>2.3849137081481911E-2</v>
      </c>
      <c r="CF20">
        <v>2.333850326030857E-2</v>
      </c>
      <c r="CG20">
        <v>2.2833735646883822E-2</v>
      </c>
      <c r="CH20">
        <v>2.234790156711635E-2</v>
      </c>
      <c r="CI20">
        <v>2.1886867009795662E-2</v>
      </c>
      <c r="CJ20">
        <v>2.142066446717359E-2</v>
      </c>
      <c r="CK20">
        <v>2.0968826882448069E-2</v>
      </c>
      <c r="CL20">
        <v>2.0619744809662111E-2</v>
      </c>
      <c r="CM20">
        <v>2.014070341107017E-2</v>
      </c>
      <c r="CN20">
        <v>1.9713396894397089E-2</v>
      </c>
      <c r="CO20">
        <v>1.9346405635289741E-2</v>
      </c>
      <c r="CP20">
        <v>1.8943577471290069E-2</v>
      </c>
      <c r="CQ20">
        <v>1.8564673788732829E-2</v>
      </c>
      <c r="CR20">
        <v>1.8158035152648761E-2</v>
      </c>
      <c r="CS20">
        <v>1.7862911338091821E-2</v>
      </c>
      <c r="CT20">
        <v>1.7543760143502739E-2</v>
      </c>
      <c r="CU20">
        <v>1.712681772208368E-2</v>
      </c>
      <c r="CV20">
        <v>1.7049273524474121E-2</v>
      </c>
    </row>
    <row r="21" spans="15:100" x14ac:dyDescent="0.25">
      <c r="S21">
        <v>5.263157894736842E-3</v>
      </c>
      <c r="T21">
        <v>2.9184840098505499E-2</v>
      </c>
      <c r="U21">
        <v>4.7214465293740522E-2</v>
      </c>
      <c r="V21">
        <v>6.1252477129558912E-2</v>
      </c>
      <c r="W21">
        <v>7.1981862055283272E-2</v>
      </c>
      <c r="X21">
        <v>7.9998774836291295E-2</v>
      </c>
      <c r="Y21">
        <v>8.5812863980011297E-2</v>
      </c>
      <c r="Z21">
        <v>8.9851365259344868E-2</v>
      </c>
      <c r="AA21">
        <v>9.2467685997716959E-2</v>
      </c>
      <c r="AB21">
        <v>9.3951542114775216E-2</v>
      </c>
      <c r="AC21">
        <v>9.4538975193880923E-2</v>
      </c>
      <c r="AD21">
        <v>9.4421468377844181E-2</v>
      </c>
      <c r="AE21">
        <v>9.3753875546803894E-2</v>
      </c>
      <c r="AF21">
        <v>9.2661133442246718E-2</v>
      </c>
      <c r="AG21">
        <v>9.1243846806917647E-2</v>
      </c>
      <c r="AH21">
        <v>8.9582884273715288E-2</v>
      </c>
      <c r="AI21">
        <v>8.7743132786510122E-2</v>
      </c>
      <c r="AJ21">
        <v>8.5776550217099123E-2</v>
      </c>
      <c r="AK21">
        <v>8.3724640076002138E-2</v>
      </c>
      <c r="AL21">
        <v>8.1620454301007131E-2</v>
      </c>
      <c r="AM21">
        <v>7.9490212761549828E-2</v>
      </c>
      <c r="AN21">
        <v>7.7354612537305634E-2</v>
      </c>
      <c r="AO21">
        <v>7.5229886613270722E-2</v>
      </c>
      <c r="AP21">
        <v>7.3128660374638235E-2</v>
      </c>
      <c r="AQ21">
        <v>7.1060644991722668E-2</v>
      </c>
      <c r="AR21">
        <v>6.9033199198610284E-2</v>
      </c>
      <c r="AS21">
        <v>6.7051784820032129E-2</v>
      </c>
      <c r="AT21">
        <v>6.5120336442241814E-2</v>
      </c>
      <c r="AU21">
        <v>6.3241561635051236E-2</v>
      </c>
      <c r="AV21">
        <v>6.141718492898763E-2</v>
      </c>
      <c r="AW21">
        <v>5.9648146191538701E-2</v>
      </c>
      <c r="AX21">
        <v>5.793476197258831E-2</v>
      </c>
      <c r="AY21">
        <v>5.6276856745961008E-2</v>
      </c>
      <c r="AZ21">
        <v>5.4673869688349072E-2</v>
      </c>
      <c r="BA21">
        <v>5.3124941399925227E-2</v>
      </c>
      <c r="BB21">
        <v>5.1628984521321392E-2</v>
      </c>
      <c r="BC21">
        <v>5.0184740790009112E-2</v>
      </c>
      <c r="BD21">
        <v>4.8790827710479823E-2</v>
      </c>
      <c r="BE21">
        <v>4.7445775223154033E-2</v>
      </c>
      <c r="BF21">
        <v>4.6148057623180069E-2</v>
      </c>
      <c r="BG21">
        <v>4.4896114318893073E-2</v>
      </c>
      <c r="BH21">
        <v>4.3688375629415903E-2</v>
      </c>
      <c r="BI21">
        <v>4.2523267574321733E-2</v>
      </c>
      <c r="BJ21">
        <v>4.1399235517470802E-2</v>
      </c>
      <c r="BK21">
        <v>4.0314754427692299E-2</v>
      </c>
      <c r="BL21">
        <v>3.9268304819794347E-2</v>
      </c>
      <c r="BM21">
        <v>3.8258441556482517E-2</v>
      </c>
      <c r="BN21">
        <v>3.7283738332925871E-2</v>
      </c>
      <c r="BO21">
        <v>3.6342771310849627E-2</v>
      </c>
      <c r="BP21">
        <v>3.5434271224116617E-2</v>
      </c>
      <c r="BQ21">
        <v>3.4556928340996419E-2</v>
      </c>
      <c r="BR21">
        <v>3.370945380824384E-2</v>
      </c>
      <c r="BS21">
        <v>3.2890698530636302E-2</v>
      </c>
      <c r="BT21">
        <v>3.209950662813002E-2</v>
      </c>
      <c r="BU21">
        <v>3.1334786215339493E-2</v>
      </c>
      <c r="BV21">
        <v>3.0595509503357769E-2</v>
      </c>
      <c r="BW21">
        <v>2.9880549050684151E-2</v>
      </c>
      <c r="BX21">
        <v>2.918889448700538E-2</v>
      </c>
      <c r="BY21">
        <v>2.8520403522996469E-2</v>
      </c>
      <c r="BZ21">
        <v>2.7872750083198519E-2</v>
      </c>
      <c r="CA21">
        <v>2.7245112206286941E-2</v>
      </c>
      <c r="CB21">
        <v>2.664179953207893E-2</v>
      </c>
      <c r="CC21">
        <v>2.6051727453493548E-2</v>
      </c>
      <c r="CD21">
        <v>2.547622965977912E-2</v>
      </c>
      <c r="CE21">
        <v>2.4929782964849941E-2</v>
      </c>
      <c r="CF21">
        <v>2.439541156912859E-2</v>
      </c>
      <c r="CG21">
        <v>2.387379348960152E-2</v>
      </c>
      <c r="CH21">
        <v>2.337340571974934E-2</v>
      </c>
      <c r="CI21">
        <v>2.2889679520463169E-2</v>
      </c>
      <c r="CJ21">
        <v>2.2397490577541739E-2</v>
      </c>
      <c r="CK21">
        <v>2.1968347100454248E-2</v>
      </c>
      <c r="CL21">
        <v>2.1490612457077719E-2</v>
      </c>
      <c r="CM21">
        <v>2.1057497746271331E-2</v>
      </c>
      <c r="CN21">
        <v>2.0616373532580359E-2</v>
      </c>
      <c r="CO21">
        <v>2.0271503067557688E-2</v>
      </c>
      <c r="CP21">
        <v>1.9880131435325171E-2</v>
      </c>
      <c r="CQ21">
        <v>1.943340520000655E-2</v>
      </c>
      <c r="CR21">
        <v>1.9191037585256629E-2</v>
      </c>
      <c r="CS21">
        <v>1.883383155726372E-2</v>
      </c>
      <c r="CT21">
        <v>1.8446451256604691E-2</v>
      </c>
      <c r="CU21">
        <v>1.809083947551271E-2</v>
      </c>
      <c r="CV21">
        <v>1.821227127009907E-2</v>
      </c>
    </row>
    <row r="22" spans="15:100" x14ac:dyDescent="0.25">
      <c r="T22">
        <v>4.7619047619047623E-3</v>
      </c>
      <c r="U22">
        <v>2.6545747682501789E-2</v>
      </c>
      <c r="V22">
        <v>4.3175871170242033E-2</v>
      </c>
      <c r="W22">
        <v>5.6309848724648268E-2</v>
      </c>
      <c r="X22">
        <v>6.6513728675315201E-2</v>
      </c>
      <c r="Y22">
        <v>7.4287050122314208E-2</v>
      </c>
      <c r="Z22">
        <v>8.0062321970568853E-2</v>
      </c>
      <c r="AA22">
        <v>8.4206795121599912E-2</v>
      </c>
      <c r="AB22">
        <v>8.7028133441267488E-2</v>
      </c>
      <c r="AC22">
        <v>8.8781712319841791E-2</v>
      </c>
      <c r="AD22">
        <v>8.9678151045199522E-2</v>
      </c>
      <c r="AE22">
        <v>8.9890372957324868E-2</v>
      </c>
      <c r="AF22">
        <v>8.9559889747052077E-2</v>
      </c>
      <c r="AG22">
        <v>8.8802225283579422E-2</v>
      </c>
      <c r="AH22">
        <v>8.7711506159074429E-2</v>
      </c>
      <c r="AI22">
        <v>8.6364297480503754E-2</v>
      </c>
      <c r="AJ22">
        <v>8.482278074620811E-2</v>
      </c>
      <c r="AK22">
        <v>8.3137371712546232E-2</v>
      </c>
      <c r="AL22">
        <v>8.1348868902776289E-2</v>
      </c>
      <c r="AM22">
        <v>7.9490212761549828E-2</v>
      </c>
      <c r="AN22">
        <v>7.7587924038480874E-2</v>
      </c>
      <c r="AO22">
        <v>7.5663279107113207E-2</v>
      </c>
      <c r="AP22">
        <v>7.3733270176421978E-2</v>
      </c>
      <c r="AQ22">
        <v>7.1811389919312948E-2</v>
      </c>
      <c r="AR22">
        <v>6.9908272911014507E-2</v>
      </c>
      <c r="AS22">
        <v>6.8032220327831155E-2</v>
      </c>
      <c r="AT22">
        <v>6.6189629454509361E-2</v>
      </c>
      <c r="AU22">
        <v>6.4385345531604743E-2</v>
      </c>
      <c r="AV22">
        <v>6.2622950198008537E-2</v>
      </c>
      <c r="AW22">
        <v>6.0904998119706358E-2</v>
      </c>
      <c r="AX22">
        <v>5.9233211231274993E-2</v>
      </c>
      <c r="AY22">
        <v>5.7608638269384317E-2</v>
      </c>
      <c r="AZ22">
        <v>5.6031785840566908E-2</v>
      </c>
      <c r="BA22">
        <v>5.4502726131411293E-2</v>
      </c>
      <c r="BB22">
        <v>5.302118542244183E-2</v>
      </c>
      <c r="BC22">
        <v>5.1586616840067052E-2</v>
      </c>
      <c r="BD22">
        <v>5.0198259990517823E-2</v>
      </c>
      <c r="BE22">
        <v>4.8855190092539663E-2</v>
      </c>
      <c r="BF22">
        <v>4.7556357883619928E-2</v>
      </c>
      <c r="BG22">
        <v>4.6300623204414422E-2</v>
      </c>
      <c r="BH22">
        <v>4.5086780500725288E-2</v>
      </c>
      <c r="BI22">
        <v>4.3913581868367572E-2</v>
      </c>
      <c r="BJ22">
        <v>4.2779752953228348E-2</v>
      </c>
      <c r="BK22">
        <v>4.1684015628624983E-2</v>
      </c>
      <c r="BL22">
        <v>4.0625073514298983E-2</v>
      </c>
      <c r="BM22">
        <v>3.9601670781865571E-2</v>
      </c>
      <c r="BN22">
        <v>3.8612554579177463E-2</v>
      </c>
      <c r="BO22">
        <v>3.7656444140968443E-2</v>
      </c>
      <c r="BP22">
        <v>3.6732252604496883E-2</v>
      </c>
      <c r="BQ22">
        <v>3.5838581045569598E-2</v>
      </c>
      <c r="BR22">
        <v>3.4974523549311312E-2</v>
      </c>
      <c r="BS22">
        <v>3.4138957608669897E-2</v>
      </c>
      <c r="BT22">
        <v>3.3330639003801038E-2</v>
      </c>
      <c r="BU22">
        <v>3.2548590596797239E-2</v>
      </c>
      <c r="BV22">
        <v>3.1791690921958153E-2</v>
      </c>
      <c r="BW22">
        <v>3.1059434718005489E-2</v>
      </c>
      <c r="BX22">
        <v>3.0350776413684971E-2</v>
      </c>
      <c r="BY22">
        <v>2.9663409537100529E-2</v>
      </c>
      <c r="BZ22">
        <v>2.8999631865317021E-2</v>
      </c>
      <c r="CA22">
        <v>2.8354308745615141E-2</v>
      </c>
      <c r="CB22">
        <v>2.7730873507122999E-2</v>
      </c>
      <c r="CC22">
        <v>2.712674879935479E-2</v>
      </c>
      <c r="CD22">
        <v>2.6545719326295378E-2</v>
      </c>
      <c r="CE22">
        <v>2.5981472242565289E-2</v>
      </c>
      <c r="CF22">
        <v>2.542383294657153E-2</v>
      </c>
      <c r="CG22">
        <v>2.4877769541127678E-2</v>
      </c>
      <c r="CH22">
        <v>2.433949594714006E-2</v>
      </c>
      <c r="CI22">
        <v>2.3858902647672271E-2</v>
      </c>
      <c r="CJ22">
        <v>2.3370109653120561E-2</v>
      </c>
      <c r="CK22">
        <v>2.2928133873699661E-2</v>
      </c>
      <c r="CL22">
        <v>2.247037083623693E-2</v>
      </c>
      <c r="CM22">
        <v>2.2055300534667359E-2</v>
      </c>
      <c r="CN22">
        <v>2.1529486561124769E-2</v>
      </c>
      <c r="CO22">
        <v>2.1151376740726861E-2</v>
      </c>
      <c r="CP22">
        <v>2.0656672387342302E-2</v>
      </c>
      <c r="CQ22">
        <v>2.031653182575743E-2</v>
      </c>
      <c r="CR22">
        <v>1.990281151198783E-2</v>
      </c>
      <c r="CS22">
        <v>1.942252301313336E-2</v>
      </c>
      <c r="CT22">
        <v>1.870474147998679E-2</v>
      </c>
      <c r="CU22">
        <v>1.8665204345697121E-2</v>
      </c>
      <c r="CV22">
        <v>1.8505983135353239E-2</v>
      </c>
    </row>
    <row r="23" spans="15:100" x14ac:dyDescent="0.25">
      <c r="U23">
        <v>4.329004329004329E-3</v>
      </c>
      <c r="V23">
        <v>2.424860077153166E-2</v>
      </c>
      <c r="W23">
        <v>3.963168133346754E-2</v>
      </c>
      <c r="X23">
        <v>5.1936228368493008E-2</v>
      </c>
      <c r="Y23">
        <v>6.1635025142559363E-2</v>
      </c>
      <c r="Z23">
        <v>6.9149342360034421E-2</v>
      </c>
      <c r="AA23">
        <v>7.484812350972371E-2</v>
      </c>
      <c r="AB23">
        <v>7.904831302795505E-2</v>
      </c>
      <c r="AC23">
        <v>8.2018512833291327E-2</v>
      </c>
      <c r="AD23">
        <v>8.3984220517438729E-2</v>
      </c>
      <c r="AE23">
        <v>8.5133497949562875E-2</v>
      </c>
      <c r="AF23">
        <v>8.5622448531844003E-2</v>
      </c>
      <c r="AG23">
        <v>8.5580205972092802E-2</v>
      </c>
      <c r="AH23">
        <v>8.5113322437312705E-2</v>
      </c>
      <c r="AI23">
        <v>8.4309544130504829E-2</v>
      </c>
      <c r="AJ23">
        <v>8.3241012845777076E-2</v>
      </c>
      <c r="AK23">
        <v>8.1966954237835288E-2</v>
      </c>
      <c r="AL23">
        <v>8.0535920058911414E-2</v>
      </c>
      <c r="AM23">
        <v>7.8987649925364375E-2</v>
      </c>
      <c r="AN23">
        <v>7.7354612537305634E-2</v>
      </c>
      <c r="AO23">
        <v>7.5663279107113207E-2</v>
      </c>
      <c r="AP23">
        <v>7.3935174353175148E-2</v>
      </c>
      <c r="AQ23">
        <v>7.2187743447873348E-2</v>
      </c>
      <c r="AR23">
        <v>7.0435067067928139E-2</v>
      </c>
      <c r="AS23">
        <v>6.8688451273269738E-2</v>
      </c>
      <c r="AT23">
        <v>6.6956914322504182E-2</v>
      </c>
      <c r="AU23">
        <v>6.5247588651725197E-2</v>
      </c>
      <c r="AV23">
        <v>6.3566053011194668E-2</v>
      </c>
      <c r="AW23">
        <v>6.1916607079480331E-2</v>
      </c>
      <c r="AX23">
        <v>6.0302498671240719E-2</v>
      </c>
      <c r="AY23">
        <v>5.8726111843288957E-2</v>
      </c>
      <c r="AZ23">
        <v>5.7189122721271787E-2</v>
      </c>
      <c r="BA23">
        <v>5.5692628647271501E-2</v>
      </c>
      <c r="BB23">
        <v>5.4237255267151507E-2</v>
      </c>
      <c r="BC23">
        <v>5.2823245329554097E-2</v>
      </c>
      <c r="BD23">
        <v>5.1450532365412777E-2</v>
      </c>
      <c r="BE23">
        <v>5.0118801760937068E-2</v>
      </c>
      <c r="BF23">
        <v>4.8827541411686139E-2</v>
      </c>
      <c r="BG23">
        <v>4.7576083729032818E-2</v>
      </c>
      <c r="BH23">
        <v>4.6363640230738683E-2</v>
      </c>
      <c r="BI23">
        <v>4.5189330813836873E-2</v>
      </c>
      <c r="BJ23">
        <v>4.4052206584238612E-2</v>
      </c>
      <c r="BK23">
        <v>4.2951270480986389E-2</v>
      </c>
      <c r="BL23">
        <v>4.1885491969617043E-2</v>
      </c>
      <c r="BM23">
        <v>4.0853820141823781E-2</v>
      </c>
      <c r="BN23">
        <v>3.9855194771833503E-2</v>
      </c>
      <c r="BO23">
        <v>3.8888564893554863E-2</v>
      </c>
      <c r="BP23">
        <v>3.7952868607162488E-2</v>
      </c>
      <c r="BQ23">
        <v>3.704709265772399E-2</v>
      </c>
      <c r="BR23">
        <v>3.6170166341445091E-2</v>
      </c>
      <c r="BS23">
        <v>3.5321144053315469E-2</v>
      </c>
      <c r="BT23">
        <v>3.4499052479135192E-2</v>
      </c>
      <c r="BU23">
        <v>3.370283769908592E-2</v>
      </c>
      <c r="BV23">
        <v>3.2931630390244972E-2</v>
      </c>
      <c r="BW23">
        <v>3.2184972459682007E-2</v>
      </c>
      <c r="BX23">
        <v>3.1460500774715877E-2</v>
      </c>
      <c r="BY23">
        <v>3.0759340734887359E-2</v>
      </c>
      <c r="BZ23">
        <v>3.0080419705249491E-2</v>
      </c>
      <c r="CA23">
        <v>2.9420929088444871E-2</v>
      </c>
      <c r="CB23">
        <v>2.8780840096676159E-2</v>
      </c>
      <c r="CC23">
        <v>2.8162527693458912E-2</v>
      </c>
      <c r="CD23">
        <v>2.7563049871469882E-2</v>
      </c>
      <c r="CE23">
        <v>2.6982610296434138E-2</v>
      </c>
      <c r="CF23">
        <v>2.6410742729718061E-2</v>
      </c>
      <c r="CG23">
        <v>2.5861034327295401E-2</v>
      </c>
      <c r="CH23">
        <v>2.530276582002337E-2</v>
      </c>
      <c r="CI23">
        <v>2.4828436873871929E-2</v>
      </c>
      <c r="CJ23">
        <v>2.4285007446461299E-2</v>
      </c>
      <c r="CK23">
        <v>2.3836093675450799E-2</v>
      </c>
      <c r="CL23">
        <v>2.336449237057836E-2</v>
      </c>
      <c r="CM23">
        <v>2.2936139196073149E-2</v>
      </c>
      <c r="CN23">
        <v>2.2473032563628481E-2</v>
      </c>
      <c r="CO23">
        <v>2.189406893697712E-2</v>
      </c>
      <c r="CP23">
        <v>2.1817362083149581E-2</v>
      </c>
      <c r="CQ23">
        <v>2.1061666768886329E-2</v>
      </c>
      <c r="CR23">
        <v>2.091933873386263E-2</v>
      </c>
      <c r="CS23">
        <v>2.032322938849045E-2</v>
      </c>
      <c r="CT23">
        <v>2.0178456321323469E-2</v>
      </c>
      <c r="CU23">
        <v>2.0197310764578331E-2</v>
      </c>
      <c r="CV23">
        <v>1.905501332234541E-2</v>
      </c>
    </row>
    <row r="24" spans="15:100" x14ac:dyDescent="0.25">
      <c r="V24">
        <v>3.952569169960474E-3</v>
      </c>
      <c r="W24">
        <v>2.2236853464711229E-2</v>
      </c>
      <c r="X24">
        <v>3.6504738794271407E-2</v>
      </c>
      <c r="Y24">
        <v>4.8048399081184752E-2</v>
      </c>
      <c r="Z24">
        <v>5.7265569680156628E-2</v>
      </c>
      <c r="AA24">
        <v>6.4513658080345121E-2</v>
      </c>
      <c r="AB24">
        <v>7.0108938000435814E-2</v>
      </c>
      <c r="AC24">
        <v>7.4326003324807835E-2</v>
      </c>
      <c r="AD24">
        <v>7.7400032341611968E-2</v>
      </c>
      <c r="AE24">
        <v>7.9530525692268331E-2</v>
      </c>
      <c r="AF24">
        <v>8.088557219323908E-2</v>
      </c>
      <c r="AG24">
        <v>8.160610385034725E-2</v>
      </c>
      <c r="AH24">
        <v>8.1809862335831277E-2</v>
      </c>
      <c r="AI24">
        <v>8.159495388396179E-2</v>
      </c>
      <c r="AJ24">
        <v>8.1042957322504661E-2</v>
      </c>
      <c r="AK24">
        <v>8.0221597260543204E-2</v>
      </c>
      <c r="AL24">
        <v>7.9187017793502276E-2</v>
      </c>
      <c r="AM24">
        <v>7.798570160867685E-2</v>
      </c>
      <c r="AN24">
        <v>7.6656081193318321E-2</v>
      </c>
      <c r="AO24">
        <v>7.5229886613270722E-2</v>
      </c>
      <c r="AP24">
        <v>7.3733270176421978E-2</v>
      </c>
      <c r="AQ24">
        <v>7.2187743447873348E-2</v>
      </c>
      <c r="AR24">
        <v>7.0610957211714565E-2</v>
      </c>
      <c r="AS24">
        <v>6.9017350421936088E-2</v>
      </c>
      <c r="AT24">
        <v>6.741869010664249E-2</v>
      </c>
      <c r="AU24">
        <v>6.5824520631008257E-2</v>
      </c>
      <c r="AV24">
        <v>6.4242537673387543E-2</v>
      </c>
      <c r="AW24">
        <v>6.2678899684571923E-2</v>
      </c>
      <c r="AX24">
        <v>6.1138487429337127E-2</v>
      </c>
      <c r="AY24">
        <v>5.962512039702756E-2</v>
      </c>
      <c r="AZ24">
        <v>5.8141737360351428E-2</v>
      </c>
      <c r="BA24">
        <v>5.6690547112426513E-2</v>
      </c>
      <c r="BB24">
        <v>5.527315437720759E-2</v>
      </c>
      <c r="BC24">
        <v>5.3890665030974443E-2</v>
      </c>
      <c r="BD24">
        <v>5.2543774078223138E-2</v>
      </c>
      <c r="BE24">
        <v>5.1232839221651158E-2</v>
      </c>
      <c r="BF24">
        <v>4.9957942355763389E-2</v>
      </c>
      <c r="BG24">
        <v>4.8718941207857129E-2</v>
      </c>
      <c r="BH24">
        <v>4.7515512008123102E-2</v>
      </c>
      <c r="BI24">
        <v>4.6347185836857457E-2</v>
      </c>
      <c r="BJ24">
        <v>4.52133790641654E-2</v>
      </c>
      <c r="BK24">
        <v>4.4113416398502747E-2</v>
      </c>
      <c r="BL24">
        <v>4.3046555827652169E-2</v>
      </c>
      <c r="BM24">
        <v>4.2012001332738087E-2</v>
      </c>
      <c r="BN24">
        <v>4.100892199436728E-2</v>
      </c>
      <c r="BO24">
        <v>4.003645488353192E-2</v>
      </c>
      <c r="BP24">
        <v>3.9093743414546051E-2</v>
      </c>
      <c r="BQ24">
        <v>3.8179872953390953E-2</v>
      </c>
      <c r="BR24">
        <v>3.7293982149363893E-2</v>
      </c>
      <c r="BS24">
        <v>3.6435231382648453E-2</v>
      </c>
      <c r="BT24">
        <v>3.5602713497155311E-2</v>
      </c>
      <c r="BU24">
        <v>3.4795479460286313E-2</v>
      </c>
      <c r="BV24">
        <v>3.4012928880469848E-2</v>
      </c>
      <c r="BW24">
        <v>3.3254029145494191E-2</v>
      </c>
      <c r="BX24">
        <v>3.2518238070345762E-2</v>
      </c>
      <c r="BY24">
        <v>3.1803914701765398E-2</v>
      </c>
      <c r="BZ24">
        <v>3.1110655736004009E-2</v>
      </c>
      <c r="CA24">
        <v>3.043964199920119E-2</v>
      </c>
      <c r="CB24">
        <v>2.9787186178558411E-2</v>
      </c>
      <c r="CC24">
        <v>2.9154535003153289E-2</v>
      </c>
      <c r="CD24">
        <v>2.8540507827596311E-2</v>
      </c>
      <c r="CE24">
        <v>2.794949788466107E-2</v>
      </c>
      <c r="CF24">
        <v>2.736316550157062E-2</v>
      </c>
      <c r="CG24">
        <v>2.6795448700945509E-2</v>
      </c>
      <c r="CH24">
        <v>2.6253760919137659E-2</v>
      </c>
      <c r="CI24">
        <v>2.5722455922983958E-2</v>
      </c>
      <c r="CJ24">
        <v>2.5188008320802709E-2</v>
      </c>
      <c r="CK24">
        <v>2.4665048740001919E-2</v>
      </c>
      <c r="CL24">
        <v>2.4195038122981561E-2</v>
      </c>
      <c r="CM24">
        <v>2.3905674284281121E-2</v>
      </c>
      <c r="CN24">
        <v>2.3092480914236359E-2</v>
      </c>
      <c r="CO24">
        <v>2.28394983110221E-2</v>
      </c>
      <c r="CP24">
        <v>2.1975937179271161E-2</v>
      </c>
      <c r="CQ24">
        <v>2.1978113202515619E-2</v>
      </c>
      <c r="CR24">
        <v>2.1843838853139189E-2</v>
      </c>
      <c r="CS24">
        <v>2.0988208702001229E-2</v>
      </c>
      <c r="CT24">
        <v>2.0574102912846861E-2</v>
      </c>
      <c r="CU24">
        <v>2.0557058922010589E-2</v>
      </c>
      <c r="CV24">
        <v>2.0160390569931429E-2</v>
      </c>
    </row>
    <row r="25" spans="15:100" x14ac:dyDescent="0.25">
      <c r="W25">
        <v>3.6231884057971011E-3</v>
      </c>
      <c r="X25">
        <v>2.046516893297437E-2</v>
      </c>
      <c r="Y25">
        <v>3.3732303685956547E-2</v>
      </c>
      <c r="Z25">
        <v>4.4577657933060989E-2</v>
      </c>
      <c r="AA25">
        <v>5.3338077047322317E-2</v>
      </c>
      <c r="AB25">
        <v>6.0318503828552958E-2</v>
      </c>
      <c r="AC25">
        <v>6.5791336397862915E-2</v>
      </c>
      <c r="AD25">
        <v>6.9995377594155112E-2</v>
      </c>
      <c r="AE25">
        <v>7.3137139602502871E-2</v>
      </c>
      <c r="AF25">
        <v>7.5393486923646794E-2</v>
      </c>
      <c r="AG25">
        <v>7.6914843063648736E-2</v>
      </c>
      <c r="AH25">
        <v>7.7828499133360041E-2</v>
      </c>
      <c r="AI25">
        <v>7.8241771954031272E-2</v>
      </c>
      <c r="AJ25">
        <v>7.8244887728835047E-2</v>
      </c>
      <c r="AK25">
        <v>7.7913543156387585E-2</v>
      </c>
      <c r="AL25">
        <v>7.7311138798545745E-2</v>
      </c>
      <c r="AM25">
        <v>7.6490702433400046E-2</v>
      </c>
      <c r="AN25">
        <v>7.549653104593633E-2</v>
      </c>
      <c r="AO25">
        <v>7.4365584053195238E-2</v>
      </c>
      <c r="AP25">
        <v>7.3128660374638235E-2</v>
      </c>
      <c r="AQ25">
        <v>7.1811389919312948E-2</v>
      </c>
      <c r="AR25">
        <v>7.0435067067928139E-2</v>
      </c>
      <c r="AS25">
        <v>6.9017350421936088E-2</v>
      </c>
      <c r="AT25">
        <v>6.7572849832865378E-2</v>
      </c>
      <c r="AU25">
        <v>6.611361869600195E-2</v>
      </c>
      <c r="AV25">
        <v>6.4649566776406014E-2</v>
      </c>
      <c r="AW25">
        <v>6.3188806455266741E-2</v>
      </c>
      <c r="AX25">
        <v>6.1737943231686042E-2</v>
      </c>
      <c r="AY25">
        <v>6.0302319563535239E-2</v>
      </c>
      <c r="AZ25">
        <v>5.8886219648394342E-2</v>
      </c>
      <c r="BA25">
        <v>5.7493041497139352E-2</v>
      </c>
      <c r="BB25">
        <v>5.612544160675207E-2</v>
      </c>
      <c r="BC25">
        <v>5.4785456663354708E-2</v>
      </c>
      <c r="BD25">
        <v>5.3474605973820429E-2</v>
      </c>
      <c r="BE25">
        <v>5.2193977721981803E-2</v>
      </c>
      <c r="BF25">
        <v>5.0944301629805129E-2</v>
      </c>
      <c r="BG25">
        <v>4.9726010184809391E-2</v>
      </c>
      <c r="BH25">
        <v>4.8539290230188742E-2</v>
      </c>
      <c r="BI25">
        <v>4.7384126507071772E-2</v>
      </c>
      <c r="BJ25">
        <v>4.6260338285423391E-2</v>
      </c>
      <c r="BK25">
        <v>4.5167610313192559E-2</v>
      </c>
      <c r="BL25">
        <v>4.4105518679662989E-2</v>
      </c>
      <c r="BM25">
        <v>4.3073551963263693E-2</v>
      </c>
      <c r="BN25">
        <v>4.2071133457885823E-2</v>
      </c>
      <c r="BO25">
        <v>4.1097627168132353E-2</v>
      </c>
      <c r="BP25">
        <v>4.0152368691365257E-2</v>
      </c>
      <c r="BQ25">
        <v>3.9234662145375743E-2</v>
      </c>
      <c r="BR25">
        <v>3.8343767506225077E-2</v>
      </c>
      <c r="BS25">
        <v>3.747897701165432E-2</v>
      </c>
      <c r="BT25">
        <v>3.6639512148252347E-2</v>
      </c>
      <c r="BU25">
        <v>3.5824657672222308E-2</v>
      </c>
      <c r="BV25">
        <v>3.5033774139095898E-2</v>
      </c>
      <c r="BW25">
        <v>3.4266039281567719E-2</v>
      </c>
      <c r="BX25">
        <v>3.3519906672242479E-2</v>
      </c>
      <c r="BY25">
        <v>3.2796658249947153E-2</v>
      </c>
      <c r="BZ25">
        <v>3.2094769849082022E-2</v>
      </c>
      <c r="CA25">
        <v>3.1411513001320841E-2</v>
      </c>
      <c r="CB25">
        <v>3.0749619814804709E-2</v>
      </c>
      <c r="CC25">
        <v>3.0106170594769961E-2</v>
      </c>
      <c r="CD25">
        <v>2.9479591844458881E-2</v>
      </c>
      <c r="CE25">
        <v>2.887529508311526E-2</v>
      </c>
      <c r="CF25">
        <v>2.8282214324914991E-2</v>
      </c>
      <c r="CG25">
        <v>2.770181680269064E-2</v>
      </c>
      <c r="CH25">
        <v>2.7145033687636381E-2</v>
      </c>
      <c r="CI25">
        <v>2.6641115767575441E-2</v>
      </c>
      <c r="CJ25">
        <v>2.609345820952404E-2</v>
      </c>
      <c r="CK25">
        <v>2.5596544657161172E-2</v>
      </c>
      <c r="CL25">
        <v>2.5062919135182299E-2</v>
      </c>
      <c r="CM25">
        <v>2.4582932767274919E-2</v>
      </c>
      <c r="CN25">
        <v>2.3890983597699641E-2</v>
      </c>
      <c r="CO25">
        <v>2.3677340771696951E-2</v>
      </c>
      <c r="CP25">
        <v>2.3136003452828579E-2</v>
      </c>
      <c r="CQ25">
        <v>2.286144423911338E-2</v>
      </c>
      <c r="CR25">
        <v>2.199084797571697E-2</v>
      </c>
      <c r="CS25">
        <v>2.1602238729444421E-2</v>
      </c>
      <c r="CT25">
        <v>2.1943586341195979E-2</v>
      </c>
      <c r="CU25">
        <v>2.0775958205764451E-2</v>
      </c>
      <c r="CV25">
        <v>2.1688003372436301E-2</v>
      </c>
    </row>
    <row r="26" spans="15:100" x14ac:dyDescent="0.25">
      <c r="X26">
        <v>3.333333333333334E-3</v>
      </c>
      <c r="Y26">
        <v>1.889685802426351E-2</v>
      </c>
      <c r="Z26">
        <v>3.1262951735201598E-2</v>
      </c>
      <c r="AA26">
        <v>4.1466915243007177E-2</v>
      </c>
      <c r="AB26">
        <v>4.9795809093234077E-2</v>
      </c>
      <c r="AC26">
        <v>5.6511197923066032E-2</v>
      </c>
      <c r="AD26">
        <v>6.1848741290520003E-2</v>
      </c>
      <c r="AE26">
        <v>6.6016877257478013E-2</v>
      </c>
      <c r="AF26">
        <v>6.9197469493929298E-2</v>
      </c>
      <c r="AG26">
        <v>7.1547649876781083E-2</v>
      </c>
      <c r="AH26">
        <v>7.3202223274507691E-2</v>
      </c>
      <c r="AI26">
        <v>7.4276241315511415E-2</v>
      </c>
      <c r="AJ26">
        <v>7.4867519862887838E-2</v>
      </c>
      <c r="AK26">
        <v>7.505898118771788E-2</v>
      </c>
      <c r="AL26">
        <v>7.4920766690629886E-2</v>
      </c>
      <c r="AM26">
        <v>7.45121042354525E-2</v>
      </c>
      <c r="AN26">
        <v>7.3882935747374756E-2</v>
      </c>
      <c r="AO26">
        <v>7.3075322062248607E-2</v>
      </c>
      <c r="AP26">
        <v>7.212464711026334E-2</v>
      </c>
      <c r="AQ26">
        <v>7.1060644991722668E-2</v>
      </c>
      <c r="AR26">
        <v>6.9908272911014507E-2</v>
      </c>
      <c r="AS26">
        <v>6.8688451273269738E-2</v>
      </c>
      <c r="AT26">
        <v>6.741869010664249E-2</v>
      </c>
      <c r="AU26">
        <v>6.611361869600195E-2</v>
      </c>
      <c r="AV26">
        <v>6.4785433100723752E-2</v>
      </c>
      <c r="AW26">
        <v>6.3444274179252969E-2</v>
      </c>
      <c r="AX26">
        <v>6.2098546902639343E-2</v>
      </c>
      <c r="AY26">
        <v>6.0755190120000017E-2</v>
      </c>
      <c r="AZ26">
        <v>5.9419904534250043E-2</v>
      </c>
      <c r="BA26">
        <v>5.8097345440171887E-2</v>
      </c>
      <c r="BB26">
        <v>5.6791285748438329E-2</v>
      </c>
      <c r="BC26">
        <v>5.5504753946857922E-2</v>
      </c>
      <c r="BD26">
        <v>5.4240150912836418E-2</v>
      </c>
      <c r="BE26">
        <v>5.2999348870032902E-2</v>
      </c>
      <c r="BF26">
        <v>5.1783775260889932E-2</v>
      </c>
      <c r="BG26">
        <v>5.0594483862875378E-2</v>
      </c>
      <c r="BH26">
        <v>4.9432215122672728E-2</v>
      </c>
      <c r="BI26">
        <v>4.8297447322623997E-2</v>
      </c>
      <c r="BJ26">
        <v>4.7190440034585668E-2</v>
      </c>
      <c r="BK26">
        <v>4.6111271066305817E-2</v>
      </c>
      <c r="BL26">
        <v>4.5059867803015588E-2</v>
      </c>
      <c r="BM26">
        <v>4.4036033064047263E-2</v>
      </c>
      <c r="BN26">
        <v>4.3039469356592988E-2</v>
      </c>
      <c r="BO26">
        <v>4.2069796077763733E-2</v>
      </c>
      <c r="BP26">
        <v>4.1126568431363413E-2</v>
      </c>
      <c r="BQ26">
        <v>4.0209282574808193E-2</v>
      </c>
      <c r="BR26">
        <v>3.9317401007178683E-2</v>
      </c>
      <c r="BS26">
        <v>3.8450357531115767E-2</v>
      </c>
      <c r="BT26">
        <v>3.7607577344168877E-2</v>
      </c>
      <c r="BU26">
        <v>3.6788377250391822E-2</v>
      </c>
      <c r="BV26">
        <v>3.5992202868482148E-2</v>
      </c>
      <c r="BW26">
        <v>3.5218383249779592E-2</v>
      </c>
      <c r="BX26">
        <v>3.4466453628471769E-2</v>
      </c>
      <c r="BY26">
        <v>3.3735569871442252E-2</v>
      </c>
      <c r="BZ26">
        <v>3.302509640133032E-2</v>
      </c>
      <c r="CA26">
        <v>3.2334453380090181E-2</v>
      </c>
      <c r="CB26">
        <v>3.1663667360147453E-2</v>
      </c>
      <c r="CC26">
        <v>3.1011164951071091E-2</v>
      </c>
      <c r="CD26">
        <v>3.0376759277687619E-2</v>
      </c>
      <c r="CE26">
        <v>2.9762896380108001E-2</v>
      </c>
      <c r="CF26">
        <v>2.916360163565886E-2</v>
      </c>
      <c r="CG26">
        <v>2.8566519987280929E-2</v>
      </c>
      <c r="CH26">
        <v>2.8009189119886591E-2</v>
      </c>
      <c r="CI26">
        <v>2.7467177221974219E-2</v>
      </c>
      <c r="CJ26">
        <v>2.6915314119160979E-2</v>
      </c>
      <c r="CK26">
        <v>2.6399730980757381E-2</v>
      </c>
      <c r="CL26">
        <v>2.591712910333923E-2</v>
      </c>
      <c r="CM26">
        <v>2.542221632799337E-2</v>
      </c>
      <c r="CN26">
        <v>2.498637592096636E-2</v>
      </c>
      <c r="CO26">
        <v>2.432635765279505E-2</v>
      </c>
      <c r="CP26">
        <v>2.4082648195932942E-2</v>
      </c>
      <c r="CQ26">
        <v>2.3548581597919071E-2</v>
      </c>
      <c r="CR26">
        <v>2.3983070092891041E-2</v>
      </c>
      <c r="CS26">
        <v>2.2652382351028452E-2</v>
      </c>
      <c r="CT26">
        <v>2.2622214007296901E-2</v>
      </c>
      <c r="CU26">
        <v>2.3390387721496281E-2</v>
      </c>
      <c r="CV26">
        <v>2.054542327146127E-2</v>
      </c>
    </row>
    <row r="27" spans="15:100" x14ac:dyDescent="0.25">
      <c r="Y27">
        <v>3.0769230769230769E-3</v>
      </c>
      <c r="Z27">
        <v>1.7501974876065571E-2</v>
      </c>
      <c r="AA27">
        <v>2.9054220677978849E-2</v>
      </c>
      <c r="AB27">
        <v>3.8668439979710513E-2</v>
      </c>
      <c r="AC27">
        <v>4.6590694533154828E-2</v>
      </c>
      <c r="AD27">
        <v>5.3046465493459642E-2</v>
      </c>
      <c r="AE27">
        <v>5.8240497248089933E-2</v>
      </c>
      <c r="AF27">
        <v>6.2355367852391097E-2</v>
      </c>
      <c r="AG27">
        <v>6.5551690108280158E-2</v>
      </c>
      <c r="AH27">
        <v>6.7969368873602595E-2</v>
      </c>
      <c r="AI27">
        <v>6.9729397257381365E-2</v>
      </c>
      <c r="AJ27">
        <v>7.0935858364405191E-2</v>
      </c>
      <c r="AK27">
        <v>7.1677933929897644E-2</v>
      </c>
      <c r="AL27">
        <v>7.2031808925453134E-2</v>
      </c>
      <c r="AM27">
        <v>7.2062416301861651E-2</v>
      </c>
      <c r="AN27">
        <v>7.1824999619817628E-2</v>
      </c>
      <c r="AO27">
        <v>7.136649112537774E-2</v>
      </c>
      <c r="AP27">
        <v>7.0726713943607106E-2</v>
      </c>
      <c r="AQ27">
        <v>6.9939422694145548E-2</v>
      </c>
      <c r="AR27">
        <v>6.9033199198610284E-2</v>
      </c>
      <c r="AS27">
        <v>6.8032220327831155E-2</v>
      </c>
      <c r="AT27">
        <v>6.6956914322504182E-2</v>
      </c>
      <c r="AU27">
        <v>6.5824520631008257E-2</v>
      </c>
      <c r="AV27">
        <v>6.4649566776406014E-2</v>
      </c>
      <c r="AW27">
        <v>6.3444274179252969E-2</v>
      </c>
      <c r="AX27">
        <v>6.2218903338030013E-2</v>
      </c>
      <c r="AY27">
        <v>6.0982047359767172E-2</v>
      </c>
      <c r="AZ27">
        <v>5.9740881566290212E-2</v>
      </c>
      <c r="BA27">
        <v>5.8501375782316137E-2</v>
      </c>
      <c r="BB27">
        <v>5.7268474935698872E-2</v>
      </c>
      <c r="BC27">
        <v>5.6046252756909568E-2</v>
      </c>
      <c r="BD27">
        <v>5.4838042641167303E-2</v>
      </c>
      <c r="BE27">
        <v>5.3646549118430663E-2</v>
      </c>
      <c r="BF27">
        <v>5.2473942851129073E-2</v>
      </c>
      <c r="BG27">
        <v>5.1321941632180373E-2</v>
      </c>
      <c r="BH27">
        <v>5.0191879475096422E-2</v>
      </c>
      <c r="BI27">
        <v>4.90847655884048E-2</v>
      </c>
      <c r="BJ27">
        <v>4.8001334696682732E-2</v>
      </c>
      <c r="BK27">
        <v>4.6942090029857303E-2</v>
      </c>
      <c r="BL27">
        <v>4.5907340084517467E-2</v>
      </c>
      <c r="BM27">
        <v>4.4897229846979678E-2</v>
      </c>
      <c r="BN27">
        <v>4.3911768039921452E-2</v>
      </c>
      <c r="BO27">
        <v>4.2950849259067482E-2</v>
      </c>
      <c r="BP27">
        <v>4.2014273865373652E-2</v>
      </c>
      <c r="BQ27">
        <v>4.1101766458128429E-2</v>
      </c>
      <c r="BR27">
        <v>4.0212982668115023E-2</v>
      </c>
      <c r="BS27">
        <v>3.9347538371522259E-2</v>
      </c>
      <c r="BT27">
        <v>3.8504990448589051E-2</v>
      </c>
      <c r="BU27">
        <v>3.768489975175332E-2</v>
      </c>
      <c r="BV27">
        <v>3.6886720048959092E-2</v>
      </c>
      <c r="BW27">
        <v>3.6110064345460928E-2</v>
      </c>
      <c r="BX27">
        <v>3.5354356356691742E-2</v>
      </c>
      <c r="BY27">
        <v>3.4618951307624671E-2</v>
      </c>
      <c r="BZ27">
        <v>3.3903337624002161E-2</v>
      </c>
      <c r="CA27">
        <v>3.3207568892644312E-2</v>
      </c>
      <c r="CB27">
        <v>3.2530414002644191E-2</v>
      </c>
      <c r="CC27">
        <v>3.1871263815855512E-2</v>
      </c>
      <c r="CD27">
        <v>3.1230531377982759E-2</v>
      </c>
      <c r="CE27">
        <v>3.0608722191888559E-2</v>
      </c>
      <c r="CF27">
        <v>3.0000492837236891E-2</v>
      </c>
      <c r="CG27">
        <v>2.9403583043713152E-2</v>
      </c>
      <c r="CH27">
        <v>2.8836709177236009E-2</v>
      </c>
      <c r="CI27">
        <v>2.8265196193069352E-2</v>
      </c>
      <c r="CJ27">
        <v>2.7739083766959879E-2</v>
      </c>
      <c r="CK27">
        <v>2.7180769799907929E-2</v>
      </c>
      <c r="CL27">
        <v>2.667376348411124E-2</v>
      </c>
      <c r="CM27">
        <v>2.620741718129322E-2</v>
      </c>
      <c r="CN27">
        <v>2.563688841617752E-2</v>
      </c>
      <c r="CO27">
        <v>2.5263128353274489E-2</v>
      </c>
      <c r="CP27">
        <v>2.4452670663072919E-2</v>
      </c>
      <c r="CQ27">
        <v>2.4379563446268241E-2</v>
      </c>
      <c r="CR27">
        <v>2.395840453833448E-2</v>
      </c>
      <c r="CS27">
        <v>2.3517015146254611E-2</v>
      </c>
      <c r="CT27">
        <v>2.2564467473071979E-2</v>
      </c>
      <c r="CU27">
        <v>2.3459620263558689E-2</v>
      </c>
      <c r="CV27">
        <v>2.2507625961739941E-2</v>
      </c>
    </row>
    <row r="28" spans="15:100" x14ac:dyDescent="0.25">
      <c r="Z28">
        <v>2.8490028490028491E-3</v>
      </c>
      <c r="AA28">
        <v>1.6255883957504259E-2</v>
      </c>
      <c r="AB28">
        <v>2.707080629682506E-2</v>
      </c>
      <c r="AC28">
        <v>3.6142094199405603E-2</v>
      </c>
      <c r="AD28">
        <v>4.3681818160059588E-2</v>
      </c>
      <c r="AE28">
        <v>4.9885271336232079E-2</v>
      </c>
      <c r="AF28">
        <v>5.4931059442400287E-2</v>
      </c>
      <c r="AG28">
        <v>5.8979654026946687E-2</v>
      </c>
      <c r="AH28">
        <v>6.217329581525282E-2</v>
      </c>
      <c r="AI28">
        <v>6.4636824371944471E-2</v>
      </c>
      <c r="AJ28">
        <v>6.6479011534427132E-2</v>
      </c>
      <c r="AK28">
        <v>6.7794116801811494E-2</v>
      </c>
      <c r="AL28">
        <v>6.8663490919772308E-2</v>
      </c>
      <c r="AM28">
        <v>6.915712627694845E-2</v>
      </c>
      <c r="AN28">
        <v>6.9335099286809546E-2</v>
      </c>
      <c r="AO28">
        <v>6.924887924192713E-2</v>
      </c>
      <c r="AP28">
        <v>6.8942495881973417E-2</v>
      </c>
      <c r="AQ28">
        <v>6.8453568548300578E-2</v>
      </c>
      <c r="AR28">
        <v>6.7814205496076377E-2</v>
      </c>
      <c r="AS28">
        <v>6.7051784820032129E-2</v>
      </c>
      <c r="AT28">
        <v>6.6189629454509361E-2</v>
      </c>
      <c r="AU28">
        <v>6.5247588651725197E-2</v>
      </c>
      <c r="AV28">
        <v>6.4242537673387543E-2</v>
      </c>
      <c r="AW28">
        <v>6.3188806455266741E-2</v>
      </c>
      <c r="AX28">
        <v>6.2098546902639343E-2</v>
      </c>
      <c r="AY28">
        <v>6.0982047359767172E-2</v>
      </c>
      <c r="AZ28">
        <v>5.984800173099445E-2</v>
      </c>
      <c r="BA28">
        <v>5.8703739748372528E-2</v>
      </c>
      <c r="BB28">
        <v>5.7555423995305131E-2</v>
      </c>
      <c r="BC28">
        <v>5.640821851082118E-2</v>
      </c>
      <c r="BD28">
        <v>5.5266433111325369E-2</v>
      </c>
      <c r="BE28">
        <v>5.413364696910871E-2</v>
      </c>
      <c r="BF28">
        <v>5.3012814470861577E-2</v>
      </c>
      <c r="BG28">
        <v>5.1906355936176068E-2</v>
      </c>
      <c r="BH28">
        <v>5.0816235395862469E-2</v>
      </c>
      <c r="BI28">
        <v>4.974402730532998E-2</v>
      </c>
      <c r="BJ28">
        <v>4.8690973791454047E-2</v>
      </c>
      <c r="BK28">
        <v>4.7658033802222978E-2</v>
      </c>
      <c r="BL28">
        <v>4.6645925301416917E-2</v>
      </c>
      <c r="BM28">
        <v>4.5655161523809197E-2</v>
      </c>
      <c r="BN28">
        <v>4.4686082157624221E-2</v>
      </c>
      <c r="BO28">
        <v>4.3738880023011538E-2</v>
      </c>
      <c r="BP28">
        <v>4.2813624273035228E-2</v>
      </c>
      <c r="BQ28">
        <v>4.1910279908807538E-2</v>
      </c>
      <c r="BR28">
        <v>4.1028725051030807E-2</v>
      </c>
      <c r="BS28">
        <v>4.0168765766383799E-2</v>
      </c>
      <c r="BT28">
        <v>3.933014959819995E-2</v>
      </c>
      <c r="BU28">
        <v>3.851256689012391E-2</v>
      </c>
      <c r="BV28">
        <v>3.7715682922986569E-2</v>
      </c>
      <c r="BW28">
        <v>3.6939105846539581E-2</v>
      </c>
      <c r="BX28">
        <v>3.6182489417510587E-2</v>
      </c>
      <c r="BY28">
        <v>3.5445316728496601E-2</v>
      </c>
      <c r="BZ28">
        <v>3.4727316669127248E-2</v>
      </c>
      <c r="CA28">
        <v>3.4027830684065237E-2</v>
      </c>
      <c r="CB28">
        <v>3.3346248165215392E-2</v>
      </c>
      <c r="CC28">
        <v>3.268300061021745E-2</v>
      </c>
      <c r="CD28">
        <v>3.2036574682914237E-2</v>
      </c>
      <c r="CE28">
        <v>3.1407395404664078E-2</v>
      </c>
      <c r="CF28">
        <v>3.0793640865815462E-2</v>
      </c>
      <c r="CG28">
        <v>3.0196093559381E-2</v>
      </c>
      <c r="CH28">
        <v>2.9613412720813932E-2</v>
      </c>
      <c r="CI28">
        <v>2.904493979510854E-2</v>
      </c>
      <c r="CJ28">
        <v>2.847696068230457E-2</v>
      </c>
      <c r="CK28">
        <v>2.7956206930115E-2</v>
      </c>
      <c r="CL28">
        <v>2.7471245526195641E-2</v>
      </c>
      <c r="CM28">
        <v>2.6894544046727829E-2</v>
      </c>
      <c r="CN28">
        <v>2.6415140143697939E-2</v>
      </c>
      <c r="CO28">
        <v>2.5911473750858321E-2</v>
      </c>
      <c r="CP28">
        <v>2.568239692269084E-2</v>
      </c>
      <c r="CQ28">
        <v>2.5117817724585371E-2</v>
      </c>
      <c r="CR28">
        <v>2.4043140275775171E-2</v>
      </c>
      <c r="CS28">
        <v>2.4192743278147789E-2</v>
      </c>
      <c r="CT28">
        <v>2.4333575129984429E-2</v>
      </c>
      <c r="CU28">
        <v>2.435730068878094E-2</v>
      </c>
      <c r="CV28">
        <v>2.2323614491227911E-2</v>
      </c>
    </row>
    <row r="29" spans="15:100" x14ac:dyDescent="0.25">
      <c r="AA29">
        <v>2.6455026455026449E-3</v>
      </c>
      <c r="AB29">
        <v>1.513816985996759E-2</v>
      </c>
      <c r="AC29">
        <v>2.5283166740551161E-2</v>
      </c>
      <c r="AD29">
        <v>3.3853940405225623E-2</v>
      </c>
      <c r="AE29">
        <v>4.1034201586046301E-2</v>
      </c>
      <c r="AF29">
        <v>4.6993850460966539E-2</v>
      </c>
      <c r="AG29">
        <v>5.1889291831003763E-2</v>
      </c>
      <c r="AH29">
        <v>5.5862029888935051E-2</v>
      </c>
      <c r="AI29">
        <v>5.9038377820130702E-2</v>
      </c>
      <c r="AJ29">
        <v>6.152997571549617E-2</v>
      </c>
      <c r="AK29">
        <v>6.3434771664873796E-2</v>
      </c>
      <c r="AL29">
        <v>6.4838228087627334E-2</v>
      </c>
      <c r="AM29">
        <v>6.5814602223463262E-2</v>
      </c>
      <c r="AN29">
        <v>6.6428209232821639E-2</v>
      </c>
      <c r="AO29">
        <v>6.6734615856852697E-2</v>
      </c>
      <c r="AP29">
        <v>6.6781737676328612E-2</v>
      </c>
      <c r="AQ29">
        <v>6.6610829090633705E-2</v>
      </c>
      <c r="AR29">
        <v>6.6257364756239306E-2</v>
      </c>
      <c r="AS29">
        <v>6.575181696359654E-2</v>
      </c>
      <c r="AT29">
        <v>6.5120336442241814E-2</v>
      </c>
      <c r="AU29">
        <v>6.4385345531604743E-2</v>
      </c>
      <c r="AV29">
        <v>6.3566053011194668E-2</v>
      </c>
      <c r="AW29">
        <v>6.2678899684571923E-2</v>
      </c>
      <c r="AX29">
        <v>6.1737943231686042E-2</v>
      </c>
      <c r="AY29">
        <v>6.0755190120000017E-2</v>
      </c>
      <c r="AZ29">
        <v>5.9740881566290212E-2</v>
      </c>
      <c r="BA29">
        <v>5.8703739748372528E-2</v>
      </c>
      <c r="BB29">
        <v>5.7651179712052282E-2</v>
      </c>
      <c r="BC29">
        <v>5.6589491723958822E-2</v>
      </c>
      <c r="BD29">
        <v>5.5523998193775868E-2</v>
      </c>
      <c r="BE29">
        <v>5.4459188731508602E-2</v>
      </c>
      <c r="BF29">
        <v>5.339883641434541E-2</v>
      </c>
      <c r="BG29">
        <v>5.2346097908778561E-2</v>
      </c>
      <c r="BH29">
        <v>5.130359972117788E-2</v>
      </c>
      <c r="BI29">
        <v>5.0273512528208442E-2</v>
      </c>
      <c r="BJ29">
        <v>4.9257615260715593E-2</v>
      </c>
      <c r="BK29">
        <v>4.8257350376448432E-2</v>
      </c>
      <c r="BL29">
        <v>4.7273871552103358E-2</v>
      </c>
      <c r="BM29">
        <v>4.6308084857159787E-2</v>
      </c>
      <c r="BN29">
        <v>4.5360684284044203E-2</v>
      </c>
      <c r="BO29">
        <v>4.4432182474731359E-2</v>
      </c>
      <c r="BP29">
        <v>4.3522937214394312E-2</v>
      </c>
      <c r="BQ29">
        <v>4.2633174487894943E-2</v>
      </c>
      <c r="BR29">
        <v>4.1763008078254331E-2</v>
      </c>
      <c r="BS29">
        <v>4.0912456544560293E-2</v>
      </c>
      <c r="BT29">
        <v>4.0081458598563373E-2</v>
      </c>
      <c r="BU29">
        <v>3.9269886695295159E-2</v>
      </c>
      <c r="BV29">
        <v>3.8477554619116769E-2</v>
      </c>
      <c r="BW29">
        <v>3.7704230172839602E-2</v>
      </c>
      <c r="BX29">
        <v>3.6949643969452738E-2</v>
      </c>
      <c r="BY29">
        <v>3.6213518969253969E-2</v>
      </c>
      <c r="BZ29">
        <v>3.5495470440250837E-2</v>
      </c>
      <c r="CA29">
        <v>3.4795223708501653E-2</v>
      </c>
      <c r="CB29">
        <v>3.4112238440619641E-2</v>
      </c>
      <c r="CC29">
        <v>3.3446415972293711E-2</v>
      </c>
      <c r="CD29">
        <v>3.2797316788559412E-2</v>
      </c>
      <c r="CE29">
        <v>3.2163940351550409E-2</v>
      </c>
      <c r="CF29">
        <v>3.1547601632115368E-2</v>
      </c>
      <c r="CG29">
        <v>3.0944081021987702E-2</v>
      </c>
      <c r="CH29">
        <v>3.035560212329922E-2</v>
      </c>
      <c r="CI29">
        <v>2.978541937240467E-2</v>
      </c>
      <c r="CJ29">
        <v>2.922558366141307E-2</v>
      </c>
      <c r="CK29">
        <v>2.8699496053961639E-2</v>
      </c>
      <c r="CL29">
        <v>2.8138233395114429E-2</v>
      </c>
      <c r="CM29">
        <v>2.7630768722853E-2</v>
      </c>
      <c r="CN29">
        <v>2.714548833706942E-2</v>
      </c>
      <c r="CO29">
        <v>2.6655590200700109E-2</v>
      </c>
      <c r="CP29">
        <v>2.6090047647955319E-2</v>
      </c>
      <c r="CQ29">
        <v>2.5651981941005968E-2</v>
      </c>
      <c r="CR29">
        <v>2.5183339889121741E-2</v>
      </c>
      <c r="CS29">
        <v>2.4858116643293071E-2</v>
      </c>
      <c r="CT29">
        <v>2.3998218956389109E-2</v>
      </c>
      <c r="CU29">
        <v>2.3048298945103501E-2</v>
      </c>
      <c r="CV29">
        <v>2.4459000332857219E-2</v>
      </c>
    </row>
    <row r="30" spans="15:100" x14ac:dyDescent="0.25">
      <c r="AB30">
        <v>2.4630541871921178E-3</v>
      </c>
      <c r="AC30">
        <v>1.4131799327905391E-2</v>
      </c>
      <c r="AD30">
        <v>2.3666433230270911E-2</v>
      </c>
      <c r="AE30">
        <v>3.177513541091774E-2</v>
      </c>
      <c r="AF30">
        <v>3.8617814771790937E-2</v>
      </c>
      <c r="AG30">
        <v>4.434290206032012E-2</v>
      </c>
      <c r="AH30">
        <v>4.9087863436896903E-2</v>
      </c>
      <c r="AI30">
        <v>5.2977870871008421E-2</v>
      </c>
      <c r="AJ30">
        <v>5.6125390773845783E-2</v>
      </c>
      <c r="AK30">
        <v>5.8630475629929887E-2</v>
      </c>
      <c r="AL30">
        <v>6.0581476613188481E-2</v>
      </c>
      <c r="AM30">
        <v>6.2055976477390043E-2</v>
      </c>
      <c r="AN30">
        <v>6.3121811727285149E-2</v>
      </c>
      <c r="AO30">
        <v>6.3838102374592573E-2</v>
      </c>
      <c r="AP30">
        <v>6.4256240596886838E-2</v>
      </c>
      <c r="AQ30">
        <v>6.4420811485809776E-2</v>
      </c>
      <c r="AR30">
        <v>6.4370433064906404E-2</v>
      </c>
      <c r="AS30">
        <v>6.4138511686011049E-2</v>
      </c>
      <c r="AT30">
        <v>6.3753914216804514E-2</v>
      </c>
      <c r="AU30">
        <v>6.3241561635051236E-2</v>
      </c>
      <c r="AV30">
        <v>6.2622950198008537E-2</v>
      </c>
      <c r="AW30">
        <v>6.1916607079480331E-2</v>
      </c>
      <c r="AX30">
        <v>6.1138487429337127E-2</v>
      </c>
      <c r="AY30">
        <v>6.0302319563535239E-2</v>
      </c>
      <c r="AZ30">
        <v>5.9419904534250043E-2</v>
      </c>
      <c r="BA30">
        <v>5.8501375782316137E-2</v>
      </c>
      <c r="BB30">
        <v>5.7555423995305131E-2</v>
      </c>
      <c r="BC30">
        <v>5.6589491723958822E-2</v>
      </c>
      <c r="BD30">
        <v>5.560994177009445E-2</v>
      </c>
      <c r="BE30">
        <v>5.4622202861687688E-2</v>
      </c>
      <c r="BF30">
        <v>5.3630895681061448E-2</v>
      </c>
      <c r="BG30">
        <v>5.2639941910588163E-2</v>
      </c>
      <c r="BH30">
        <v>5.1652658605384177E-2</v>
      </c>
      <c r="BI30">
        <v>5.0671839890988057E-2</v>
      </c>
      <c r="BJ30">
        <v>4.9699827712121017E-2</v>
      </c>
      <c r="BK30">
        <v>4.8738573122267898E-2</v>
      </c>
      <c r="BL30">
        <v>4.7789689399043732E-2</v>
      </c>
      <c r="BM30">
        <v>4.685449809357118E-2</v>
      </c>
      <c r="BN30">
        <v>4.5934068969165472E-2</v>
      </c>
      <c r="BO30">
        <v>4.502925464992738E-2</v>
      </c>
      <c r="BP30">
        <v>4.4140720692123291E-2</v>
      </c>
      <c r="BQ30">
        <v>4.3268971714975603E-2</v>
      </c>
      <c r="BR30">
        <v>4.2414374007284053E-2</v>
      </c>
      <c r="BS30">
        <v>4.157717536650149E-2</v>
      </c>
      <c r="BT30">
        <v>4.075752212225775E-2</v>
      </c>
      <c r="BU30">
        <v>3.9955473871908939E-2</v>
      </c>
      <c r="BV30">
        <v>3.9171015678032488E-2</v>
      </c>
      <c r="BW30">
        <v>3.8404071402169379E-2</v>
      </c>
      <c r="BX30">
        <v>3.7654516174879658E-2</v>
      </c>
      <c r="BY30">
        <v>3.6922171042404958E-2</v>
      </c>
      <c r="BZ30">
        <v>3.6206830807692672E-2</v>
      </c>
      <c r="CA30">
        <v>3.5508203906013613E-2</v>
      </c>
      <c r="CB30">
        <v>3.4826098919340708E-2</v>
      </c>
      <c r="CC30">
        <v>3.4160229142867447E-2</v>
      </c>
      <c r="CD30">
        <v>3.351017766877562E-2</v>
      </c>
      <c r="CE30">
        <v>3.2876068697833848E-2</v>
      </c>
      <c r="CF30">
        <v>3.2256941244922843E-2</v>
      </c>
      <c r="CG30">
        <v>3.1653216724057368E-2</v>
      </c>
      <c r="CH30">
        <v>3.106291348964892E-2</v>
      </c>
      <c r="CI30">
        <v>3.0491410221745719E-2</v>
      </c>
      <c r="CJ30">
        <v>2.9919932612901521E-2</v>
      </c>
      <c r="CK30">
        <v>2.938051168961181E-2</v>
      </c>
      <c r="CL30">
        <v>2.8850901886041419E-2</v>
      </c>
      <c r="CM30">
        <v>2.8335194256129761E-2</v>
      </c>
      <c r="CN30">
        <v>2.7822991118542709E-2</v>
      </c>
      <c r="CO30">
        <v>2.7288750753551139E-2</v>
      </c>
      <c r="CP30">
        <v>2.675562803769424E-2</v>
      </c>
      <c r="CQ30">
        <v>2.6261001316367629E-2</v>
      </c>
      <c r="CR30">
        <v>2.5717980795580041E-2</v>
      </c>
      <c r="CS30">
        <v>2.5531836750709209E-2</v>
      </c>
      <c r="CT30">
        <v>2.5417344559302179E-2</v>
      </c>
      <c r="CU30">
        <v>2.4363774910557329E-2</v>
      </c>
      <c r="CV30">
        <v>2.3430040220525899E-2</v>
      </c>
    </row>
    <row r="31" spans="15:100" x14ac:dyDescent="0.25">
      <c r="AC31">
        <v>2.2988505747126441E-3</v>
      </c>
      <c r="AD31">
        <v>1.3222471025464659E-2</v>
      </c>
      <c r="AE31">
        <v>2.2199552889291371E-2</v>
      </c>
      <c r="AF31">
        <v>2.9881045916750251E-2</v>
      </c>
      <c r="AG31">
        <v>3.6406770950785289E-2</v>
      </c>
      <c r="AH31">
        <v>4.1906918204680253E-2</v>
      </c>
      <c r="AI31">
        <v>4.6502730682882402E-2</v>
      </c>
      <c r="AJ31">
        <v>5.0305268314702133E-2</v>
      </c>
      <c r="AK31">
        <v>5.3414926373924823E-2</v>
      </c>
      <c r="AL31">
        <v>5.592156393671769E-2</v>
      </c>
      <c r="AM31">
        <v>5.7905011981715958E-2</v>
      </c>
      <c r="AN31">
        <v>5.9435791669275401E-2</v>
      </c>
      <c r="AO31">
        <v>6.0575929662808781E-2</v>
      </c>
      <c r="AP31">
        <v>6.1379797975900541E-2</v>
      </c>
      <c r="AQ31">
        <v>6.1894933424874572E-2</v>
      </c>
      <c r="AR31">
        <v>6.2162810989638363E-2</v>
      </c>
      <c r="AS31">
        <v>6.2219557104190408E-2</v>
      </c>
      <c r="AT31">
        <v>6.2096597436732501E-2</v>
      </c>
      <c r="AU31">
        <v>6.1821238429589823E-2</v>
      </c>
      <c r="AV31">
        <v>6.141718492898763E-2</v>
      </c>
      <c r="AW31">
        <v>6.0904998119706358E-2</v>
      </c>
      <c r="AX31">
        <v>6.0302498671240719E-2</v>
      </c>
      <c r="AY31">
        <v>5.962512039702756E-2</v>
      </c>
      <c r="AZ31">
        <v>5.8886219648394342E-2</v>
      </c>
      <c r="BA31">
        <v>5.8097345440171887E-2</v>
      </c>
      <c r="BB31">
        <v>5.7268474935698872E-2</v>
      </c>
      <c r="BC31">
        <v>5.640821851082118E-2</v>
      </c>
      <c r="BD31">
        <v>5.5523998193775868E-2</v>
      </c>
      <c r="BE31">
        <v>5.4622202861687688E-2</v>
      </c>
      <c r="BF31">
        <v>5.3708323184438529E-2</v>
      </c>
      <c r="BG31">
        <v>5.2787068946106852E-2</v>
      </c>
      <c r="BH31">
        <v>5.1862471047803019E-2</v>
      </c>
      <c r="BI31">
        <v>5.0937970203388007E-2</v>
      </c>
      <c r="BJ31">
        <v>5.0016494080113022E-2</v>
      </c>
      <c r="BK31">
        <v>4.910052440750004E-2</v>
      </c>
      <c r="BL31">
        <v>4.8192155377156667E-2</v>
      </c>
      <c r="BM31">
        <v>4.7293144480928979E-2</v>
      </c>
      <c r="BN31">
        <v>4.640495678248175E-2</v>
      </c>
      <c r="BO31">
        <v>4.5528803483241523E-2</v>
      </c>
      <c r="BP31">
        <v>4.4665675532223177E-2</v>
      </c>
      <c r="BQ31">
        <v>4.381637292761293E-2</v>
      </c>
      <c r="BR31">
        <v>4.2981530263428082E-2</v>
      </c>
      <c r="BS31">
        <v>4.2161638986076951E-2</v>
      </c>
      <c r="BT31">
        <v>4.1357066975635542E-2</v>
      </c>
      <c r="BU31">
        <v>4.0568075185849171E-2</v>
      </c>
      <c r="BV31">
        <v>3.9794832748217969E-2</v>
      </c>
      <c r="BW31">
        <v>3.9037430715563502E-2</v>
      </c>
      <c r="BX31">
        <v>3.8295890642453208E-2</v>
      </c>
      <c r="BY31">
        <v>3.7570176684227893E-2</v>
      </c>
      <c r="BZ31">
        <v>3.6860208620742928E-2</v>
      </c>
      <c r="CA31">
        <v>3.6165858909470619E-2</v>
      </c>
      <c r="CB31">
        <v>3.5486939861904501E-2</v>
      </c>
      <c r="CC31">
        <v>3.4823329508331238E-2</v>
      </c>
      <c r="CD31">
        <v>3.4174731794628613E-2</v>
      </c>
      <c r="CE31">
        <v>3.3541090169633088E-2</v>
      </c>
      <c r="CF31">
        <v>3.2921647601661601E-2</v>
      </c>
      <c r="CG31">
        <v>3.2316735962906941E-2</v>
      </c>
      <c r="CH31">
        <v>3.1725449054427132E-2</v>
      </c>
      <c r="CI31">
        <v>3.1148103802564608E-2</v>
      </c>
      <c r="CJ31">
        <v>3.0584346188298459E-2</v>
      </c>
      <c r="CK31">
        <v>3.002985229236382E-2</v>
      </c>
      <c r="CL31">
        <v>2.9497344170673762E-2</v>
      </c>
      <c r="CM31">
        <v>2.8978491880366532E-2</v>
      </c>
      <c r="CN31">
        <v>2.8473358386045609E-2</v>
      </c>
      <c r="CO31">
        <v>2.796404564908175E-2</v>
      </c>
      <c r="CP31">
        <v>2.7474845534520179E-2</v>
      </c>
      <c r="CQ31">
        <v>2.6909435183485639E-2</v>
      </c>
      <c r="CR31">
        <v>2.6621164978241331E-2</v>
      </c>
      <c r="CS31">
        <v>2.6236824407550319E-2</v>
      </c>
      <c r="CT31">
        <v>2.5628597380542191E-2</v>
      </c>
      <c r="CU31">
        <v>2.5718571000558139E-2</v>
      </c>
      <c r="CV31">
        <v>2.466374767518242E-2</v>
      </c>
    </row>
    <row r="32" spans="15:100" x14ac:dyDescent="0.25">
      <c r="AD32">
        <v>2.1505376344086021E-3</v>
      </c>
      <c r="AE32">
        <v>1.2398106501373841E-2</v>
      </c>
      <c r="AF32">
        <v>2.0864609017603421E-2</v>
      </c>
      <c r="AG32">
        <v>2.8150536862242628E-2</v>
      </c>
      <c r="AH32">
        <v>3.4378667890389257E-2</v>
      </c>
      <c r="AI32">
        <v>3.9663623505188858E-2</v>
      </c>
      <c r="AJ32">
        <v>4.4112694216896849E-2</v>
      </c>
      <c r="AK32">
        <v>4.7824705288110031E-2</v>
      </c>
      <c r="AL32">
        <v>5.0889500059965599E-2</v>
      </c>
      <c r="AM32">
        <v>5.3387951967482861E-2</v>
      </c>
      <c r="AN32">
        <v>5.5392316917636797E-2</v>
      </c>
      <c r="AO32">
        <v>5.6966782981048007E-2</v>
      </c>
      <c r="AP32">
        <v>5.8168119816836131E-2</v>
      </c>
      <c r="AQ32">
        <v>5.9046363626306643E-2</v>
      </c>
      <c r="AR32">
        <v>5.9645496755241792E-2</v>
      </c>
      <c r="AS32">
        <v>6.0004097883699758E-2</v>
      </c>
      <c r="AT32">
        <v>6.0155948040652767E-2</v>
      </c>
      <c r="AU32">
        <v>6.0130586618466417E-2</v>
      </c>
      <c r="AV32">
        <v>5.9953814597120042E-2</v>
      </c>
      <c r="AW32">
        <v>5.9648146191538701E-2</v>
      </c>
      <c r="AX32">
        <v>5.9233211231274993E-2</v>
      </c>
      <c r="AY32">
        <v>5.8726111843288957E-2</v>
      </c>
      <c r="AZ32">
        <v>5.8141737360351428E-2</v>
      </c>
      <c r="BA32">
        <v>5.7493041497139352E-2</v>
      </c>
      <c r="BB32">
        <v>5.6791285748461637E-2</v>
      </c>
      <c r="BC32">
        <v>5.6046252756909568E-2</v>
      </c>
      <c r="BD32">
        <v>5.5266433111325369E-2</v>
      </c>
      <c r="BE32">
        <v>5.4459188731508602E-2</v>
      </c>
      <c r="BF32">
        <v>5.3630895681061448E-2</v>
      </c>
      <c r="BG32">
        <v>5.2787068946106852E-2</v>
      </c>
      <c r="BH32">
        <v>5.1932471431466003E-2</v>
      </c>
      <c r="BI32">
        <v>5.1071209162125847E-2</v>
      </c>
      <c r="BJ32">
        <v>5.0206814438288123E-2</v>
      </c>
      <c r="BK32">
        <v>4.9342318477140067E-2</v>
      </c>
      <c r="BL32">
        <v>4.8480314882821493E-2</v>
      </c>
      <c r="BM32">
        <v>4.7623015116384081E-2</v>
      </c>
      <c r="BN32">
        <v>4.6772296988054643E-2</v>
      </c>
      <c r="BO32">
        <v>4.5929747062848268E-2</v>
      </c>
      <c r="BP32">
        <v>4.5096697755764623E-2</v>
      </c>
      <c r="BQ32">
        <v>4.4274259792722412E-2</v>
      </c>
      <c r="BR32">
        <v>4.3463350626252999E-2</v>
      </c>
      <c r="BS32">
        <v>4.2664719315639213E-2</v>
      </c>
      <c r="BT32">
        <v>4.1878968318341508E-2</v>
      </c>
      <c r="BU32">
        <v>4.1106572593871127E-2</v>
      </c>
      <c r="BV32">
        <v>4.0347896352705137E-2</v>
      </c>
      <c r="BW32">
        <v>3.9603207658738537E-2</v>
      </c>
      <c r="BX32">
        <v>3.8872691429721842E-2</v>
      </c>
      <c r="BY32">
        <v>3.8156459868206899E-2</v>
      </c>
      <c r="BZ32">
        <v>3.745456511672756E-2</v>
      </c>
      <c r="CA32">
        <v>3.6767001562915742E-2</v>
      </c>
      <c r="CB32">
        <v>3.609372397806123E-2</v>
      </c>
      <c r="CC32">
        <v>3.5434651852954087E-2</v>
      </c>
      <c r="CD32">
        <v>3.4789666600708473E-2</v>
      </c>
      <c r="CE32">
        <v>3.4158592752297268E-2</v>
      </c>
      <c r="CF32">
        <v>3.354128518260209E-2</v>
      </c>
      <c r="CG32">
        <v>3.2937656253665612E-2</v>
      </c>
      <c r="CH32">
        <v>3.2347315604087407E-2</v>
      </c>
      <c r="CI32">
        <v>3.1770054131636791E-2</v>
      </c>
      <c r="CJ32">
        <v>3.120458224858887E-2</v>
      </c>
      <c r="CK32">
        <v>3.065480193797962E-2</v>
      </c>
      <c r="CL32">
        <v>3.0111330616273659E-2</v>
      </c>
      <c r="CM32">
        <v>2.9585184051636629E-2</v>
      </c>
      <c r="CN32">
        <v>2.9067501234558049E-2</v>
      </c>
      <c r="CO32">
        <v>2.8578383921421108E-2</v>
      </c>
      <c r="CP32">
        <v>2.8098180743322501E-2</v>
      </c>
      <c r="CQ32">
        <v>2.7574296913600391E-2</v>
      </c>
      <c r="CR32">
        <v>2.7209732243996459E-2</v>
      </c>
      <c r="CS32">
        <v>2.666838787180896E-2</v>
      </c>
      <c r="CT32">
        <v>2.6295954078637981E-2</v>
      </c>
      <c r="CU32">
        <v>2.5601470307912141E-2</v>
      </c>
      <c r="CV32">
        <v>2.5356836422496799E-2</v>
      </c>
    </row>
    <row r="33" spans="31:100" x14ac:dyDescent="0.25">
      <c r="AE33">
        <v>2.0161290322580649E-3</v>
      </c>
      <c r="AF33">
        <v>1.1648448392267721E-2</v>
      </c>
      <c r="AG33">
        <v>1.9646278160713609E-2</v>
      </c>
      <c r="AH33">
        <v>2.656539533077797E-2</v>
      </c>
      <c r="AI33">
        <v>3.251404642809911E-2</v>
      </c>
      <c r="AJ33">
        <v>3.7593506204037508E-2</v>
      </c>
      <c r="AK33">
        <v>4.189901971634391E-2</v>
      </c>
      <c r="AL33">
        <v>4.5518770698702193E-2</v>
      </c>
      <c r="AM33">
        <v>4.8533353847817019E-2</v>
      </c>
      <c r="AN33">
        <v>5.1015704954370973E-2</v>
      </c>
      <c r="AO33">
        <v>5.3031334944144921E-2</v>
      </c>
      <c r="AP33">
        <v>5.4638747095493247E-2</v>
      </c>
      <c r="AQ33">
        <v>5.5889953061405907E-2</v>
      </c>
      <c r="AR33">
        <v>5.683103144202202E-2</v>
      </c>
      <c r="AS33">
        <v>5.7502691656715482E-2</v>
      </c>
      <c r="AT33">
        <v>5.7940820750715633E-2</v>
      </c>
      <c r="AU33">
        <v>5.8176998968782277E-2</v>
      </c>
      <c r="AV33">
        <v>5.8238977058460803E-2</v>
      </c>
      <c r="AW33">
        <v>5.8151112189006253E-2</v>
      </c>
      <c r="AX33">
        <v>5.793476197258831E-2</v>
      </c>
      <c r="AY33">
        <v>5.7608638269384317E-2</v>
      </c>
      <c r="AZ33">
        <v>5.7189122721271787E-2</v>
      </c>
      <c r="BA33">
        <v>5.6690547112426513E-2</v>
      </c>
      <c r="BB33">
        <v>5.612544160675207E-2</v>
      </c>
      <c r="BC33">
        <v>5.5504753946857922E-2</v>
      </c>
      <c r="BD33">
        <v>5.4838042641167303E-2</v>
      </c>
      <c r="BE33">
        <v>5.413364696910871E-2</v>
      </c>
      <c r="BF33">
        <v>5.339883641434541E-2</v>
      </c>
      <c r="BG33">
        <v>5.2639941910588163E-2</v>
      </c>
      <c r="BH33">
        <v>5.1862471047803019E-2</v>
      </c>
      <c r="BI33">
        <v>5.1071209162125847E-2</v>
      </c>
      <c r="BJ33">
        <v>5.0270308021091198E-2</v>
      </c>
      <c r="BK33">
        <v>4.9463363620776732E-2</v>
      </c>
      <c r="BL33">
        <v>4.8653484433821927E-2</v>
      </c>
      <c r="BM33">
        <v>4.7843351287350802E-2</v>
      </c>
      <c r="BN33">
        <v>4.7035269906829401E-2</v>
      </c>
      <c r="BO33">
        <v>4.62312170347908E-2</v>
      </c>
      <c r="BP33">
        <v>4.543288092093925E-2</v>
      </c>
      <c r="BQ33">
        <v>4.4641696880960258E-2</v>
      </c>
      <c r="BR33">
        <v>4.3858878534433272E-2</v>
      </c>
      <c r="BS33">
        <v>4.3085445254562982E-2</v>
      </c>
      <c r="BT33">
        <v>4.232224629923536E-2</v>
      </c>
      <c r="BU33">
        <v>4.1569982029397559E-2</v>
      </c>
      <c r="BV33">
        <v>4.0829222571179317E-2</v>
      </c>
      <c r="BW33">
        <v>4.0100424217499833E-2</v>
      </c>
      <c r="BX33">
        <v>3.9383943907664788E-2</v>
      </c>
      <c r="BY33">
        <v>3.8680051883947991E-2</v>
      </c>
      <c r="BZ33">
        <v>3.7988943232644873E-2</v>
      </c>
      <c r="CA33">
        <v>3.7310746886947042E-2</v>
      </c>
      <c r="CB33">
        <v>3.6645535865074137E-2</v>
      </c>
      <c r="CC33">
        <v>3.5993327358557432E-2</v>
      </c>
      <c r="CD33">
        <v>3.5354107571866099E-2</v>
      </c>
      <c r="CE33">
        <v>3.4727833949957217E-2</v>
      </c>
      <c r="CF33">
        <v>3.4114419327794389E-2</v>
      </c>
      <c r="CG33">
        <v>3.3513683508566948E-2</v>
      </c>
      <c r="CH33">
        <v>3.2925548855810997E-2</v>
      </c>
      <c r="CI33">
        <v>3.2349748042936853E-2</v>
      </c>
      <c r="CJ33">
        <v>3.1786474516344407E-2</v>
      </c>
      <c r="CK33">
        <v>3.123550949842294E-2</v>
      </c>
      <c r="CL33">
        <v>3.06951897532729E-2</v>
      </c>
      <c r="CM33">
        <v>3.016716141223352E-2</v>
      </c>
      <c r="CN33">
        <v>2.9651114732593239E-2</v>
      </c>
      <c r="CO33">
        <v>2.9148748515263521E-2</v>
      </c>
      <c r="CP33">
        <v>2.8642622678474131E-2</v>
      </c>
      <c r="CQ33">
        <v>2.8171817000283289E-2</v>
      </c>
      <c r="CR33">
        <v>2.7685899263125851E-2</v>
      </c>
      <c r="CS33">
        <v>2.7267553298040901E-2</v>
      </c>
      <c r="CT33">
        <v>2.670726777010634E-2</v>
      </c>
      <c r="CU33">
        <v>2.658103195380913E-2</v>
      </c>
      <c r="CV33">
        <v>2.5754447628388501E-2</v>
      </c>
    </row>
    <row r="34" spans="31:100" x14ac:dyDescent="0.25">
      <c r="AF34">
        <v>1.893939393939394E-3</v>
      </c>
      <c r="AG34">
        <v>1.0964740818306571E-2</v>
      </c>
      <c r="AH34">
        <v>1.8531393476282389E-2</v>
      </c>
      <c r="AI34">
        <v>2.5109861490692529E-2</v>
      </c>
      <c r="AJ34">
        <v>3.0795943408673671E-2</v>
      </c>
      <c r="AK34">
        <v>3.5679424686039657E-2</v>
      </c>
      <c r="AL34">
        <v>3.9845113337232937E-2</v>
      </c>
      <c r="AM34">
        <v>4.3371908196339029E-2</v>
      </c>
      <c r="AN34">
        <v>4.6332276348388303E-2</v>
      </c>
      <c r="AO34">
        <v>4.8792126965249233E-2</v>
      </c>
      <c r="AP34">
        <v>5.0810955708749522E-2</v>
      </c>
      <c r="AQ34">
        <v>5.2442157718367313E-2</v>
      </c>
      <c r="AR34">
        <v>5.3733436474112412E-2</v>
      </c>
      <c r="AS34">
        <v>5.472725869442116E-2</v>
      </c>
      <c r="AT34">
        <v>5.5461322647270501E-2</v>
      </c>
      <c r="AU34">
        <v>5.5969017990505819E-2</v>
      </c>
      <c r="AV34">
        <v>5.627986495775663E-2</v>
      </c>
      <c r="AW34">
        <v>5.64199241244683E-2</v>
      </c>
      <c r="AX34">
        <v>5.6412174327951453E-2</v>
      </c>
      <c r="AY34">
        <v>5.6276856745961008E-2</v>
      </c>
      <c r="AZ34">
        <v>5.6031785840566908E-2</v>
      </c>
      <c r="BA34">
        <v>5.5692628647271501E-2</v>
      </c>
      <c r="BB34">
        <v>5.527315437720759E-2</v>
      </c>
      <c r="BC34">
        <v>5.4785456663354708E-2</v>
      </c>
      <c r="BD34">
        <v>5.4240150912836418E-2</v>
      </c>
      <c r="BE34">
        <v>5.3646549118430663E-2</v>
      </c>
      <c r="BF34">
        <v>5.3012814470861577E-2</v>
      </c>
      <c r="BG34">
        <v>5.2346097908778561E-2</v>
      </c>
      <c r="BH34">
        <v>5.1652658605384177E-2</v>
      </c>
      <c r="BI34">
        <v>5.0937970203388007E-2</v>
      </c>
      <c r="BJ34">
        <v>5.0206814438288123E-2</v>
      </c>
      <c r="BK34">
        <v>4.9463363620776732E-2</v>
      </c>
      <c r="BL34">
        <v>4.8711253291255162E-2</v>
      </c>
      <c r="BM34">
        <v>4.7953646213723979E-2</v>
      </c>
      <c r="BN34">
        <v>4.7193288743391973E-2</v>
      </c>
      <c r="BO34">
        <v>4.6432560482318183E-2</v>
      </c>
      <c r="BP34">
        <v>4.5673518029725593E-2</v>
      </c>
      <c r="BQ34">
        <v>4.4917933537565867E-2</v>
      </c>
      <c r="BR34">
        <v>4.4167328696603433E-2</v>
      </c>
      <c r="BS34">
        <v>4.3423004702732207E-2</v>
      </c>
      <c r="BT34">
        <v>4.2686068686625882E-2</v>
      </c>
      <c r="BU34">
        <v>4.1957457031073113E-2</v>
      </c>
      <c r="BV34">
        <v>4.1237955948566933E-2</v>
      </c>
      <c r="BW34">
        <v>4.0528219645383987E-2</v>
      </c>
      <c r="BX34">
        <v>3.9828786374500012E-2</v>
      </c>
      <c r="BY34">
        <v>3.9140092558759207E-2</v>
      </c>
      <c r="BZ34">
        <v>3.8462485336226072E-2</v>
      </c>
      <c r="CA34">
        <v>3.7796233628179153E-2</v>
      </c>
      <c r="CB34">
        <v>3.714153803294145E-2</v>
      </c>
      <c r="CC34">
        <v>3.6498539118474463E-2</v>
      </c>
      <c r="CD34">
        <v>3.586732494131438E-2</v>
      </c>
      <c r="CE34">
        <v>3.5247942246600959E-2</v>
      </c>
      <c r="CF34">
        <v>3.4640388560048141E-2</v>
      </c>
      <c r="CG34">
        <v>3.4044641867470443E-2</v>
      </c>
      <c r="CH34">
        <v>3.3460632580910629E-2</v>
      </c>
      <c r="CI34">
        <v>3.2888316949343917E-2</v>
      </c>
      <c r="CJ34">
        <v>3.2327810144660282E-2</v>
      </c>
      <c r="CK34">
        <v>3.1778193776954032E-2</v>
      </c>
      <c r="CL34">
        <v>3.1239096043889879E-2</v>
      </c>
      <c r="CM34">
        <v>3.0712808970791958E-2</v>
      </c>
      <c r="CN34">
        <v>3.0198072256754239E-2</v>
      </c>
      <c r="CO34">
        <v>2.9691378606839909E-2</v>
      </c>
      <c r="CP34">
        <v>2.919938641491986E-2</v>
      </c>
      <c r="CQ34">
        <v>2.8721341310400821E-2</v>
      </c>
      <c r="CR34">
        <v>2.8221234559743721E-2</v>
      </c>
      <c r="CS34">
        <v>2.7766879543275239E-2</v>
      </c>
      <c r="CT34">
        <v>2.7301512502436211E-2</v>
      </c>
      <c r="CU34">
        <v>2.6731795773960811E-2</v>
      </c>
      <c r="CV34">
        <v>2.6458381951195278E-2</v>
      </c>
    </row>
    <row r="35" spans="31:100" x14ac:dyDescent="0.25">
      <c r="AG35">
        <v>1.7825311942959001E-3</v>
      </c>
      <c r="AH35">
        <v>1.033947331454038E-2</v>
      </c>
      <c r="AI35">
        <v>1.750859132216832E-2</v>
      </c>
      <c r="AJ35">
        <v>2.3770244581554821E-2</v>
      </c>
      <c r="AK35">
        <v>2.9209520950432079E-2</v>
      </c>
      <c r="AL35">
        <v>3.3906276321189588E-2</v>
      </c>
      <c r="AM35">
        <v>3.7936243701093803E-2</v>
      </c>
      <c r="AN35">
        <v>4.1370196155669607E-2</v>
      </c>
      <c r="AO35">
        <v>4.4273440029781091E-2</v>
      </c>
      <c r="AP35">
        <v>4.6705651310274397E-2</v>
      </c>
      <c r="AQ35">
        <v>4.8720952525766137E-2</v>
      </c>
      <c r="AR35">
        <v>5.0368143790096458E-2</v>
      </c>
      <c r="AS35">
        <v>5.1691025127918663E-2</v>
      </c>
      <c r="AT35">
        <v>5.2728767044027028E-2</v>
      </c>
      <c r="AU35">
        <v>5.3516298638774898E-2</v>
      </c>
      <c r="AV35">
        <v>5.4084695451482513E-2</v>
      </c>
      <c r="AW35">
        <v>5.4461552864090372E-2</v>
      </c>
      <c r="AX35">
        <v>5.4671338892643723E-2</v>
      </c>
      <c r="AY35">
        <v>5.4735721577352341E-2</v>
      </c>
      <c r="AZ35">
        <v>5.4673869688349072E-2</v>
      </c>
      <c r="BA35">
        <v>5.4502726131411293E-2</v>
      </c>
      <c r="BB35">
        <v>5.4237255267151507E-2</v>
      </c>
      <c r="BC35">
        <v>5.3890665030974443E-2</v>
      </c>
      <c r="BD35">
        <v>5.3474605973820429E-2</v>
      </c>
      <c r="BE35">
        <v>5.2999348870032902E-2</v>
      </c>
      <c r="BF35">
        <v>5.2473942851129073E-2</v>
      </c>
      <c r="BG35">
        <v>5.1906355936176068E-2</v>
      </c>
      <c r="BH35">
        <v>5.130359972117788E-2</v>
      </c>
      <c r="BI35">
        <v>5.0671839890988057E-2</v>
      </c>
      <c r="BJ35">
        <v>5.0016494080113022E-2</v>
      </c>
      <c r="BK35">
        <v>4.9342318477140067E-2</v>
      </c>
      <c r="BL35">
        <v>4.8653484433821927E-2</v>
      </c>
      <c r="BM35">
        <v>4.7953646213723979E-2</v>
      </c>
      <c r="BN35">
        <v>4.7246000896041737E-2</v>
      </c>
      <c r="BO35">
        <v>4.6533341340496991E-2</v>
      </c>
      <c r="BP35">
        <v>4.5818103018808558E-2</v>
      </c>
      <c r="BQ35">
        <v>4.5102405427346857E-2</v>
      </c>
      <c r="BR35">
        <v>4.4388088713795702E-2</v>
      </c>
      <c r="BS35">
        <v>4.3676746077441243E-2</v>
      </c>
      <c r="BT35">
        <v>4.2969752437424368E-2</v>
      </c>
      <c r="BU35">
        <v>4.2268289805336007E-2</v>
      </c>
      <c r="BV35">
        <v>4.1573369746878037E-2</v>
      </c>
      <c r="BW35">
        <v>4.088585327272861E-2</v>
      </c>
      <c r="BX35">
        <v>4.020646845630655E-2</v>
      </c>
      <c r="BY35">
        <v>3.9535826045430468E-2</v>
      </c>
      <c r="BZ35">
        <v>3.8874433299968141E-2</v>
      </c>
      <c r="CA35">
        <v>3.8222706238786548E-2</v>
      </c>
      <c r="CB35">
        <v>3.7580980547193651E-2</v>
      </c>
      <c r="CC35">
        <v>3.694952104925376E-2</v>
      </c>
      <c r="CD35">
        <v>3.6328530528482512E-2</v>
      </c>
      <c r="CE35">
        <v>3.5718157765401277E-2</v>
      </c>
      <c r="CF35">
        <v>3.5118505567844738E-2</v>
      </c>
      <c r="CG35">
        <v>3.4529623709162641E-2</v>
      </c>
      <c r="CH35">
        <v>3.3951536552442492E-2</v>
      </c>
      <c r="CI35">
        <v>3.338426310480555E-2</v>
      </c>
      <c r="CJ35">
        <v>3.2827676800676442E-2</v>
      </c>
      <c r="CK35">
        <v>3.2281811334726233E-2</v>
      </c>
      <c r="CL35">
        <v>3.1746948471800901E-2</v>
      </c>
      <c r="CM35">
        <v>3.1221891125288139E-2</v>
      </c>
      <c r="CN35">
        <v>3.0707875220959229E-2</v>
      </c>
      <c r="CO35">
        <v>3.0203608186049839E-2</v>
      </c>
      <c r="CP35">
        <v>2.9708319655871861E-2</v>
      </c>
      <c r="CQ35">
        <v>2.9224318458916741E-2</v>
      </c>
      <c r="CR35">
        <v>2.8737906772786301E-2</v>
      </c>
      <c r="CS35">
        <v>2.829025124597008E-2</v>
      </c>
      <c r="CT35">
        <v>2.783124261731134E-2</v>
      </c>
      <c r="CU35">
        <v>2.742686198586318E-2</v>
      </c>
      <c r="CV35">
        <v>2.6981845822516379E-2</v>
      </c>
    </row>
    <row r="36" spans="31:100" x14ac:dyDescent="0.25">
      <c r="AH36">
        <v>1.6806722689075629E-3</v>
      </c>
      <c r="AI36">
        <v>9.7661742710234527E-3</v>
      </c>
      <c r="AJ36">
        <v>1.6568023462080601E-2</v>
      </c>
      <c r="AK36">
        <v>2.253460687441701E-2</v>
      </c>
      <c r="AL36">
        <v>2.774175770021042E-2</v>
      </c>
      <c r="AM36">
        <v>3.2260717927028608E-2</v>
      </c>
      <c r="AN36">
        <v>3.6159303444728043E-2</v>
      </c>
      <c r="AO36">
        <v>3.9501155201755789E-2</v>
      </c>
      <c r="AP36">
        <v>4.2345254880256387E-2</v>
      </c>
      <c r="AQ36">
        <v>4.4745737726054773E-2</v>
      </c>
      <c r="AR36">
        <v>4.6751918855467131E-2</v>
      </c>
      <c r="AS36">
        <v>4.8408459899614183E-2</v>
      </c>
      <c r="AT36">
        <v>4.9755621810904843E-2</v>
      </c>
      <c r="AU36">
        <v>5.0829565895606818E-2</v>
      </c>
      <c r="AV36">
        <v>5.1662675832152873E-2</v>
      </c>
      <c r="AW36">
        <v>5.2283884091017321E-2</v>
      </c>
      <c r="AX36">
        <v>5.2718990607257349E-2</v>
      </c>
      <c r="AY36">
        <v>5.2990965901565323E-2</v>
      </c>
      <c r="AZ36">
        <v>5.312023522114457E-2</v>
      </c>
      <c r="BA36">
        <v>5.3124941399925227E-2</v>
      </c>
      <c r="BB36">
        <v>5.302118542244183E-2</v>
      </c>
      <c r="BC36">
        <v>5.2823245329554097E-2</v>
      </c>
      <c r="BD36">
        <v>5.2543774078223138E-2</v>
      </c>
      <c r="BE36">
        <v>5.2193977721981803E-2</v>
      </c>
      <c r="BF36">
        <v>5.1783775260889932E-2</v>
      </c>
      <c r="BG36">
        <v>5.1321941632180373E-2</v>
      </c>
      <c r="BH36">
        <v>5.0816235395862469E-2</v>
      </c>
      <c r="BI36">
        <v>5.0273512528208442E-2</v>
      </c>
      <c r="BJ36">
        <v>4.9699827712121017E-2</v>
      </c>
      <c r="BK36">
        <v>4.910052440750004E-2</v>
      </c>
      <c r="BL36">
        <v>4.8480314882821493E-2</v>
      </c>
      <c r="BM36">
        <v>4.7843351287350802E-2</v>
      </c>
      <c r="BN36">
        <v>4.7193288743391973E-2</v>
      </c>
      <c r="BO36">
        <v>4.6533341340496991E-2</v>
      </c>
      <c r="BP36">
        <v>4.5866331823801718E-2</v>
      </c>
      <c r="BQ36">
        <v>4.5194735684925151E-2</v>
      </c>
      <c r="BR36">
        <v>4.4520720287505602E-2</v>
      </c>
      <c r="BS36">
        <v>4.3846179590030607E-2</v>
      </c>
      <c r="BT36">
        <v>4.3172764965993482E-2</v>
      </c>
      <c r="BU36">
        <v>4.2501912565156889E-2</v>
      </c>
      <c r="BV36">
        <v>4.1834867609401222E-2</v>
      </c>
      <c r="BW36">
        <v>4.117270597165848E-2</v>
      </c>
      <c r="BX36">
        <v>4.0516353346970763E-2</v>
      </c>
      <c r="BY36">
        <v>3.9866602287351727E-2</v>
      </c>
      <c r="BZ36">
        <v>3.9224127347099062E-2</v>
      </c>
      <c r="CA36">
        <v>3.8589498538793572E-2</v>
      </c>
      <c r="CB36">
        <v>3.7963193319243103E-2</v>
      </c>
      <c r="CC36">
        <v>3.7345607230521521E-2</v>
      </c>
      <c r="CD36">
        <v>3.6737063399638357E-2</v>
      </c>
      <c r="CE36">
        <v>3.6137820757562472E-2</v>
      </c>
      <c r="CF36">
        <v>3.5548081782790043E-2</v>
      </c>
      <c r="CG36">
        <v>3.4968000703995673E-2</v>
      </c>
      <c r="CH36">
        <v>3.4397685732976011E-2</v>
      </c>
      <c r="CI36">
        <v>3.3837205658956163E-2</v>
      </c>
      <c r="CJ36">
        <v>3.3286598812095419E-2</v>
      </c>
      <c r="CK36">
        <v>3.2745886304239767E-2</v>
      </c>
      <c r="CL36">
        <v>3.2215045287651213E-2</v>
      </c>
      <c r="CM36">
        <v>3.1693913687653043E-2</v>
      </c>
      <c r="CN36">
        <v>3.1182899808262061E-2</v>
      </c>
      <c r="CO36">
        <v>3.068108939674976E-2</v>
      </c>
      <c r="CP36">
        <v>3.0188633235881109E-2</v>
      </c>
      <c r="CQ36">
        <v>2.9708481126797762E-2</v>
      </c>
      <c r="CR36">
        <v>2.923423917952582E-2</v>
      </c>
      <c r="CS36">
        <v>2.8765469588242821E-2</v>
      </c>
      <c r="CT36">
        <v>2.8317530058579031E-2</v>
      </c>
      <c r="CU36">
        <v>2.788428879767136E-2</v>
      </c>
      <c r="CV36">
        <v>2.7397861999487159E-2</v>
      </c>
    </row>
    <row r="37" spans="31:100" x14ac:dyDescent="0.25">
      <c r="AI37">
        <v>1.5873015873015871E-3</v>
      </c>
      <c r="AJ37">
        <v>9.2392432428419231E-3</v>
      </c>
      <c r="AK37">
        <v>1.570112135630046E-2</v>
      </c>
      <c r="AL37">
        <v>2.1392502271216519E-2</v>
      </c>
      <c r="AM37">
        <v>2.6381190653146001E-2</v>
      </c>
      <c r="AN37">
        <v>3.0730929098017071E-2</v>
      </c>
      <c r="AO37">
        <v>3.4502604399084993E-2</v>
      </c>
      <c r="AP37">
        <v>3.7753579887316702E-2</v>
      </c>
      <c r="AQ37">
        <v>4.0537237487343343E-2</v>
      </c>
      <c r="AR37">
        <v>4.2902777121891063E-2</v>
      </c>
      <c r="AS37">
        <v>4.4895205608298031E-2</v>
      </c>
      <c r="AT37">
        <v>4.655545279936061E-2</v>
      </c>
      <c r="AU37">
        <v>4.7920568176923202E-2</v>
      </c>
      <c r="AV37">
        <v>4.9023964736656579E-2</v>
      </c>
      <c r="AW37">
        <v>4.9895686366568152E-2</v>
      </c>
      <c r="AX37">
        <v>5.056268267433045E-2</v>
      </c>
      <c r="AY37">
        <v>5.1049080254178023E-2</v>
      </c>
      <c r="AZ37">
        <v>5.137644407911774E-2</v>
      </c>
      <c r="BA37">
        <v>5.1564023928094102E-2</v>
      </c>
      <c r="BB37">
        <v>5.1628984521321392E-2</v>
      </c>
      <c r="BC37">
        <v>5.1586616840067052E-2</v>
      </c>
      <c r="BD37">
        <v>5.1450532365412777E-2</v>
      </c>
      <c r="BE37">
        <v>5.1232839221651158E-2</v>
      </c>
      <c r="BF37">
        <v>5.0944301629805129E-2</v>
      </c>
      <c r="BG37">
        <v>5.0594483862875378E-2</v>
      </c>
      <c r="BH37">
        <v>5.0191879475096422E-2</v>
      </c>
      <c r="BI37">
        <v>4.974402730532998E-2</v>
      </c>
      <c r="BJ37">
        <v>4.9257615260715593E-2</v>
      </c>
      <c r="BK37">
        <v>4.8738573122267898E-2</v>
      </c>
      <c r="BL37">
        <v>4.8192155377156667E-2</v>
      </c>
      <c r="BM37">
        <v>4.7623015116384081E-2</v>
      </c>
      <c r="BN37">
        <v>4.7035269906829401E-2</v>
      </c>
      <c r="BO37">
        <v>4.6432560482318183E-2</v>
      </c>
      <c r="BP37">
        <v>4.5818103018808558E-2</v>
      </c>
      <c r="BQ37">
        <v>4.5194735684925151E-2</v>
      </c>
      <c r="BR37">
        <v>4.4564960090078827E-2</v>
      </c>
      <c r="BS37">
        <v>4.393097818834972E-2</v>
      </c>
      <c r="BT37">
        <v>4.3294725137644402E-2</v>
      </c>
      <c r="BU37">
        <v>4.2657898560232138E-2</v>
      </c>
      <c r="BV37">
        <v>4.2021984602430389E-2</v>
      </c>
      <c r="BW37">
        <v>4.138828114769539E-2</v>
      </c>
      <c r="BX37">
        <v>4.075791849821514E-2</v>
      </c>
      <c r="BY37">
        <v>4.0131877805310828E-2</v>
      </c>
      <c r="BZ37">
        <v>3.9511007497369258E-2</v>
      </c>
      <c r="CA37">
        <v>3.8896037927479109E-2</v>
      </c>
      <c r="CB37">
        <v>3.8287594434452968E-2</v>
      </c>
      <c r="CC37">
        <v>3.7686208989877658E-2</v>
      </c>
      <c r="CD37">
        <v>3.7092330612327758E-2</v>
      </c>
      <c r="CE37">
        <v>3.6506334618172612E-2</v>
      </c>
      <c r="CF37">
        <v>3.5928530980103027E-2</v>
      </c>
      <c r="CG37">
        <v>3.5359171315020733E-2</v>
      </c>
      <c r="CH37">
        <v>3.4798456935957817E-2</v>
      </c>
      <c r="CI37">
        <v>3.4246541685930457E-2</v>
      </c>
      <c r="CJ37">
        <v>3.3703540306106963E-2</v>
      </c>
      <c r="CK37">
        <v>3.3169532759284963E-2</v>
      </c>
      <c r="CL37">
        <v>3.2644574014753742E-2</v>
      </c>
      <c r="CM37">
        <v>3.2128681098481403E-2</v>
      </c>
      <c r="CN37">
        <v>3.1621792619876278E-2</v>
      </c>
      <c r="CO37">
        <v>3.112404196186502E-2</v>
      </c>
      <c r="CP37">
        <v>3.0634998407740179E-2</v>
      </c>
      <c r="CQ37">
        <v>3.0154995560114209E-2</v>
      </c>
      <c r="CR37">
        <v>2.968430088979513E-2</v>
      </c>
      <c r="CS37">
        <v>2.9221751998901861E-2</v>
      </c>
      <c r="CT37">
        <v>2.8770368548566471E-2</v>
      </c>
      <c r="CU37">
        <v>2.8327779964284289E-2</v>
      </c>
      <c r="CV37">
        <v>2.7882977024550781E-2</v>
      </c>
    </row>
    <row r="38" spans="31:100" x14ac:dyDescent="0.25">
      <c r="AJ38">
        <v>1.5015015015015011E-3</v>
      </c>
      <c r="AK38">
        <v>8.753813994360234E-3</v>
      </c>
      <c r="AL38">
        <v>1.4900402058705931E-2</v>
      </c>
      <c r="AM38">
        <v>2.0334759063382762E-2</v>
      </c>
      <c r="AN38">
        <v>2.5117698393627791E-2</v>
      </c>
      <c r="AO38">
        <v>2.9306411216178021E-2</v>
      </c>
      <c r="AP38">
        <v>3.2955701328244338E-2</v>
      </c>
      <c r="AQ38">
        <v>3.6117391553632111E-2</v>
      </c>
      <c r="AR38">
        <v>3.8839894151278663E-2</v>
      </c>
      <c r="AS38">
        <v>4.1168004230546E-2</v>
      </c>
      <c r="AT38">
        <v>4.3142861261165788E-2</v>
      </c>
      <c r="AU38">
        <v>4.4802025587980243E-2</v>
      </c>
      <c r="AV38">
        <v>4.617962985828674E-2</v>
      </c>
      <c r="AW38">
        <v>4.7306576300269888E-2</v>
      </c>
      <c r="AX38">
        <v>4.8210757553044173E-2</v>
      </c>
      <c r="AY38">
        <v>4.8917288664581719E-2</v>
      </c>
      <c r="AZ38">
        <v>4.9448738388173027E-2</v>
      </c>
      <c r="BA38">
        <v>4.9825354531102407E-2</v>
      </c>
      <c r="BB38">
        <v>5.006527719557418E-2</v>
      </c>
      <c r="BC38">
        <v>5.0184740790009112E-2</v>
      </c>
      <c r="BD38">
        <v>5.0198259990517823E-2</v>
      </c>
      <c r="BE38">
        <v>5.0118801760937068E-2</v>
      </c>
      <c r="BF38">
        <v>4.9957942355763389E-2</v>
      </c>
      <c r="BG38">
        <v>4.9726010184809391E-2</v>
      </c>
      <c r="BH38">
        <v>4.9432215122672728E-2</v>
      </c>
      <c r="BI38">
        <v>4.90847655884048E-2</v>
      </c>
      <c r="BJ38">
        <v>4.8690973791454047E-2</v>
      </c>
      <c r="BK38">
        <v>4.8257350376448432E-2</v>
      </c>
      <c r="BL38">
        <v>4.7789689399043732E-2</v>
      </c>
      <c r="BM38">
        <v>4.7293144480928979E-2</v>
      </c>
      <c r="BN38">
        <v>4.6772296988054643E-2</v>
      </c>
      <c r="BO38">
        <v>4.62312170347908E-2</v>
      </c>
      <c r="BP38">
        <v>4.5673518029725593E-2</v>
      </c>
      <c r="BQ38">
        <v>4.5102405427346857E-2</v>
      </c>
      <c r="BR38">
        <v>4.4520720287505602E-2</v>
      </c>
      <c r="BS38">
        <v>4.393097818834972E-2</v>
      </c>
      <c r="BT38">
        <v>4.3335403984950283E-2</v>
      </c>
      <c r="BU38">
        <v>4.2735962856418723E-2</v>
      </c>
      <c r="BV38">
        <v>4.2134388038938132E-2</v>
      </c>
      <c r="BW38">
        <v>4.1532205600728213E-2</v>
      </c>
      <c r="BX38">
        <v>4.0930756577396428E-2</v>
      </c>
      <c r="BY38">
        <v>4.0331216752184727E-2</v>
      </c>
      <c r="BZ38">
        <v>3.9734614335048192E-2</v>
      </c>
      <c r="CA38">
        <v>3.9141845767183957E-2</v>
      </c>
      <c r="CB38">
        <v>3.855368985264887E-2</v>
      </c>
      <c r="CC38">
        <v>3.7970820396934488E-2</v>
      </c>
      <c r="CD38">
        <v>3.7393817514649173E-2</v>
      </c>
      <c r="CE38">
        <v>3.682317774879118E-2</v>
      </c>
      <c r="CF38">
        <v>3.6259323121547851E-2</v>
      </c>
      <c r="CG38">
        <v>3.570260923542725E-2</v>
      </c>
      <c r="CH38">
        <v>3.5153332526300242E-2</v>
      </c>
      <c r="CI38">
        <v>3.4611736749816199E-2</v>
      </c>
      <c r="CJ38">
        <v>3.4078019200763983E-2</v>
      </c>
      <c r="CK38">
        <v>3.3552333083235963E-2</v>
      </c>
      <c r="CL38">
        <v>3.303480370462656E-2</v>
      </c>
      <c r="CM38">
        <v>3.2525504670382427E-2</v>
      </c>
      <c r="CN38">
        <v>3.2024507994764639E-2</v>
      </c>
      <c r="CO38">
        <v>3.1531840470213929E-2</v>
      </c>
      <c r="CP38">
        <v>3.10474844585048E-2</v>
      </c>
      <c r="CQ38">
        <v>3.057145670879988E-2</v>
      </c>
      <c r="CR38">
        <v>3.010342226042827E-2</v>
      </c>
      <c r="CS38">
        <v>2.9644073694406001E-2</v>
      </c>
      <c r="CT38">
        <v>2.9193121534956991E-2</v>
      </c>
      <c r="CU38">
        <v>2.87501942134675E-2</v>
      </c>
      <c r="CV38">
        <v>2.831262209713303E-2</v>
      </c>
    </row>
    <row r="39" spans="31:100" x14ac:dyDescent="0.25">
      <c r="AK39">
        <v>1.4224751066856331E-3</v>
      </c>
      <c r="AL39">
        <v>8.3056420077882737E-3</v>
      </c>
      <c r="AM39">
        <v>1.415930754991971E-2</v>
      </c>
      <c r="AN39">
        <v>1.935329856625187E-2</v>
      </c>
      <c r="AO39">
        <v>2.3942318410757349E-2</v>
      </c>
      <c r="AP39">
        <v>2.7977816257695361E-2</v>
      </c>
      <c r="AQ39">
        <v>3.1509239967326651E-2</v>
      </c>
      <c r="AR39">
        <v>3.4583509607105448E-2</v>
      </c>
      <c r="AS39">
        <v>3.7244616853172062E-2</v>
      </c>
      <c r="AT39">
        <v>3.9533417782020908E-2</v>
      </c>
      <c r="AU39">
        <v>4.1487574528412223E-2</v>
      </c>
      <c r="AV39">
        <v>4.3141601312978242E-2</v>
      </c>
      <c r="AW39">
        <v>4.4526978837788347E-2</v>
      </c>
      <c r="AX39">
        <v>4.5672313992326879E-2</v>
      </c>
      <c r="AY39">
        <v>4.660352120212953E-2</v>
      </c>
      <c r="AZ39">
        <v>4.7344019460380887E-2</v>
      </c>
      <c r="BA39">
        <v>4.7914926780083217E-2</v>
      </c>
      <c r="BB39">
        <v>4.8335258287651867E-2</v>
      </c>
      <c r="BC39">
        <v>4.8622107944792943E-2</v>
      </c>
      <c r="BD39">
        <v>4.8790827710479823E-2</v>
      </c>
      <c r="BE39">
        <v>4.8855190092539663E-2</v>
      </c>
      <c r="BF39">
        <v>4.8827541411686139E-2</v>
      </c>
      <c r="BG39">
        <v>4.8718941207857129E-2</v>
      </c>
      <c r="BH39">
        <v>4.8539290230188742E-2</v>
      </c>
      <c r="BI39">
        <v>4.8297447322623997E-2</v>
      </c>
      <c r="BJ39">
        <v>4.8001334696682732E-2</v>
      </c>
      <c r="BK39">
        <v>4.7658033802222978E-2</v>
      </c>
      <c r="BL39">
        <v>4.7273871552103358E-2</v>
      </c>
      <c r="BM39">
        <v>4.685449809357118E-2</v>
      </c>
      <c r="BN39">
        <v>4.640495678248175E-2</v>
      </c>
      <c r="BO39">
        <v>4.5929747062848268E-2</v>
      </c>
      <c r="BP39">
        <v>4.5432880920955918E-2</v>
      </c>
      <c r="BQ39">
        <v>4.4917933537565867E-2</v>
      </c>
      <c r="BR39">
        <v>4.4388088713795702E-2</v>
      </c>
      <c r="BS39">
        <v>4.3846179590030607E-2</v>
      </c>
      <c r="BT39">
        <v>4.3294725137644402E-2</v>
      </c>
      <c r="BU39">
        <v>4.2735962856418723E-2</v>
      </c>
      <c r="BV39">
        <v>4.2171878069737927E-2</v>
      </c>
      <c r="BW39">
        <v>4.1604230171119007E-2</v>
      </c>
      <c r="BX39">
        <v>4.1034576140295709E-2</v>
      </c>
      <c r="BY39">
        <v>4.0464291614737663E-2</v>
      </c>
      <c r="BZ39">
        <v>3.9894589773097171E-2</v>
      </c>
      <c r="CA39">
        <v>3.9326538260436653E-2</v>
      </c>
      <c r="CB39">
        <v>3.8761074361008542E-2</v>
      </c>
      <c r="CC39">
        <v>3.8199018602792838E-2</v>
      </c>
      <c r="CD39">
        <v>3.764108695826112E-2</v>
      </c>
      <c r="CE39">
        <v>3.7087901788972123E-2</v>
      </c>
      <c r="CF39">
        <v>3.6540001665365578E-2</v>
      </c>
      <c r="CG39">
        <v>3.5997850174867077E-2</v>
      </c>
      <c r="CH39">
        <v>3.546184385368098E-2</v>
      </c>
      <c r="CI39">
        <v>3.4932319205362078E-2</v>
      </c>
      <c r="CJ39">
        <v>3.4409559266340567E-2</v>
      </c>
      <c r="CK39">
        <v>3.3893799345769873E-2</v>
      </c>
      <c r="CL39">
        <v>3.3385230712525707E-2</v>
      </c>
      <c r="CM39">
        <v>3.2884010718589339E-2</v>
      </c>
      <c r="CN39">
        <v>3.2390251296399893E-2</v>
      </c>
      <c r="CO39">
        <v>3.1904056905420732E-2</v>
      </c>
      <c r="CP39">
        <v>3.1425481572302523E-2</v>
      </c>
      <c r="CQ39">
        <v>3.0954522617596909E-2</v>
      </c>
      <c r="CR39">
        <v>3.0491210280006911E-2</v>
      </c>
      <c r="CS39">
        <v>3.0035757659766769E-2</v>
      </c>
      <c r="CT39">
        <v>2.958769125572636E-2</v>
      </c>
      <c r="CU39">
        <v>2.9148219524063469E-2</v>
      </c>
      <c r="CV39">
        <v>2.8714079393483589E-2</v>
      </c>
    </row>
    <row r="40" spans="31:100" x14ac:dyDescent="0.25">
      <c r="AL40">
        <v>1.3495276653171389E-3</v>
      </c>
      <c r="AM40">
        <v>7.8910115886006403E-3</v>
      </c>
      <c r="AN40">
        <v>1.3472071094470919E-2</v>
      </c>
      <c r="AO40">
        <v>1.8440983044662729E-2</v>
      </c>
      <c r="AP40">
        <v>2.2847092559015288E-2</v>
      </c>
      <c r="AQ40">
        <v>2.6736800540109219E-2</v>
      </c>
      <c r="AR40">
        <v>3.0154825753835091E-2</v>
      </c>
      <c r="AS40">
        <v>3.3143738893369877E-2</v>
      </c>
      <c r="AT40">
        <v>3.5743590720704439E-2</v>
      </c>
      <c r="AU40">
        <v>3.7991707912348287E-2</v>
      </c>
      <c r="AV40">
        <v>3.9922621162091727E-2</v>
      </c>
      <c r="AW40">
        <v>4.1568086923327127E-2</v>
      </c>
      <c r="AX40">
        <v>4.2957173182104243E-2</v>
      </c>
      <c r="AY40">
        <v>4.4116385766586413E-2</v>
      </c>
      <c r="AZ40">
        <v>4.5069820301757151E-2</v>
      </c>
      <c r="BA40">
        <v>4.583932645632624E-2</v>
      </c>
      <c r="BB40">
        <v>4.6444673916052531E-2</v>
      </c>
      <c r="BC40">
        <v>4.6903723632595443E-2</v>
      </c>
      <c r="BD40">
        <v>4.7232585321489433E-2</v>
      </c>
      <c r="BE40">
        <v>4.7445775223154033E-2</v>
      </c>
      <c r="BF40">
        <v>4.7556357883619928E-2</v>
      </c>
      <c r="BG40">
        <v>4.7576083729032818E-2</v>
      </c>
      <c r="BH40">
        <v>4.7515512008123102E-2</v>
      </c>
      <c r="BI40">
        <v>4.7384126507071772E-2</v>
      </c>
      <c r="BJ40">
        <v>4.7190440034585668E-2</v>
      </c>
      <c r="BK40">
        <v>4.6942090029857303E-2</v>
      </c>
      <c r="BL40">
        <v>4.6645925301416917E-2</v>
      </c>
      <c r="BM40">
        <v>4.6308084857159787E-2</v>
      </c>
      <c r="BN40">
        <v>4.5934068969165472E-2</v>
      </c>
      <c r="BO40">
        <v>4.5528803483241523E-2</v>
      </c>
      <c r="BP40">
        <v>4.5096697755764623E-2</v>
      </c>
      <c r="BQ40">
        <v>4.4641696880960258E-2</v>
      </c>
      <c r="BR40">
        <v>4.4167328696603433E-2</v>
      </c>
      <c r="BS40">
        <v>4.3676746077441243E-2</v>
      </c>
      <c r="BT40">
        <v>4.3172764965993482E-2</v>
      </c>
      <c r="BU40">
        <v>4.2657898560232138E-2</v>
      </c>
      <c r="BV40">
        <v>4.2134388038938132E-2</v>
      </c>
      <c r="BW40">
        <v>4.1604230171119007E-2</v>
      </c>
      <c r="BX40">
        <v>4.1069202123672051E-2</v>
      </c>
      <c r="BY40">
        <v>4.0530883751357452E-2</v>
      </c>
      <c r="BZ40">
        <v>3.999067762540133E-2</v>
      </c>
      <c r="CA40">
        <v>3.9449827031651737E-2</v>
      </c>
      <c r="CB40">
        <v>3.8909432146045017E-2</v>
      </c>
      <c r="CC40">
        <v>3.8370464574112487E-2</v>
      </c>
      <c r="CD40">
        <v>3.7833780422182883E-2</v>
      </c>
      <c r="CE40">
        <v>3.7300132050809558E-2</v>
      </c>
      <c r="CF40">
        <v>3.6770178645124392E-2</v>
      </c>
      <c r="CG40">
        <v>3.6244495723785623E-2</v>
      </c>
      <c r="CH40">
        <v>3.5723583691889063E-2</v>
      </c>
      <c r="CI40">
        <v>3.5207875550361541E-2</v>
      </c>
      <c r="CJ40">
        <v>3.4697743807461233E-2</v>
      </c>
      <c r="CK40">
        <v>3.4193506729166379E-2</v>
      </c>
      <c r="CL40">
        <v>3.3695434085035468E-2</v>
      </c>
      <c r="CM40">
        <v>3.3203751456843733E-2</v>
      </c>
      <c r="CN40">
        <v>3.2718647609141623E-2</v>
      </c>
      <c r="CO40">
        <v>3.2240270515822407E-2</v>
      </c>
      <c r="CP40">
        <v>3.1768747545619418E-2</v>
      </c>
      <c r="CQ40">
        <v>3.1304160834449181E-2</v>
      </c>
      <c r="CR40">
        <v>3.0846585126027271E-2</v>
      </c>
      <c r="CS40">
        <v>3.0396111569711781E-2</v>
      </c>
      <c r="CT40">
        <v>2.9952664571707869E-2</v>
      </c>
      <c r="CU40">
        <v>2.9516321944146089E-2</v>
      </c>
      <c r="CV40">
        <v>2.9086915276173561E-2</v>
      </c>
    </row>
    <row r="41" spans="31:100" x14ac:dyDescent="0.25">
      <c r="AM41">
        <v>1.2820512820512821E-3</v>
      </c>
      <c r="AN41">
        <v>7.5066587628515747E-3</v>
      </c>
      <c r="AO41">
        <v>1.2833605558313759E-2</v>
      </c>
      <c r="AP41">
        <v>1.7591487668269529E-2</v>
      </c>
      <c r="AQ41">
        <v>2.182493585715729E-2</v>
      </c>
      <c r="AR41">
        <v>2.5575899418233069E-2</v>
      </c>
      <c r="AS41">
        <v>2.8884910179193962E-2</v>
      </c>
      <c r="AT41">
        <v>3.179067098297781E-2</v>
      </c>
      <c r="AU41">
        <v>3.432971169817655E-2</v>
      </c>
      <c r="AV41">
        <v>3.6536190819319241E-2</v>
      </c>
      <c r="AW41">
        <v>3.84418141864847E-2</v>
      </c>
      <c r="AX41">
        <v>4.0075838591054909E-2</v>
      </c>
      <c r="AY41">
        <v>4.1465133901844621E-2</v>
      </c>
      <c r="AZ41">
        <v>4.2634283333889821E-2</v>
      </c>
      <c r="BA41">
        <v>4.3605708299282141E-2</v>
      </c>
      <c r="BB41">
        <v>4.4399805611894862E-2</v>
      </c>
      <c r="BC41">
        <v>4.5035093237903327E-2</v>
      </c>
      <c r="BD41">
        <v>4.5528350405986302E-2</v>
      </c>
      <c r="BE41">
        <v>4.5894763689890782E-2</v>
      </c>
      <c r="BF41">
        <v>4.6148057623180069E-2</v>
      </c>
      <c r="BG41">
        <v>4.6300623204414422E-2</v>
      </c>
      <c r="BH41">
        <v>4.6363640230738683E-2</v>
      </c>
      <c r="BI41">
        <v>4.6347185836857457E-2</v>
      </c>
      <c r="BJ41">
        <v>4.6260338285423391E-2</v>
      </c>
      <c r="BK41">
        <v>4.6111271066305817E-2</v>
      </c>
      <c r="BL41">
        <v>4.5907340084517467E-2</v>
      </c>
      <c r="BM41">
        <v>4.5655161523809197E-2</v>
      </c>
      <c r="BN41">
        <v>4.5360684284044203E-2</v>
      </c>
      <c r="BO41">
        <v>4.502925464992738E-2</v>
      </c>
      <c r="BP41">
        <v>4.4665675532223177E-2</v>
      </c>
      <c r="BQ41">
        <v>4.4274259792722412E-2</v>
      </c>
      <c r="BR41">
        <v>4.3858878534433272E-2</v>
      </c>
      <c r="BS41">
        <v>4.3423004702732207E-2</v>
      </c>
      <c r="BT41">
        <v>4.2969752437424368E-2</v>
      </c>
      <c r="BU41">
        <v>4.2501912565156889E-2</v>
      </c>
      <c r="BV41">
        <v>4.2021984602430389E-2</v>
      </c>
      <c r="BW41">
        <v>4.1532205600728213E-2</v>
      </c>
      <c r="BX41">
        <v>4.1034576140295709E-2</v>
      </c>
      <c r="BY41">
        <v>4.0530883751357452E-2</v>
      </c>
      <c r="BZ41">
        <v>4.0022724015967112E-2</v>
      </c>
      <c r="CA41">
        <v>3.9511519580047547E-2</v>
      </c>
      <c r="CB41">
        <v>3.8998537283268971E-2</v>
      </c>
      <c r="CC41">
        <v>3.8484903594327297E-2</v>
      </c>
      <c r="CD41">
        <v>3.7971618520834492E-2</v>
      </c>
      <c r="CE41">
        <v>3.7459568146291651E-2</v>
      </c>
      <c r="CF41">
        <v>3.6949535931490723E-2</v>
      </c>
      <c r="CG41">
        <v>3.6442212903839352E-2</v>
      </c>
      <c r="CH41">
        <v>3.5938206845886188E-2</v>
      </c>
      <c r="CI41">
        <v>3.54380505829473E-2</v>
      </c>
      <c r="CJ41">
        <v>3.4942209460775572E-2</v>
      </c>
      <c r="CK41">
        <v>3.4451088080584252E-2</v>
      </c>
      <c r="CL41">
        <v>3.3965036403710423E-2</v>
      </c>
      <c r="CM41">
        <v>3.3484355289867117E-2</v>
      </c>
      <c r="CN41">
        <v>3.3009301277590539E-2</v>
      </c>
      <c r="CO41">
        <v>3.2540091550827113E-2</v>
      </c>
      <c r="CP41">
        <v>3.2076906288170531E-2</v>
      </c>
      <c r="CQ41">
        <v>3.1619896780470162E-2</v>
      </c>
      <c r="CR41">
        <v>3.1169182593847738E-2</v>
      </c>
      <c r="CS41">
        <v>3.0724861375857251E-2</v>
      </c>
      <c r="CT41">
        <v>3.0286999951055889E-2</v>
      </c>
      <c r="CU41">
        <v>2.9855669611117269E-2</v>
      </c>
      <c r="CV41">
        <v>2.943071190842618E-2</v>
      </c>
    </row>
    <row r="42" spans="31:100" x14ac:dyDescent="0.25">
      <c r="AN42">
        <v>1.2195121951219521E-3</v>
      </c>
      <c r="AO42">
        <v>7.1497069724666277E-3</v>
      </c>
      <c r="AP42">
        <v>1.2239409664139301E-2</v>
      </c>
      <c r="AQ42">
        <v>1.679919226991947E-2</v>
      </c>
      <c r="AR42">
        <v>2.0869524716401459E-2</v>
      </c>
      <c r="AS42">
        <v>2.4488419616763509E-2</v>
      </c>
      <c r="AT42">
        <v>2.7692692211155692E-2</v>
      </c>
      <c r="AU42">
        <v>3.051759761837405E-2</v>
      </c>
      <c r="AV42">
        <v>3.2996513512611347E-2</v>
      </c>
      <c r="AW42">
        <v>3.516074907899152E-2</v>
      </c>
      <c r="AX42">
        <v>3.7039458201240362E-2</v>
      </c>
      <c r="AY42">
        <v>3.8659629016336433E-2</v>
      </c>
      <c r="AZ42">
        <v>4.0046126262049439E-2</v>
      </c>
      <c r="BA42">
        <v>4.1221771828687838E-2</v>
      </c>
      <c r="BB42">
        <v>4.220744481341214E-2</v>
      </c>
      <c r="BC42">
        <v>4.3022200600436107E-2</v>
      </c>
      <c r="BD42">
        <v>4.3683389276140128E-2</v>
      </c>
      <c r="BE42">
        <v>4.4206783710645958E-2</v>
      </c>
      <c r="BF42">
        <v>4.4606698707996391E-2</v>
      </c>
      <c r="BG42">
        <v>4.4896114318893073E-2</v>
      </c>
      <c r="BH42">
        <v>4.5086780500725288E-2</v>
      </c>
      <c r="BI42">
        <v>4.5189330813836873E-2</v>
      </c>
      <c r="BJ42">
        <v>4.52133790641654E-2</v>
      </c>
      <c r="BK42">
        <v>4.5167610313192559E-2</v>
      </c>
      <c r="BL42">
        <v>4.5059867803015588E-2</v>
      </c>
      <c r="BM42">
        <v>4.4897229846979678E-2</v>
      </c>
      <c r="BN42">
        <v>4.4686082157624221E-2</v>
      </c>
      <c r="BO42">
        <v>4.4432182474731359E-2</v>
      </c>
      <c r="BP42">
        <v>4.4140720692123291E-2</v>
      </c>
      <c r="BQ42">
        <v>4.381637292761293E-2</v>
      </c>
      <c r="BR42">
        <v>4.3463350626252999E-2</v>
      </c>
      <c r="BS42">
        <v>4.3085445254562982E-2</v>
      </c>
      <c r="BT42">
        <v>4.2686068686625882E-2</v>
      </c>
      <c r="BU42">
        <v>4.2268289805336007E-2</v>
      </c>
      <c r="BV42">
        <v>4.1834867609401222E-2</v>
      </c>
      <c r="BW42">
        <v>4.138828114769539E-2</v>
      </c>
      <c r="BX42">
        <v>4.0930756577396428E-2</v>
      </c>
      <c r="BY42">
        <v>4.0464291614737663E-2</v>
      </c>
      <c r="BZ42">
        <v>3.999067762540133E-2</v>
      </c>
      <c r="CA42">
        <v>3.9511519580047547E-2</v>
      </c>
      <c r="CB42">
        <v>3.9028254080267957E-2</v>
      </c>
      <c r="CC42">
        <v>3.8542165641504353E-2</v>
      </c>
      <c r="CD42">
        <v>3.8054401402056827E-2</v>
      </c>
      <c r="CE42">
        <v>3.7565984411331223E-2</v>
      </c>
      <c r="CF42">
        <v>3.7077825635840972E-2</v>
      </c>
      <c r="CG42">
        <v>3.6590734808116317E-2</v>
      </c>
      <c r="CH42">
        <v>3.6105430231538227E-2</v>
      </c>
      <c r="CI42">
        <v>3.56225476429562E-2</v>
      </c>
      <c r="CJ42">
        <v>3.5142648225203688E-2</v>
      </c>
      <c r="CK42">
        <v>3.4666225852568192E-2</v>
      </c>
      <c r="CL42">
        <v>3.4193713643208098E-2</v>
      </c>
      <c r="CM42">
        <v>3.3725489882239397E-2</v>
      </c>
      <c r="CN42">
        <v>3.3261883391836951E-2</v>
      </c>
      <c r="CO42">
        <v>3.2803178391267861E-2</v>
      </c>
      <c r="CP42">
        <v>3.2349618767129808E-2</v>
      </c>
      <c r="CQ42">
        <v>3.1901412636787842E-2</v>
      </c>
      <c r="CR42">
        <v>3.1458734159440928E-2</v>
      </c>
      <c r="CS42">
        <v>3.102173084202884E-2</v>
      </c>
      <c r="CT42">
        <v>3.0590516899608459E-2</v>
      </c>
      <c r="CU42">
        <v>3.016520179677944E-2</v>
      </c>
      <c r="CV42">
        <v>2.974582414557838E-2</v>
      </c>
    </row>
    <row r="43" spans="31:100" x14ac:dyDescent="0.25">
      <c r="AO43">
        <v>1.1614401858304299E-3</v>
      </c>
      <c r="AP43">
        <v>6.817613198072882E-3</v>
      </c>
      <c r="AQ43">
        <v>1.168548897091707E-2</v>
      </c>
      <c r="AR43">
        <v>1.6059089495835972E-2</v>
      </c>
      <c r="AS43">
        <v>1.997520140160201E-2</v>
      </c>
      <c r="AT43">
        <v>2.3468346462946609E-2</v>
      </c>
      <c r="AU43">
        <v>2.6572032590540431E-2</v>
      </c>
      <c r="AV43">
        <v>2.9318434711566969E-2</v>
      </c>
      <c r="AW43">
        <v>3.1738102607897771E-2</v>
      </c>
      <c r="AX43">
        <v>3.3859778502035337E-2</v>
      </c>
      <c r="AY43">
        <v>3.5710307023002298E-2</v>
      </c>
      <c r="AZ43">
        <v>3.7314614352503862E-2</v>
      </c>
      <c r="BA43">
        <v>3.869573538032197E-2</v>
      </c>
      <c r="BB43">
        <v>3.9874875529055942E-2</v>
      </c>
      <c r="BC43">
        <v>4.0871496350123687E-2</v>
      </c>
      <c r="BD43">
        <v>4.1703405741132599E-2</v>
      </c>
      <c r="BE43">
        <v>4.238687303354903E-2</v>
      </c>
      <c r="BF43">
        <v>4.2936729809378328E-2</v>
      </c>
      <c r="BG43">
        <v>4.3366472888120719E-2</v>
      </c>
      <c r="BH43">
        <v>4.3688375629415903E-2</v>
      </c>
      <c r="BI43">
        <v>4.3913581868367572E-2</v>
      </c>
      <c r="BJ43">
        <v>4.4052206584238612E-2</v>
      </c>
      <c r="BK43">
        <v>4.4113416398502747E-2</v>
      </c>
      <c r="BL43">
        <v>4.4105518679662989E-2</v>
      </c>
      <c r="BM43">
        <v>4.4036033064047263E-2</v>
      </c>
      <c r="BN43">
        <v>4.3911768039921452E-2</v>
      </c>
      <c r="BO43">
        <v>4.3738880023011538E-2</v>
      </c>
      <c r="BP43">
        <v>4.3522937214394312E-2</v>
      </c>
      <c r="BQ43">
        <v>4.3268971714975603E-2</v>
      </c>
      <c r="BR43">
        <v>4.2981530263428082E-2</v>
      </c>
      <c r="BS43">
        <v>4.2664719315639213E-2</v>
      </c>
      <c r="BT43">
        <v>4.232224629923536E-2</v>
      </c>
      <c r="BU43">
        <v>4.1957457031073113E-2</v>
      </c>
      <c r="BV43">
        <v>4.1573369746878037E-2</v>
      </c>
      <c r="BW43">
        <v>4.117270597165848E-2</v>
      </c>
      <c r="BX43">
        <v>4.075791849821514E-2</v>
      </c>
      <c r="BY43">
        <v>4.0331216752184727E-2</v>
      </c>
      <c r="BZ43">
        <v>3.9894589773097171E-2</v>
      </c>
      <c r="CA43">
        <v>3.9449827031651737E-2</v>
      </c>
      <c r="CB43">
        <v>3.8998537283268971E-2</v>
      </c>
      <c r="CC43">
        <v>3.8542165641504353E-2</v>
      </c>
      <c r="CD43">
        <v>3.8082009038607437E-2</v>
      </c>
      <c r="CE43">
        <v>3.7619230225592257E-2</v>
      </c>
      <c r="CF43">
        <v>3.7154870450285503E-2</v>
      </c>
      <c r="CG43">
        <v>3.6689860939028943E-2</v>
      </c>
      <c r="CH43">
        <v>3.6225033295983512E-2</v>
      </c>
      <c r="CI43">
        <v>3.5761128923252353E-2</v>
      </c>
      <c r="CJ43">
        <v>3.5298807555209262E-2</v>
      </c>
      <c r="CK43">
        <v>3.4838654991589488E-2</v>
      </c>
      <c r="CL43">
        <v>3.4381190105535038E-2</v>
      </c>
      <c r="CM43">
        <v>3.3926871197008678E-2</v>
      </c>
      <c r="CN43">
        <v>3.3476101748824372E-2</v>
      </c>
      <c r="CO43">
        <v>3.3029235656445159E-2</v>
      </c>
      <c r="CP43">
        <v>3.2586581945528173E-2</v>
      </c>
      <c r="CQ43">
        <v>3.214840906780992E-2</v>
      </c>
      <c r="CR43">
        <v>3.1714948986927907E-2</v>
      </c>
      <c r="CS43">
        <v>3.1286399914311792E-2</v>
      </c>
      <c r="CT43">
        <v>3.0862932441762921E-2</v>
      </c>
      <c r="CU43">
        <v>3.0444684220136881E-2</v>
      </c>
      <c r="CV43">
        <v>3.0031776395419551E-2</v>
      </c>
    </row>
    <row r="44" spans="31:100" x14ac:dyDescent="0.25">
      <c r="AP44">
        <v>1.107419712070875E-3</v>
      </c>
      <c r="AQ44">
        <v>6.5081226214761187E-3</v>
      </c>
      <c r="AR44">
        <v>1.116828899658465E-2</v>
      </c>
      <c r="AS44">
        <v>1.536670658052201E-2</v>
      </c>
      <c r="AT44">
        <v>1.9136892105061639E-2</v>
      </c>
      <c r="AU44">
        <v>2.2510263736935061E-2</v>
      </c>
      <c r="AV44">
        <v>2.5517379167670232E-2</v>
      </c>
      <c r="AW44">
        <v>2.8187655449167289E-2</v>
      </c>
      <c r="AX44">
        <v>3.0549100470759791E-2</v>
      </c>
      <c r="AY44">
        <v>3.2628139671853573E-2</v>
      </c>
      <c r="AZ44">
        <v>3.4449525169034281E-2</v>
      </c>
      <c r="BA44">
        <v>3.6036306125127093E-2</v>
      </c>
      <c r="BB44">
        <v>3.7409845789034959E-2</v>
      </c>
      <c r="BC44">
        <v>3.8589865734097867E-2</v>
      </c>
      <c r="BD44">
        <v>3.9594518806753257E-2</v>
      </c>
      <c r="BE44">
        <v>4.0440465213444757E-2</v>
      </c>
      <c r="BF44">
        <v>4.11429616016913E-2</v>
      </c>
      <c r="BG44">
        <v>4.1715960040362862E-2</v>
      </c>
      <c r="BH44">
        <v>4.2172189480560889E-2</v>
      </c>
      <c r="BI44">
        <v>4.2523267574321733E-2</v>
      </c>
      <c r="BJ44">
        <v>4.2779752953228348E-2</v>
      </c>
      <c r="BK44">
        <v>4.2951270480986389E-2</v>
      </c>
      <c r="BL44">
        <v>4.3046555827652169E-2</v>
      </c>
      <c r="BM44">
        <v>4.3073551963263693E-2</v>
      </c>
      <c r="BN44">
        <v>4.3039469356592988E-2</v>
      </c>
      <c r="BO44">
        <v>4.2950849259067482E-2</v>
      </c>
      <c r="BP44">
        <v>4.2813624273035228E-2</v>
      </c>
      <c r="BQ44">
        <v>4.2633174487894943E-2</v>
      </c>
      <c r="BR44">
        <v>4.2414374007284053E-2</v>
      </c>
      <c r="BS44">
        <v>4.2161638986076951E-2</v>
      </c>
      <c r="BT44">
        <v>4.1878968318341508E-2</v>
      </c>
      <c r="BU44">
        <v>4.1569982029397559E-2</v>
      </c>
      <c r="BV44">
        <v>4.1237955948566933E-2</v>
      </c>
      <c r="BW44">
        <v>4.088585327272861E-2</v>
      </c>
      <c r="BX44">
        <v>4.0516353346970763E-2</v>
      </c>
      <c r="BY44">
        <v>4.0131877805310828E-2</v>
      </c>
      <c r="BZ44">
        <v>3.9734614335048192E-2</v>
      </c>
      <c r="CA44">
        <v>3.9326538260436653E-2</v>
      </c>
      <c r="CB44">
        <v>3.8909432146045017E-2</v>
      </c>
      <c r="CC44">
        <v>3.8484903594327297E-2</v>
      </c>
      <c r="CD44">
        <v>3.8054401402056827E-2</v>
      </c>
      <c r="CE44">
        <v>3.7619230225592257E-2</v>
      </c>
      <c r="CF44">
        <v>3.7180563891981301E-2</v>
      </c>
      <c r="CG44">
        <v>3.6739457480980127E-2</v>
      </c>
      <c r="CH44">
        <v>3.6296858291901768E-2</v>
      </c>
      <c r="CI44">
        <v>3.5853615798926049E-2</v>
      </c>
      <c r="CJ44">
        <v>3.5410490689040668E-2</v>
      </c>
      <c r="CK44">
        <v>3.4968163068119368E-2</v>
      </c>
      <c r="CL44">
        <v>3.4527239912719603E-2</v>
      </c>
      <c r="CM44">
        <v>3.4088261837860873E-2</v>
      </c>
      <c r="CN44">
        <v>3.3651709244811492E-2</v>
      </c>
      <c r="CO44">
        <v>3.3218007906039973E-2</v>
      </c>
      <c r="CP44">
        <v>3.2787534044393732E-2</v>
      </c>
      <c r="CQ44">
        <v>3.2360618923101672E-2</v>
      </c>
      <c r="CR44">
        <v>3.193755309762903E-2</v>
      </c>
      <c r="CS44">
        <v>3.1518590160956372E-2</v>
      </c>
      <c r="CT44">
        <v>3.1103950118744131E-2</v>
      </c>
      <c r="CU44">
        <v>3.0693823170557601E-2</v>
      </c>
      <c r="CV44">
        <v>3.0288370117856771E-2</v>
      </c>
    </row>
    <row r="45" spans="31:100" x14ac:dyDescent="0.25">
      <c r="AQ45">
        <v>1.0570824524312899E-3</v>
      </c>
      <c r="AR45">
        <v>6.2192303157486859E-3</v>
      </c>
      <c r="AS45">
        <v>1.068463840013298E-2</v>
      </c>
      <c r="AT45">
        <v>1.4718038492398E-2</v>
      </c>
      <c r="AU45">
        <v>1.8350036475255668E-2</v>
      </c>
      <c r="AV45">
        <v>2.16092842409039E-2</v>
      </c>
      <c r="AW45">
        <v>2.4523701717276618E-2</v>
      </c>
      <c r="AX45">
        <v>2.7120231476483379E-2</v>
      </c>
      <c r="AY45">
        <v>2.9424592173493139E-2</v>
      </c>
      <c r="AZ45">
        <v>3.1461114802006598E-2</v>
      </c>
      <c r="BA45">
        <v>3.3252652084830553E-2</v>
      </c>
      <c r="BB45">
        <v>3.4820543524505053E-2</v>
      </c>
      <c r="BC45">
        <v>3.6184622214261108E-2</v>
      </c>
      <c r="BD45">
        <v>3.7363247236664357E-2</v>
      </c>
      <c r="BE45">
        <v>3.8373363700020653E-2</v>
      </c>
      <c r="BF45">
        <v>3.9230568936706532E-2</v>
      </c>
      <c r="BG45">
        <v>3.9949178162712103E-2</v>
      </c>
      <c r="BH45">
        <v>4.0542323999895463E-2</v>
      </c>
      <c r="BI45">
        <v>4.1022017091813481E-2</v>
      </c>
      <c r="BJ45">
        <v>4.1399235517470802E-2</v>
      </c>
      <c r="BK45">
        <v>4.1684015628624983E-2</v>
      </c>
      <c r="BL45">
        <v>4.1885491969617043E-2</v>
      </c>
      <c r="BM45">
        <v>4.2012001332738087E-2</v>
      </c>
      <c r="BN45">
        <v>4.2071133457885823E-2</v>
      </c>
      <c r="BO45">
        <v>4.2069796077763733E-2</v>
      </c>
      <c r="BP45">
        <v>4.2014273865373652E-2</v>
      </c>
      <c r="BQ45">
        <v>4.1910279908807538E-2</v>
      </c>
      <c r="BR45">
        <v>4.1763008078254331E-2</v>
      </c>
      <c r="BS45">
        <v>4.157717536650149E-2</v>
      </c>
      <c r="BT45">
        <v>4.1357066975635542E-2</v>
      </c>
      <c r="BU45">
        <v>4.1106572593871127E-2</v>
      </c>
      <c r="BV45">
        <v>4.0829222571179317E-2</v>
      </c>
      <c r="BW45">
        <v>4.0528219645383987E-2</v>
      </c>
      <c r="BX45">
        <v>4.020646845630655E-2</v>
      </c>
      <c r="BY45">
        <v>3.9866602287351727E-2</v>
      </c>
      <c r="BZ45">
        <v>3.9511007497369258E-2</v>
      </c>
      <c r="CA45">
        <v>3.9141845767183957E-2</v>
      </c>
      <c r="CB45">
        <v>3.8761074361008542E-2</v>
      </c>
      <c r="CC45">
        <v>3.8370464574112487E-2</v>
      </c>
      <c r="CD45">
        <v>3.7971618520834492E-2</v>
      </c>
      <c r="CE45">
        <v>3.7565984411331417E-2</v>
      </c>
      <c r="CF45">
        <v>3.7154870450285503E-2</v>
      </c>
      <c r="CG45">
        <v>3.6739457480980127E-2</v>
      </c>
      <c r="CH45">
        <v>3.6320810487582539E-2</v>
      </c>
      <c r="CI45">
        <v>3.5899889058782462E-2</v>
      </c>
      <c r="CJ45">
        <v>3.5477556906942251E-2</v>
      </c>
      <c r="CK45">
        <v>3.5054590528594047E-2</v>
      </c>
      <c r="CL45">
        <v>3.4631687084465797E-2</v>
      </c>
      <c r="CM45">
        <v>3.4209471570168647E-2</v>
      </c>
      <c r="CN45">
        <v>3.378850334223036E-2</v>
      </c>
      <c r="CO45">
        <v>3.3369282058326212E-2</v>
      </c>
      <c r="CP45">
        <v>3.2952253084904293E-2</v>
      </c>
      <c r="CQ45">
        <v>3.2537812421137013E-2</v>
      </c>
      <c r="CR45">
        <v>3.2126311185193122E-2</v>
      </c>
      <c r="CS45">
        <v>3.1718059687473987E-2</v>
      </c>
      <c r="CT45">
        <v>3.1313331159980938E-2</v>
      </c>
      <c r="CU45">
        <v>3.0912365190628649E-2</v>
      </c>
      <c r="CV45">
        <v>3.051537075951849E-2</v>
      </c>
    </row>
    <row r="46" spans="31:100" x14ac:dyDescent="0.25">
      <c r="AR46">
        <v>1.0101010101010101E-3</v>
      </c>
      <c r="AS46">
        <v>5.9491487454403419E-3</v>
      </c>
      <c r="AT46">
        <v>1.02317005325748E-2</v>
      </c>
      <c r="AU46">
        <v>1.410949060548908E-2</v>
      </c>
      <c r="AV46">
        <v>1.761052681675563E-2</v>
      </c>
      <c r="AW46">
        <v>2.076098949697509E-2</v>
      </c>
      <c r="AX46">
        <v>2.3586434922648229E-2</v>
      </c>
      <c r="AY46">
        <v>2.611158090931311E-2</v>
      </c>
      <c r="AZ46">
        <v>2.8360080654177462E-2</v>
      </c>
      <c r="BA46">
        <v>3.0354368499321441E-2</v>
      </c>
      <c r="BB46">
        <v>3.2115570827118863E-2</v>
      </c>
      <c r="BC46">
        <v>3.3663467038485113E-2</v>
      </c>
      <c r="BD46">
        <v>3.5016488353454563E-2</v>
      </c>
      <c r="BE46">
        <v>3.6191744233824673E-2</v>
      </c>
      <c r="BF46">
        <v>3.7205061733355152E-2</v>
      </c>
      <c r="BG46">
        <v>3.8071048673396647E-2</v>
      </c>
      <c r="BH46">
        <v>3.8803155208781408E-2</v>
      </c>
      <c r="BI46">
        <v>3.9413730810460769E-2</v>
      </c>
      <c r="BJ46">
        <v>3.9914144218000581E-2</v>
      </c>
      <c r="BK46">
        <v>4.0314754427692299E-2</v>
      </c>
      <c r="BL46">
        <v>4.0625073514298983E-2</v>
      </c>
      <c r="BM46">
        <v>4.0853820141823781E-2</v>
      </c>
      <c r="BN46">
        <v>4.100892199436728E-2</v>
      </c>
      <c r="BO46">
        <v>4.1097627168132353E-2</v>
      </c>
      <c r="BP46">
        <v>4.1126568431363413E-2</v>
      </c>
      <c r="BQ46">
        <v>4.1101766458128429E-2</v>
      </c>
      <c r="BR46">
        <v>4.1028725051030807E-2</v>
      </c>
      <c r="BS46">
        <v>4.0912456544560293E-2</v>
      </c>
      <c r="BT46">
        <v>4.075752212225775E-2</v>
      </c>
      <c r="BU46">
        <v>4.0568075185849171E-2</v>
      </c>
      <c r="BV46">
        <v>4.0347896352705137E-2</v>
      </c>
      <c r="BW46">
        <v>4.0100424217499833E-2</v>
      </c>
      <c r="BX46">
        <v>3.9828786374500012E-2</v>
      </c>
      <c r="BY46">
        <v>3.9535826045430468E-2</v>
      </c>
      <c r="BZ46">
        <v>3.9224127347099062E-2</v>
      </c>
      <c r="CA46">
        <v>3.8896037927479109E-2</v>
      </c>
      <c r="CB46">
        <v>3.855368985264887E-2</v>
      </c>
      <c r="CC46">
        <v>3.8199018602792838E-2</v>
      </c>
      <c r="CD46">
        <v>3.7833780422182883E-2</v>
      </c>
      <c r="CE46">
        <v>3.7459568146291651E-2</v>
      </c>
      <c r="CF46">
        <v>3.7077825635840972E-2</v>
      </c>
      <c r="CG46">
        <v>3.6689860939028943E-2</v>
      </c>
      <c r="CH46">
        <v>3.6296858291901768E-2</v>
      </c>
      <c r="CI46">
        <v>3.5899889058782462E-2</v>
      </c>
      <c r="CJ46">
        <v>3.549992170606027E-2</v>
      </c>
      <c r="CK46">
        <v>3.5097830894793167E-2</v>
      </c>
      <c r="CL46">
        <v>3.4694405770288532E-2</v>
      </c>
      <c r="CM46">
        <v>3.4290357520074012E-2</v>
      </c>
      <c r="CN46">
        <v>3.3886326265432157E-2</v>
      </c>
      <c r="CO46">
        <v>3.3482887345933743E-2</v>
      </c>
      <c r="CP46">
        <v>3.3080557051115893E-2</v>
      </c>
      <c r="CQ46">
        <v>3.267979784870946E-2</v>
      </c>
      <c r="CR46">
        <v>3.2281023154126329E-2</v>
      </c>
      <c r="CS46">
        <v>3.1884601682235038E-2</v>
      </c>
      <c r="CT46">
        <v>3.1490861419611882E-2</v>
      </c>
      <c r="CU46">
        <v>3.1100093251199269E-2</v>
      </c>
      <c r="CV46">
        <v>3.071255425100379E-2</v>
      </c>
    </row>
    <row r="47" spans="31:100" x14ac:dyDescent="0.25">
      <c r="AS47">
        <v>9.6618357487922703E-4</v>
      </c>
      <c r="AT47">
        <v>5.6962800915922674E-3</v>
      </c>
      <c r="AU47">
        <v>9.8069319789003406E-3</v>
      </c>
      <c r="AV47">
        <v>1.353782938158358E-2</v>
      </c>
      <c r="AW47">
        <v>1.6914655483861368E-2</v>
      </c>
      <c r="AX47">
        <v>1.9961377244941229E-2</v>
      </c>
      <c r="AY47">
        <v>2.2701428366033841E-2</v>
      </c>
      <c r="AZ47">
        <v>2.51575224776906E-2</v>
      </c>
      <c r="BA47">
        <v>2.735144588611441E-2</v>
      </c>
      <c r="BB47">
        <v>2.9303912652555459E-2</v>
      </c>
      <c r="BC47">
        <v>3.1034477893623388E-2</v>
      </c>
      <c r="BD47">
        <v>3.2561495118825258E-2</v>
      </c>
      <c r="BE47">
        <v>3.3902112447240923E-2</v>
      </c>
      <c r="BF47">
        <v>3.5072284552992508E-2</v>
      </c>
      <c r="BG47">
        <v>3.6086810027497009E-2</v>
      </c>
      <c r="BH47">
        <v>3.6959383771779312E-2</v>
      </c>
      <c r="BI47">
        <v>3.7702642265150153E-2</v>
      </c>
      <c r="BJ47">
        <v>3.8328216392628178E-2</v>
      </c>
      <c r="BK47">
        <v>3.8846826387868127E-2</v>
      </c>
      <c r="BL47">
        <v>3.9268304819794347E-2</v>
      </c>
      <c r="BM47">
        <v>3.9601670781865571E-2</v>
      </c>
      <c r="BN47">
        <v>3.9855194771833503E-2</v>
      </c>
      <c r="BO47">
        <v>4.003645488353192E-2</v>
      </c>
      <c r="BP47">
        <v>4.0152368691365257E-2</v>
      </c>
      <c r="BQ47">
        <v>4.0209282574808193E-2</v>
      </c>
      <c r="BR47">
        <v>4.0212982668115023E-2</v>
      </c>
      <c r="BS47">
        <v>4.0168765766383799E-2</v>
      </c>
      <c r="BT47">
        <v>4.0081458598563373E-2</v>
      </c>
      <c r="BU47">
        <v>3.9955473871908939E-2</v>
      </c>
      <c r="BV47">
        <v>3.9794832748217969E-2</v>
      </c>
      <c r="BW47">
        <v>3.9603207658738537E-2</v>
      </c>
      <c r="BX47">
        <v>3.9383943907664788E-2</v>
      </c>
      <c r="BY47">
        <v>3.9140092558759207E-2</v>
      </c>
      <c r="BZ47">
        <v>3.8874433299968141E-2</v>
      </c>
      <c r="CA47">
        <v>3.8589498538793572E-2</v>
      </c>
      <c r="CB47">
        <v>3.8287594434452968E-2</v>
      </c>
      <c r="CC47">
        <v>3.7970820396934488E-2</v>
      </c>
      <c r="CD47">
        <v>3.764108695826112E-2</v>
      </c>
      <c r="CE47">
        <v>3.7300132050809558E-2</v>
      </c>
      <c r="CF47">
        <v>3.6949535931490723E-2</v>
      </c>
      <c r="CG47">
        <v>3.6590734808116317E-2</v>
      </c>
      <c r="CH47">
        <v>3.6225033295983512E-2</v>
      </c>
      <c r="CI47">
        <v>3.5853615798926049E-2</v>
      </c>
      <c r="CJ47">
        <v>3.5477556906942251E-2</v>
      </c>
      <c r="CK47">
        <v>3.5097830894793167E-2</v>
      </c>
      <c r="CL47">
        <v>3.4715320399061278E-2</v>
      </c>
      <c r="CM47">
        <v>3.4330824344784308E-2</v>
      </c>
      <c r="CN47">
        <v>3.3945065186833198E-2</v>
      </c>
      <c r="CO47">
        <v>3.3558695525686973E-2</v>
      </c>
      <c r="CP47">
        <v>3.3172304152158043E-2</v>
      </c>
      <c r="CQ47">
        <v>3.2786421570922188E-2</v>
      </c>
      <c r="CR47">
        <v>3.2401525048345238E-2</v>
      </c>
      <c r="CS47">
        <v>3.2018043226275557E-2</v>
      </c>
      <c r="CT47">
        <v>3.1636360339631207E-2</v>
      </c>
      <c r="CU47">
        <v>3.1256820071697597E-2</v>
      </c>
      <c r="CV47">
        <v>3.0879729081006679E-2</v>
      </c>
    </row>
    <row r="48" spans="31:100" x14ac:dyDescent="0.25">
      <c r="AT48">
        <v>9.2506938020351531E-4</v>
      </c>
      <c r="AU48">
        <v>5.4591926002481106E-3</v>
      </c>
      <c r="AV48">
        <v>9.4080469628557064E-3</v>
      </c>
      <c r="AW48">
        <v>1.3000139812216011E-2</v>
      </c>
      <c r="AX48">
        <v>1.625906923461139E-2</v>
      </c>
      <c r="AY48">
        <v>1.9206815612575319E-2</v>
      </c>
      <c r="AZ48">
        <v>2.1864902617140261E-2</v>
      </c>
      <c r="BA48">
        <v>2.4254234983534659E-2</v>
      </c>
      <c r="BB48">
        <v>2.639490862443148E-2</v>
      </c>
      <c r="BC48">
        <v>2.8306074730874011E-2</v>
      </c>
      <c r="BD48">
        <v>3.0005856089477739E-2</v>
      </c>
      <c r="BE48">
        <v>3.1511303243589403E-2</v>
      </c>
      <c r="BF48">
        <v>3.2838383022645107E-2</v>
      </c>
      <c r="BG48">
        <v>3.4001991496877278E-2</v>
      </c>
      <c r="BH48">
        <v>3.5015970787918571E-2</v>
      </c>
      <c r="BI48">
        <v>3.5893175377932497E-2</v>
      </c>
      <c r="BJ48">
        <v>3.6645472220707929E-2</v>
      </c>
      <c r="BK48">
        <v>3.7283842106095227E-2</v>
      </c>
      <c r="BL48">
        <v>3.781838693761657E-2</v>
      </c>
      <c r="BM48">
        <v>3.8258441556482517E-2</v>
      </c>
      <c r="BN48">
        <v>3.8612554579177463E-2</v>
      </c>
      <c r="BO48">
        <v>3.8888564893554863E-2</v>
      </c>
      <c r="BP48">
        <v>3.9093743414546051E-2</v>
      </c>
      <c r="BQ48">
        <v>3.9234662145375743E-2</v>
      </c>
      <c r="BR48">
        <v>3.9317401007178683E-2</v>
      </c>
      <c r="BS48">
        <v>3.9347538371522259E-2</v>
      </c>
      <c r="BT48">
        <v>3.933014959819995E-2</v>
      </c>
      <c r="BU48">
        <v>3.9269886695295159E-2</v>
      </c>
      <c r="BV48">
        <v>3.9171015678032488E-2</v>
      </c>
      <c r="BW48">
        <v>3.9037430715563502E-2</v>
      </c>
      <c r="BX48">
        <v>3.8872691429721842E-2</v>
      </c>
      <c r="BY48">
        <v>3.8680051883947991E-2</v>
      </c>
      <c r="BZ48">
        <v>3.8462485336226072E-2</v>
      </c>
      <c r="CA48">
        <v>3.8222706238786548E-2</v>
      </c>
      <c r="CB48">
        <v>3.7963193319243103E-2</v>
      </c>
      <c r="CC48">
        <v>3.7686208989877658E-2</v>
      </c>
      <c r="CD48">
        <v>3.7393817514649173E-2</v>
      </c>
      <c r="CE48">
        <v>3.7087901788972123E-2</v>
      </c>
      <c r="CF48">
        <v>3.6770178645124392E-2</v>
      </c>
      <c r="CG48">
        <v>3.6442212903839352E-2</v>
      </c>
      <c r="CH48">
        <v>3.6105430231538227E-2</v>
      </c>
      <c r="CI48">
        <v>3.5761128923252353E-2</v>
      </c>
      <c r="CJ48">
        <v>3.5410490689040668E-2</v>
      </c>
      <c r="CK48">
        <v>3.5054590528594047E-2</v>
      </c>
      <c r="CL48">
        <v>3.4694405770288532E-2</v>
      </c>
      <c r="CM48">
        <v>3.4330824344784308E-2</v>
      </c>
      <c r="CN48">
        <v>3.3964652357819619E-2</v>
      </c>
      <c r="CO48">
        <v>3.3596621021630073E-2</v>
      </c>
      <c r="CP48">
        <v>3.3227392999548737E-2</v>
      </c>
      <c r="CQ48">
        <v>3.2857568213814838E-2</v>
      </c>
      <c r="CR48">
        <v>3.2487689162433608E-2</v>
      </c>
      <c r="CS48">
        <v>3.2118245787047937E-2</v>
      </c>
      <c r="CT48">
        <v>3.1749679930251157E-2</v>
      </c>
      <c r="CU48">
        <v>3.1382389417464282E-2</v>
      </c>
      <c r="CV48">
        <v>3.10167317953003E-2</v>
      </c>
    </row>
    <row r="49" spans="47:100" x14ac:dyDescent="0.25">
      <c r="AU49">
        <v>8.8652482269503544E-4</v>
      </c>
      <c r="AV49">
        <v>5.2366002997777262E-3</v>
      </c>
      <c r="AW49">
        <v>9.0329866868997296E-3</v>
      </c>
      <c r="AX49">
        <v>1.249378858486936E-2</v>
      </c>
      <c r="AY49">
        <v>1.5640729519944468E-2</v>
      </c>
      <c r="AZ49">
        <v>1.8494003026726859E-2</v>
      </c>
      <c r="BA49">
        <v>2.107341058095618E-2</v>
      </c>
      <c r="BB49">
        <v>2.3398221246908289E-2</v>
      </c>
      <c r="BC49">
        <v>2.5486997784318219E-2</v>
      </c>
      <c r="BD49">
        <v>2.73574696007414E-2</v>
      </c>
      <c r="BE49">
        <v>2.9026451747234529E-2</v>
      </c>
      <c r="BF49">
        <v>3.050980179196822E-2</v>
      </c>
      <c r="BG49">
        <v>3.1822402938394813E-2</v>
      </c>
      <c r="BH49">
        <v>3.2978170186033377E-2</v>
      </c>
      <c r="BI49">
        <v>3.3990070864873982E-2</v>
      </c>
      <c r="BJ49">
        <v>3.4870164763906822E-2</v>
      </c>
      <c r="BK49">
        <v>3.562962404046182E-2</v>
      </c>
      <c r="BL49">
        <v>3.627878869722187E-2</v>
      </c>
      <c r="BM49">
        <v>3.6827213076783057E-2</v>
      </c>
      <c r="BN49">
        <v>3.7283738332925871E-2</v>
      </c>
      <c r="BO49">
        <v>3.7656444140968443E-2</v>
      </c>
      <c r="BP49">
        <v>3.7952868607162488E-2</v>
      </c>
      <c r="BQ49">
        <v>3.8179872953390953E-2</v>
      </c>
      <c r="BR49">
        <v>3.8343767506225077E-2</v>
      </c>
      <c r="BS49">
        <v>3.8450357531115767E-2</v>
      </c>
      <c r="BT49">
        <v>3.8504990448589051E-2</v>
      </c>
      <c r="BU49">
        <v>3.851256689012391E-2</v>
      </c>
      <c r="BV49">
        <v>3.8477554619116769E-2</v>
      </c>
      <c r="BW49">
        <v>3.8404071402169379E-2</v>
      </c>
      <c r="BX49">
        <v>3.8295890642453208E-2</v>
      </c>
      <c r="BY49">
        <v>3.8156459868206899E-2</v>
      </c>
      <c r="BZ49">
        <v>3.7988943232644873E-2</v>
      </c>
      <c r="CA49">
        <v>3.7796233628179153E-2</v>
      </c>
      <c r="CB49">
        <v>3.7580980547193651E-2</v>
      </c>
      <c r="CC49">
        <v>3.7345607230521521E-2</v>
      </c>
      <c r="CD49">
        <v>3.7092330612327758E-2</v>
      </c>
      <c r="CE49">
        <v>3.682317774879118E-2</v>
      </c>
      <c r="CF49">
        <v>3.6540001665365578E-2</v>
      </c>
      <c r="CG49">
        <v>3.6244495723785623E-2</v>
      </c>
      <c r="CH49">
        <v>3.5938206845886188E-2</v>
      </c>
      <c r="CI49">
        <v>3.56225476429562E-2</v>
      </c>
      <c r="CJ49">
        <v>3.5298807555209262E-2</v>
      </c>
      <c r="CK49">
        <v>3.4968163068119368E-2</v>
      </c>
      <c r="CL49">
        <v>3.4631687084465797E-2</v>
      </c>
      <c r="CM49">
        <v>3.4290357520074012E-2</v>
      </c>
      <c r="CN49">
        <v>3.3945065186833198E-2</v>
      </c>
      <c r="CO49">
        <v>3.3596621021630073E-2</v>
      </c>
      <c r="CP49">
        <v>3.3245762715384729E-2</v>
      </c>
      <c r="CQ49">
        <v>3.2893160792024159E-2</v>
      </c>
      <c r="CR49">
        <v>3.2539424183237277E-2</v>
      </c>
      <c r="CS49">
        <v>3.2185105341131837E-2</v>
      </c>
      <c r="CT49">
        <v>3.1830704927449507E-2</v>
      </c>
      <c r="CU49">
        <v>3.1476676114809393E-2</v>
      </c>
      <c r="CV49">
        <v>3.112342853250933E-2</v>
      </c>
    </row>
    <row r="50" spans="47:100" x14ac:dyDescent="0.25">
      <c r="AV50">
        <v>8.5034013605442195E-4</v>
      </c>
      <c r="AW50">
        <v>5.027345549741654E-3</v>
      </c>
      <c r="AX50">
        <v>8.6798928414220811E-3</v>
      </c>
      <c r="AY50">
        <v>1.201639211230658E-2</v>
      </c>
      <c r="AZ50">
        <v>1.50568778448276E-2</v>
      </c>
      <c r="BA50">
        <v>1.781993305210218E-2</v>
      </c>
      <c r="BB50">
        <v>2.0323803381602969E-2</v>
      </c>
      <c r="BC50">
        <v>2.2586276258671649E-2</v>
      </c>
      <c r="BD50">
        <v>2.4624521586319632E-2</v>
      </c>
      <c r="BE50">
        <v>2.6454973172174129E-2</v>
      </c>
      <c r="BF50">
        <v>2.8093250945297799E-2</v>
      </c>
      <c r="BG50">
        <v>2.9554118140365428E-2</v>
      </c>
      <c r="BH50">
        <v>3.085145965730654E-2</v>
      </c>
      <c r="BI50">
        <v>3.199829140584267E-2</v>
      </c>
      <c r="BJ50">
        <v>3.3006760397261997E-2</v>
      </c>
      <c r="BK50">
        <v>3.3888209249032561E-2</v>
      </c>
      <c r="BL50">
        <v>3.4653114968681981E-2</v>
      </c>
      <c r="BM50">
        <v>3.5311293594026238E-2</v>
      </c>
      <c r="BN50">
        <v>3.5871742078641973E-2</v>
      </c>
      <c r="BO50">
        <v>3.6342771310849627E-2</v>
      </c>
      <c r="BP50">
        <v>3.6732252604496883E-2</v>
      </c>
      <c r="BQ50">
        <v>3.704709265772399E-2</v>
      </c>
      <c r="BR50">
        <v>3.7293982149363893E-2</v>
      </c>
      <c r="BS50">
        <v>3.747897701165432E-2</v>
      </c>
      <c r="BT50">
        <v>3.7607577344168877E-2</v>
      </c>
      <c r="BU50">
        <v>3.768489975175332E-2</v>
      </c>
      <c r="BV50">
        <v>3.7715682922986569E-2</v>
      </c>
      <c r="BW50">
        <v>3.7704230172839602E-2</v>
      </c>
      <c r="BX50">
        <v>3.7654516174879658E-2</v>
      </c>
      <c r="BY50">
        <v>3.7570176684227893E-2</v>
      </c>
      <c r="BZ50">
        <v>3.745456511672756E-2</v>
      </c>
      <c r="CA50">
        <v>3.7310746886947042E-2</v>
      </c>
      <c r="CB50">
        <v>3.714153803294145E-2</v>
      </c>
      <c r="CC50">
        <v>3.694952104925376E-2</v>
      </c>
      <c r="CD50">
        <v>3.6737063399638357E-2</v>
      </c>
      <c r="CE50">
        <v>3.6506334618172612E-2</v>
      </c>
      <c r="CF50">
        <v>3.6259323121547851E-2</v>
      </c>
      <c r="CG50">
        <v>3.5997850174867077E-2</v>
      </c>
      <c r="CH50">
        <v>3.5723583691889063E-2</v>
      </c>
      <c r="CI50">
        <v>3.54380505829473E-2</v>
      </c>
      <c r="CJ50">
        <v>3.5142648225203688E-2</v>
      </c>
      <c r="CK50">
        <v>3.4838654991589488E-2</v>
      </c>
      <c r="CL50">
        <v>3.4527239912719603E-2</v>
      </c>
      <c r="CM50">
        <v>3.4209471570168647E-2</v>
      </c>
      <c r="CN50">
        <v>3.3886326265432157E-2</v>
      </c>
      <c r="CO50">
        <v>3.3558695525686973E-2</v>
      </c>
      <c r="CP50">
        <v>3.3227392999548737E-2</v>
      </c>
      <c r="CQ50">
        <v>3.2893160792024159E-2</v>
      </c>
      <c r="CR50">
        <v>3.2556675284170583E-2</v>
      </c>
      <c r="CS50">
        <v>3.2218552479460413E-2</v>
      </c>
      <c r="CT50">
        <v>3.1879352915499648E-2</v>
      </c>
      <c r="CU50">
        <v>3.153958617669466E-2</v>
      </c>
      <c r="CV50">
        <v>3.1199715040589129E-2</v>
      </c>
    </row>
    <row r="51" spans="47:100" x14ac:dyDescent="0.25">
      <c r="AW51">
        <v>8.1632653061224493E-4</v>
      </c>
      <c r="AX51">
        <v>4.8303839785080061E-3</v>
      </c>
      <c r="AY51">
        <v>8.3470846483312301E-3</v>
      </c>
      <c r="AZ51">
        <v>1.156578870656837E-2</v>
      </c>
      <c r="BA51">
        <v>1.4505005478873069E-2</v>
      </c>
      <c r="BB51">
        <v>1.71818634924196E-2</v>
      </c>
      <c r="BC51">
        <v>1.961320025918601E-2</v>
      </c>
      <c r="BD51">
        <v>2.181545874416552E-2</v>
      </c>
      <c r="BE51">
        <v>2.3804541527078969E-2</v>
      </c>
      <c r="BF51">
        <v>2.559569989884266E-2</v>
      </c>
      <c r="BG51">
        <v>2.7203460733645948E-2</v>
      </c>
      <c r="BH51">
        <v>2.8641582710301781E-2</v>
      </c>
      <c r="BI51">
        <v>2.9923031384620019E-2</v>
      </c>
      <c r="BJ51">
        <v>3.105999916358336E-2</v>
      </c>
      <c r="BK51">
        <v>3.2063849072044598E-2</v>
      </c>
      <c r="BL51">
        <v>3.2945274783743067E-2</v>
      </c>
      <c r="BM51">
        <v>3.3714146177852351E-2</v>
      </c>
      <c r="BN51">
        <v>3.4379677140735199E-2</v>
      </c>
      <c r="BO51">
        <v>3.4950430335285998E-2</v>
      </c>
      <c r="BP51">
        <v>3.5434271224116617E-2</v>
      </c>
      <c r="BQ51">
        <v>3.5838581045569598E-2</v>
      </c>
      <c r="BR51">
        <v>3.6170166341445091E-2</v>
      </c>
      <c r="BS51">
        <v>3.6435231382648453E-2</v>
      </c>
      <c r="BT51">
        <v>3.6639512148252347E-2</v>
      </c>
      <c r="BU51">
        <v>3.6788377250391822E-2</v>
      </c>
      <c r="BV51">
        <v>3.6886720048959092E-2</v>
      </c>
      <c r="BW51">
        <v>3.6939105846539581E-2</v>
      </c>
      <c r="BX51">
        <v>3.6949643969452738E-2</v>
      </c>
      <c r="BY51">
        <v>3.6922171042404958E-2</v>
      </c>
      <c r="BZ51">
        <v>3.6860208620742928E-2</v>
      </c>
      <c r="CA51">
        <v>3.6767001562915742E-2</v>
      </c>
      <c r="CB51">
        <v>3.6645535865074137E-2</v>
      </c>
      <c r="CC51">
        <v>3.6498539118474463E-2</v>
      </c>
      <c r="CD51">
        <v>3.6328530528482512E-2</v>
      </c>
      <c r="CE51">
        <v>3.6137820757562472E-2</v>
      </c>
      <c r="CF51">
        <v>3.5928530980103027E-2</v>
      </c>
      <c r="CG51">
        <v>3.570260923542725E-2</v>
      </c>
      <c r="CH51">
        <v>3.546184385368098E-2</v>
      </c>
      <c r="CI51">
        <v>3.5207875550361541E-2</v>
      </c>
      <c r="CJ51">
        <v>3.4942209460775572E-2</v>
      </c>
      <c r="CK51">
        <v>3.4666225852568192E-2</v>
      </c>
      <c r="CL51">
        <v>3.4381190105535038E-2</v>
      </c>
      <c r="CM51">
        <v>3.4088261837860873E-2</v>
      </c>
      <c r="CN51">
        <v>3.378850334223036E-2</v>
      </c>
      <c r="CO51">
        <v>3.3482887345933743E-2</v>
      </c>
      <c r="CP51">
        <v>3.3172304152158043E-2</v>
      </c>
      <c r="CQ51">
        <v>3.2857568213814838E-2</v>
      </c>
      <c r="CR51">
        <v>3.2539424183237277E-2</v>
      </c>
      <c r="CS51">
        <v>3.2218552479460413E-2</v>
      </c>
      <c r="CT51">
        <v>3.1895574411483572E-2</v>
      </c>
      <c r="CU51">
        <v>3.157105689298316E-2</v>
      </c>
      <c r="CV51">
        <v>3.1245516781199349E-2</v>
      </c>
    </row>
    <row r="52" spans="47:100" x14ac:dyDescent="0.25">
      <c r="AX52">
        <v>7.8431372549019626E-4</v>
      </c>
      <c r="AY52">
        <v>4.644771443213124E-3</v>
      </c>
      <c r="AZ52">
        <v>8.0330389107424426E-3</v>
      </c>
      <c r="BA52">
        <v>1.1140014296304009E-2</v>
      </c>
      <c r="BB52">
        <v>1.39828269049056E-2</v>
      </c>
      <c r="BC52">
        <v>1.657728917378315E-2</v>
      </c>
      <c r="BD52">
        <v>1.893896185517608E-2</v>
      </c>
      <c r="BE52">
        <v>2.1083065911431449E-2</v>
      </c>
      <c r="BF52">
        <v>2.3024348988992159E-2</v>
      </c>
      <c r="BG52">
        <v>2.4776982182880599E-2</v>
      </c>
      <c r="BH52">
        <v>2.6354489455839462E-2</v>
      </c>
      <c r="BI52">
        <v>2.7769706060004739E-2</v>
      </c>
      <c r="BJ52">
        <v>2.9034753200213211E-2</v>
      </c>
      <c r="BK52">
        <v>3.016104171936395E-2</v>
      </c>
      <c r="BL52">
        <v>3.1159275326957999E-2</v>
      </c>
      <c r="BM52">
        <v>3.2039448571255173E-2</v>
      </c>
      <c r="BN52">
        <v>3.2810906082945623E-2</v>
      </c>
      <c r="BO52">
        <v>3.3482352321314787E-2</v>
      </c>
      <c r="BP52">
        <v>3.406186236394667E-2</v>
      </c>
      <c r="BQ52">
        <v>3.4556928340996419E-2</v>
      </c>
      <c r="BR52">
        <v>3.4974523549311312E-2</v>
      </c>
      <c r="BS52">
        <v>3.5321144053315469E-2</v>
      </c>
      <c r="BT52">
        <v>3.5602713497155311E-2</v>
      </c>
      <c r="BU52">
        <v>3.5824657672222308E-2</v>
      </c>
      <c r="BV52">
        <v>3.5992202868482148E-2</v>
      </c>
      <c r="BW52">
        <v>3.6110064345460928E-2</v>
      </c>
      <c r="BX52">
        <v>3.6182489417510587E-2</v>
      </c>
      <c r="BY52">
        <v>3.6213518969253969E-2</v>
      </c>
      <c r="BZ52">
        <v>3.6206830807692672E-2</v>
      </c>
      <c r="CA52">
        <v>3.6165858909470619E-2</v>
      </c>
      <c r="CB52">
        <v>3.609372397806123E-2</v>
      </c>
      <c r="CC52">
        <v>3.5993327358557432E-2</v>
      </c>
      <c r="CD52">
        <v>3.586732494131438E-2</v>
      </c>
      <c r="CE52">
        <v>3.5718157765401277E-2</v>
      </c>
      <c r="CF52">
        <v>3.5548081782790043E-2</v>
      </c>
      <c r="CG52">
        <v>3.5359171315020733E-2</v>
      </c>
      <c r="CH52">
        <v>3.5153332526300242E-2</v>
      </c>
      <c r="CI52">
        <v>3.4932319205362078E-2</v>
      </c>
      <c r="CJ52">
        <v>3.4697743807461233E-2</v>
      </c>
      <c r="CK52">
        <v>3.4451088080584252E-2</v>
      </c>
      <c r="CL52">
        <v>3.4193713643208098E-2</v>
      </c>
      <c r="CM52">
        <v>3.3926871197008678E-2</v>
      </c>
      <c r="CN52">
        <v>3.3651709244811492E-2</v>
      </c>
      <c r="CO52">
        <v>3.3369282058326212E-2</v>
      </c>
      <c r="CP52">
        <v>3.3080557051115893E-2</v>
      </c>
      <c r="CQ52">
        <v>3.2786421570922188E-2</v>
      </c>
      <c r="CR52">
        <v>3.2487689162433608E-2</v>
      </c>
      <c r="CS52">
        <v>3.2185105341131837E-2</v>
      </c>
      <c r="CT52">
        <v>3.1879352915499627E-2</v>
      </c>
      <c r="CU52">
        <v>3.157105689298316E-2</v>
      </c>
      <c r="CV52">
        <v>3.1260789002154107E-2</v>
      </c>
    </row>
    <row r="53" spans="47:100" x14ac:dyDescent="0.25">
      <c r="AY53">
        <v>7.5414781297134252E-4</v>
      </c>
      <c r="AZ53">
        <v>4.4696527076774784E-3</v>
      </c>
      <c r="BA53">
        <v>7.7363726275994447E-3</v>
      </c>
      <c r="BB53">
        <v>1.073728118196675E-2</v>
      </c>
      <c r="BC53">
        <v>1.348825649108207E-2</v>
      </c>
      <c r="BD53">
        <v>1.6003917925420968E-2</v>
      </c>
      <c r="BE53">
        <v>1.8298666593902491E-2</v>
      </c>
      <c r="BF53">
        <v>2.038661096191792E-2</v>
      </c>
      <c r="BG53">
        <v>2.228144457048482E-2</v>
      </c>
      <c r="BH53">
        <v>2.3996350033152519E-2</v>
      </c>
      <c r="BI53">
        <v>2.554393155354116E-2</v>
      </c>
      <c r="BJ53">
        <v>2.693617383560809E-2</v>
      </c>
      <c r="BK53">
        <v>2.8184421865007209E-2</v>
      </c>
      <c r="BL53">
        <v>2.9299369599020741E-2</v>
      </c>
      <c r="BM53">
        <v>3.0291067028176029E-2</v>
      </c>
      <c r="BN53">
        <v>3.1168923952346141E-2</v>
      </c>
      <c r="BO53">
        <v>3.1941761096596202E-2</v>
      </c>
      <c r="BP53">
        <v>3.2617816417240333E-2</v>
      </c>
      <c r="BQ53">
        <v>3.3204703161311758E-2</v>
      </c>
      <c r="BR53">
        <v>3.370945380824384E-2</v>
      </c>
      <c r="BS53">
        <v>3.4138957608669897E-2</v>
      </c>
      <c r="BT53">
        <v>3.4499052479135192E-2</v>
      </c>
      <c r="BU53">
        <v>3.4795479460286313E-2</v>
      </c>
      <c r="BV53">
        <v>3.5033774139095898E-2</v>
      </c>
      <c r="BW53">
        <v>3.5218383249779592E-2</v>
      </c>
      <c r="BX53">
        <v>3.5354356356691742E-2</v>
      </c>
      <c r="BY53">
        <v>3.5445316728496601E-2</v>
      </c>
      <c r="BZ53">
        <v>3.5495470440250837E-2</v>
      </c>
      <c r="CA53">
        <v>3.5508203906013613E-2</v>
      </c>
      <c r="CB53">
        <v>3.5486939861904501E-2</v>
      </c>
      <c r="CC53">
        <v>3.5434651852954087E-2</v>
      </c>
      <c r="CD53">
        <v>3.5354107571866099E-2</v>
      </c>
      <c r="CE53">
        <v>3.5247942246600959E-2</v>
      </c>
      <c r="CF53">
        <v>3.5118505567844738E-2</v>
      </c>
      <c r="CG53">
        <v>3.4968000703995673E-2</v>
      </c>
      <c r="CH53">
        <v>3.4798456935957817E-2</v>
      </c>
      <c r="CI53">
        <v>3.4611736749816199E-2</v>
      </c>
      <c r="CJ53">
        <v>3.4409559266340567E-2</v>
      </c>
      <c r="CK53">
        <v>3.4193506729166379E-2</v>
      </c>
      <c r="CL53">
        <v>3.3965036403710423E-2</v>
      </c>
      <c r="CM53">
        <v>3.3725489882239397E-2</v>
      </c>
      <c r="CN53">
        <v>3.3476101748824372E-2</v>
      </c>
      <c r="CO53">
        <v>3.3218007906039973E-2</v>
      </c>
      <c r="CP53">
        <v>3.2952253084904293E-2</v>
      </c>
      <c r="CQ53">
        <v>3.267979784870946E-2</v>
      </c>
      <c r="CR53">
        <v>3.2401525048345238E-2</v>
      </c>
      <c r="CS53">
        <v>3.2118245787047937E-2</v>
      </c>
      <c r="CT53">
        <v>3.1830704927449507E-2</v>
      </c>
      <c r="CU53">
        <v>3.153958617669466E-2</v>
      </c>
      <c r="CV53">
        <v>3.1245516781199349E-2</v>
      </c>
    </row>
    <row r="54" spans="47:100" x14ac:dyDescent="0.25">
      <c r="AZ54">
        <v>7.2568940493468795E-4</v>
      </c>
      <c r="BA54">
        <v>4.3042515844634883E-3</v>
      </c>
      <c r="BB54">
        <v>7.4558278035212573E-3</v>
      </c>
      <c r="BC54">
        <v>1.035595940327326E-2</v>
      </c>
      <c r="BD54">
        <v>1.3019387947282831E-2</v>
      </c>
      <c r="BE54">
        <v>1.545964932918203E-2</v>
      </c>
      <c r="BF54">
        <v>1.7690089617316291E-2</v>
      </c>
      <c r="BG54">
        <v>1.9723802883708549E-2</v>
      </c>
      <c r="BH54">
        <v>2.1573519249590022E-2</v>
      </c>
      <c r="BI54">
        <v>2.3251515553283669E-2</v>
      </c>
      <c r="BJ54">
        <v>2.4769551141123881E-2</v>
      </c>
      <c r="BK54">
        <v>2.613882847786449E-2</v>
      </c>
      <c r="BL54">
        <v>2.736997418875323E-2</v>
      </c>
      <c r="BM54">
        <v>2.84730050712559E-2</v>
      </c>
      <c r="BN54">
        <v>2.9457398655899601E-2</v>
      </c>
      <c r="BO54">
        <v>3.033199272780188E-2</v>
      </c>
      <c r="BP54">
        <v>3.110509060510815E-2</v>
      </c>
      <c r="BQ54">
        <v>3.1784510985899142E-2</v>
      </c>
      <c r="BR54">
        <v>3.2377426147463979E-2</v>
      </c>
      <c r="BS54">
        <v>3.2890698530636302E-2</v>
      </c>
      <c r="BT54">
        <v>3.3330639003801038E-2</v>
      </c>
      <c r="BU54">
        <v>3.370283769908592E-2</v>
      </c>
      <c r="BV54">
        <v>3.4012928880469848E-2</v>
      </c>
      <c r="BW54">
        <v>3.4266039281567719E-2</v>
      </c>
      <c r="BX54">
        <v>3.4466453628471769E-2</v>
      </c>
      <c r="BY54">
        <v>3.4618951307624671E-2</v>
      </c>
      <c r="BZ54">
        <v>3.4727316669127248E-2</v>
      </c>
      <c r="CA54">
        <v>3.4795223708501653E-2</v>
      </c>
      <c r="CB54">
        <v>3.4826098919340708E-2</v>
      </c>
      <c r="CC54">
        <v>3.4823329508331238E-2</v>
      </c>
      <c r="CD54">
        <v>3.4789666600708473E-2</v>
      </c>
      <c r="CE54">
        <v>3.4727833949957217E-2</v>
      </c>
      <c r="CF54">
        <v>3.4640388560048141E-2</v>
      </c>
      <c r="CG54">
        <v>3.4529623709162641E-2</v>
      </c>
      <c r="CH54">
        <v>3.4397685732976011E-2</v>
      </c>
      <c r="CI54">
        <v>3.4246541685930457E-2</v>
      </c>
      <c r="CJ54">
        <v>3.4078019200763983E-2</v>
      </c>
      <c r="CK54">
        <v>3.3893799345769873E-2</v>
      </c>
      <c r="CL54">
        <v>3.3695434085035468E-2</v>
      </c>
      <c r="CM54">
        <v>3.3484355289867117E-2</v>
      </c>
      <c r="CN54">
        <v>3.3261883391836951E-2</v>
      </c>
      <c r="CO54">
        <v>3.3029235656445159E-2</v>
      </c>
      <c r="CP54">
        <v>3.2787534044393732E-2</v>
      </c>
      <c r="CQ54">
        <v>3.2537812421137013E-2</v>
      </c>
      <c r="CR54">
        <v>3.2281023154126329E-2</v>
      </c>
      <c r="CS54">
        <v>3.2018043226275557E-2</v>
      </c>
      <c r="CT54">
        <v>3.1749679930251157E-2</v>
      </c>
      <c r="CU54">
        <v>3.1476676114809393E-2</v>
      </c>
      <c r="CV54">
        <v>3.1199715040589129E-2</v>
      </c>
    </row>
    <row r="55" spans="47:100" x14ac:dyDescent="0.25">
      <c r="BA55">
        <v>6.9881201956673651E-4</v>
      </c>
      <c r="BB55">
        <v>4.1478623286710353E-3</v>
      </c>
      <c r="BC55">
        <v>7.1902581429930251E-3</v>
      </c>
      <c r="BD55">
        <v>9.9945603588214148E-3</v>
      </c>
      <c r="BE55">
        <v>1.257447619482265E-2</v>
      </c>
      <c r="BF55">
        <v>1.4942555892331399E-2</v>
      </c>
      <c r="BG55">
        <v>1.711118409400109E-2</v>
      </c>
      <c r="BH55">
        <v>1.909252853643751E-2</v>
      </c>
      <c r="BI55">
        <v>2.089843748710634E-2</v>
      </c>
      <c r="BJ55">
        <v>2.254035630543923E-2</v>
      </c>
      <c r="BK55">
        <v>2.4029268586285572E-2</v>
      </c>
      <c r="BL55">
        <v>2.5375655534598009E-2</v>
      </c>
      <c r="BM55">
        <v>2.6589471192566199E-2</v>
      </c>
      <c r="BN55">
        <v>2.7680135744512259E-2</v>
      </c>
      <c r="BO55">
        <v>2.865652957023123E-2</v>
      </c>
      <c r="BP55">
        <v>2.9527055070127289E-2</v>
      </c>
      <c r="BQ55">
        <v>3.029950314692607E-2</v>
      </c>
      <c r="BR55">
        <v>3.0981206633411279E-2</v>
      </c>
      <c r="BS55">
        <v>3.157916432681071E-2</v>
      </c>
      <c r="BT55">
        <v>3.209950662813002E-2</v>
      </c>
      <c r="BU55">
        <v>3.2548590596797239E-2</v>
      </c>
      <c r="BV55">
        <v>3.2931630390244972E-2</v>
      </c>
      <c r="BW55">
        <v>3.3254029145494191E-2</v>
      </c>
      <c r="BX55">
        <v>3.3519906672242479E-2</v>
      </c>
      <c r="BY55">
        <v>3.3735569871442252E-2</v>
      </c>
      <c r="BZ55">
        <v>3.3903337624002161E-2</v>
      </c>
      <c r="CA55">
        <v>3.4027830684065237E-2</v>
      </c>
      <c r="CB55">
        <v>3.4112238440619641E-2</v>
      </c>
      <c r="CC55">
        <v>3.4160229142867447E-2</v>
      </c>
      <c r="CD55">
        <v>3.4174731794628613E-2</v>
      </c>
      <c r="CE55">
        <v>3.4158592752297268E-2</v>
      </c>
      <c r="CF55">
        <v>3.4114419327794389E-2</v>
      </c>
      <c r="CG55">
        <v>3.4044641867470443E-2</v>
      </c>
      <c r="CH55">
        <v>3.3951536552442492E-2</v>
      </c>
      <c r="CI55">
        <v>3.3837205658956163E-2</v>
      </c>
      <c r="CJ55">
        <v>3.3703540306106963E-2</v>
      </c>
      <c r="CK55">
        <v>3.3552333083235963E-2</v>
      </c>
      <c r="CL55">
        <v>3.3385230712525707E-2</v>
      </c>
      <c r="CM55">
        <v>3.3203751456843733E-2</v>
      </c>
      <c r="CN55">
        <v>3.3009301277590539E-2</v>
      </c>
      <c r="CO55">
        <v>3.2803178391267861E-2</v>
      </c>
      <c r="CP55">
        <v>3.2586581945528173E-2</v>
      </c>
      <c r="CQ55">
        <v>3.2360618923101672E-2</v>
      </c>
      <c r="CR55">
        <v>3.2126311185193122E-2</v>
      </c>
      <c r="CS55">
        <v>3.1884601682235038E-2</v>
      </c>
      <c r="CT55">
        <v>3.1636360339631207E-2</v>
      </c>
      <c r="CU55">
        <v>3.1382389417464282E-2</v>
      </c>
      <c r="CV55">
        <v>3.112342853250933E-2</v>
      </c>
    </row>
    <row r="56" spans="47:100" x14ac:dyDescent="0.25">
      <c r="BB56">
        <v>6.7340067340067344E-4</v>
      </c>
      <c r="BC56">
        <v>3.9998421051063576E-3</v>
      </c>
      <c r="BD56">
        <v>6.9386173666457556E-3</v>
      </c>
      <c r="BE56">
        <v>9.6517223726985193E-3</v>
      </c>
      <c r="BF56">
        <v>1.215192133180497E-2</v>
      </c>
      <c r="BG56">
        <v>1.445086633080989E-2</v>
      </c>
      <c r="BH56">
        <v>1.656006451214935E-2</v>
      </c>
      <c r="BI56">
        <v>1.8490836430605648E-2</v>
      </c>
      <c r="BJ56">
        <v>2.025422215844536E-2</v>
      </c>
      <c r="BK56">
        <v>2.1860903521384738E-2</v>
      </c>
      <c r="BL56">
        <v>2.3321147799903071E-2</v>
      </c>
      <c r="BM56">
        <v>2.4644770265360352E-2</v>
      </c>
      <c r="BN56">
        <v>2.584110997250692E-2</v>
      </c>
      <c r="BO56">
        <v>2.6919021605133538E-2</v>
      </c>
      <c r="BP56">
        <v>2.7886883143338981E-2</v>
      </c>
      <c r="BQ56">
        <v>2.8752524337685589E-2</v>
      </c>
      <c r="BR56">
        <v>2.95234215507661E-2</v>
      </c>
      <c r="BS56">
        <v>3.0206445072864449E-2</v>
      </c>
      <c r="BT56">
        <v>3.0808281762136909E-2</v>
      </c>
      <c r="BU56">
        <v>3.1334786215339493E-2</v>
      </c>
      <c r="BV56">
        <v>3.1791690921958153E-2</v>
      </c>
      <c r="BW56">
        <v>3.2184972459682007E-2</v>
      </c>
      <c r="BX56">
        <v>3.2518238070345762E-2</v>
      </c>
      <c r="BY56">
        <v>3.2796658249947153E-2</v>
      </c>
      <c r="BZ56">
        <v>3.302509640133032E-2</v>
      </c>
      <c r="CA56">
        <v>3.3207568892644312E-2</v>
      </c>
      <c r="CB56">
        <v>3.3346248165215392E-2</v>
      </c>
      <c r="CC56">
        <v>3.3446415972293711E-2</v>
      </c>
      <c r="CD56">
        <v>3.351017766877562E-2</v>
      </c>
      <c r="CE56">
        <v>3.3541090169633088E-2</v>
      </c>
      <c r="CF56">
        <v>3.354128518260209E-2</v>
      </c>
      <c r="CG56">
        <v>3.3513683508566948E-2</v>
      </c>
      <c r="CH56">
        <v>3.3460632580910629E-2</v>
      </c>
      <c r="CI56">
        <v>3.338426310480555E-2</v>
      </c>
      <c r="CJ56">
        <v>3.3286598812095419E-2</v>
      </c>
      <c r="CK56">
        <v>3.3169532759284963E-2</v>
      </c>
      <c r="CL56">
        <v>3.303480370462656E-2</v>
      </c>
      <c r="CM56">
        <v>3.2884010718589339E-2</v>
      </c>
      <c r="CN56">
        <v>3.2718647609141623E-2</v>
      </c>
      <c r="CO56">
        <v>3.2540091550827113E-2</v>
      </c>
      <c r="CP56">
        <v>3.2349618767129808E-2</v>
      </c>
      <c r="CQ56">
        <v>3.214840906780992E-2</v>
      </c>
      <c r="CR56">
        <v>3.193755309762903E-2</v>
      </c>
      <c r="CS56">
        <v>3.1718059687473987E-2</v>
      </c>
      <c r="CT56">
        <v>3.1490861419611882E-2</v>
      </c>
      <c r="CU56">
        <v>3.1256820071697597E-2</v>
      </c>
      <c r="CV56">
        <v>3.10167317953003E-2</v>
      </c>
    </row>
    <row r="57" spans="47:100" x14ac:dyDescent="0.25">
      <c r="BC57">
        <v>6.4935064935064935E-4</v>
      </c>
      <c r="BD57">
        <v>3.8596043785436148E-3</v>
      </c>
      <c r="BE57">
        <v>6.699948927693565E-3</v>
      </c>
      <c r="BF57">
        <v>9.326197948488147E-3</v>
      </c>
      <c r="BG57">
        <v>1.175025442228908E-2</v>
      </c>
      <c r="BH57">
        <v>1.398295069115534E-2</v>
      </c>
      <c r="BI57">
        <v>1.6034991788640068E-2</v>
      </c>
      <c r="BJ57">
        <v>1.7916922370859401E-2</v>
      </c>
      <c r="BK57">
        <v>1.9639040698130421E-2</v>
      </c>
      <c r="BL57">
        <v>2.1211326345791811E-2</v>
      </c>
      <c r="BM57">
        <v>2.264338707236865E-2</v>
      </c>
      <c r="BN57">
        <v>2.394442232259817E-2</v>
      </c>
      <c r="BO57">
        <v>2.512320511061493E-2</v>
      </c>
      <c r="BP57">
        <v>2.618806040705619E-2</v>
      </c>
      <c r="BQ57">
        <v>2.7146850849959311E-2</v>
      </c>
      <c r="BR57">
        <v>2.8006957625028299E-2</v>
      </c>
      <c r="BS57">
        <v>2.8775717427316071E-2</v>
      </c>
      <c r="BT57">
        <v>2.94590194839148E-2</v>
      </c>
      <c r="BU57">
        <v>3.0063647245431799E-2</v>
      </c>
      <c r="BV57">
        <v>3.0595509503357769E-2</v>
      </c>
      <c r="BW57">
        <v>3.1059434718005489E-2</v>
      </c>
      <c r="BX57">
        <v>3.1460500774715877E-2</v>
      </c>
      <c r="BY57">
        <v>3.1803914701765398E-2</v>
      </c>
      <c r="BZ57">
        <v>3.2094769849082022E-2</v>
      </c>
      <c r="CA57">
        <v>3.2334453380090181E-2</v>
      </c>
      <c r="CB57">
        <v>3.2530414002644191E-2</v>
      </c>
      <c r="CC57">
        <v>3.268300061021745E-2</v>
      </c>
      <c r="CD57">
        <v>3.2797316788559412E-2</v>
      </c>
      <c r="CE57">
        <v>3.2876068697833848E-2</v>
      </c>
      <c r="CF57">
        <v>3.2921647601661601E-2</v>
      </c>
      <c r="CG57">
        <v>3.2937656253665612E-2</v>
      </c>
      <c r="CH57">
        <v>3.2925548855810997E-2</v>
      </c>
      <c r="CI57">
        <v>3.2888316949343917E-2</v>
      </c>
      <c r="CJ57">
        <v>3.2827676800676442E-2</v>
      </c>
      <c r="CK57">
        <v>3.2745886304239767E-2</v>
      </c>
      <c r="CL57">
        <v>3.2644574014753742E-2</v>
      </c>
      <c r="CM57">
        <v>3.2525504670382427E-2</v>
      </c>
      <c r="CN57">
        <v>3.2390251296399893E-2</v>
      </c>
      <c r="CO57">
        <v>3.2240270515822407E-2</v>
      </c>
      <c r="CP57">
        <v>3.2076906288170531E-2</v>
      </c>
      <c r="CQ57">
        <v>3.1901412636787842E-2</v>
      </c>
      <c r="CR57">
        <v>3.1714948986927907E-2</v>
      </c>
      <c r="CS57">
        <v>3.1518590160956372E-2</v>
      </c>
      <c r="CT57">
        <v>3.1313331159980938E-2</v>
      </c>
      <c r="CU57">
        <v>3.1100093251199269E-2</v>
      </c>
      <c r="CV57">
        <v>3.0879729081006679E-2</v>
      </c>
    </row>
    <row r="58" spans="47:100" x14ac:dyDescent="0.25">
      <c r="BD58">
        <v>6.2656641604010022E-4</v>
      </c>
      <c r="BE58">
        <v>3.7266131000573762E-3</v>
      </c>
      <c r="BF58">
        <v>6.4733769401520268E-3</v>
      </c>
      <c r="BG58">
        <v>9.0168424893675974E-3</v>
      </c>
      <c r="BH58">
        <v>1.1368124877398781E-2</v>
      </c>
      <c r="BI58">
        <v>1.353730710002227E-2</v>
      </c>
      <c r="BJ58">
        <v>1.5534359905489299E-2</v>
      </c>
      <c r="BK58">
        <v>1.736911638468517E-2</v>
      </c>
      <c r="BL58">
        <v>1.9051193087211701E-2</v>
      </c>
      <c r="BM58">
        <v>2.0589922826989931E-2</v>
      </c>
      <c r="BN58">
        <v>2.1994304658945509E-2</v>
      </c>
      <c r="BO58">
        <v>2.3272971159948429E-2</v>
      </c>
      <c r="BP58">
        <v>2.4434157095159059E-2</v>
      </c>
      <c r="BQ58">
        <v>2.548571822356276E-2</v>
      </c>
      <c r="BR58">
        <v>2.6435057589720791E-2</v>
      </c>
      <c r="BS58">
        <v>2.7289181820541068E-2</v>
      </c>
      <c r="BT58">
        <v>2.8054738877168611E-2</v>
      </c>
      <c r="BU58">
        <v>2.873812768778862E-2</v>
      </c>
      <c r="BV58">
        <v>2.9344901931530509E-2</v>
      </c>
      <c r="BW58">
        <v>2.9880549050684151E-2</v>
      </c>
      <c r="BX58">
        <v>3.0350776413684971E-2</v>
      </c>
      <c r="BY58">
        <v>3.0759340734887359E-2</v>
      </c>
      <c r="BZ58">
        <v>3.1110655736004009E-2</v>
      </c>
      <c r="CA58">
        <v>3.1411513001320841E-2</v>
      </c>
      <c r="CB58">
        <v>3.1663667360147453E-2</v>
      </c>
      <c r="CC58">
        <v>3.1871263815855512E-2</v>
      </c>
      <c r="CD58">
        <v>3.2036574682914237E-2</v>
      </c>
      <c r="CE58">
        <v>3.2163940351550409E-2</v>
      </c>
      <c r="CF58">
        <v>3.2256941244922843E-2</v>
      </c>
      <c r="CG58">
        <v>3.2316735962906941E-2</v>
      </c>
      <c r="CH58">
        <v>3.2347315604087407E-2</v>
      </c>
      <c r="CI58">
        <v>3.2349748042936853E-2</v>
      </c>
      <c r="CJ58">
        <v>3.2327810144660282E-2</v>
      </c>
      <c r="CK58">
        <v>3.2281811334726233E-2</v>
      </c>
      <c r="CL58">
        <v>3.2215045287651213E-2</v>
      </c>
      <c r="CM58">
        <v>3.2128681098481403E-2</v>
      </c>
      <c r="CN58">
        <v>3.2024507994764639E-2</v>
      </c>
      <c r="CO58">
        <v>3.1904056905420732E-2</v>
      </c>
      <c r="CP58">
        <v>3.1768747545619418E-2</v>
      </c>
      <c r="CQ58">
        <v>3.1619896780470162E-2</v>
      </c>
      <c r="CR58">
        <v>3.1458734159440928E-2</v>
      </c>
      <c r="CS58">
        <v>3.1286399914311792E-2</v>
      </c>
      <c r="CT58">
        <v>3.1103950118744131E-2</v>
      </c>
      <c r="CU58">
        <v>3.0912365190628649E-2</v>
      </c>
      <c r="CV58">
        <v>3.071255425100379E-2</v>
      </c>
    </row>
    <row r="59" spans="47:100" x14ac:dyDescent="0.25">
      <c r="BE59">
        <v>6.0496067755595902E-4</v>
      </c>
      <c r="BF59">
        <v>3.600377581730149E-3</v>
      </c>
      <c r="BG59">
        <v>6.2580981584772844E-3</v>
      </c>
      <c r="BH59">
        <v>8.7226042949811525E-3</v>
      </c>
      <c r="BI59">
        <v>1.10042892283902E-2</v>
      </c>
      <c r="BJ59">
        <v>1.3112549926079549E-2</v>
      </c>
      <c r="BK59">
        <v>1.5056683988159E-2</v>
      </c>
      <c r="BL59">
        <v>1.6845871012336672E-2</v>
      </c>
      <c r="BM59">
        <v>1.8489100423692631E-2</v>
      </c>
      <c r="BN59">
        <v>1.9995108748535249E-2</v>
      </c>
      <c r="BO59">
        <v>2.137233142415939E-2</v>
      </c>
      <c r="BP59">
        <v>2.2628875454408389E-2</v>
      </c>
      <c r="BQ59">
        <v>2.3772488870186809E-2</v>
      </c>
      <c r="BR59">
        <v>2.4810536567840599E-2</v>
      </c>
      <c r="BS59">
        <v>2.575005274870204E-2</v>
      </c>
      <c r="BT59">
        <v>2.659760397569795E-2</v>
      </c>
      <c r="BU59">
        <v>2.7359529711776569E-2</v>
      </c>
      <c r="BV59">
        <v>2.8041763404396871E-2</v>
      </c>
      <c r="BW59">
        <v>2.864968246965522E-2</v>
      </c>
      <c r="BX59">
        <v>2.918889448700538E-2</v>
      </c>
      <c r="BY59">
        <v>2.9663409537100529E-2</v>
      </c>
      <c r="BZ59">
        <v>3.0080419705249491E-2</v>
      </c>
      <c r="CA59">
        <v>3.043964199920119E-2</v>
      </c>
      <c r="CB59">
        <v>3.0749619814804709E-2</v>
      </c>
      <c r="CC59">
        <v>3.1011164951071091E-2</v>
      </c>
      <c r="CD59">
        <v>3.1230531377982759E-2</v>
      </c>
      <c r="CE59">
        <v>3.1407395404664078E-2</v>
      </c>
      <c r="CF59">
        <v>3.1547601632115368E-2</v>
      </c>
      <c r="CG59">
        <v>3.1653216724057368E-2</v>
      </c>
      <c r="CH59">
        <v>3.1725449054427132E-2</v>
      </c>
      <c r="CI59">
        <v>3.1770054131636791E-2</v>
      </c>
      <c r="CJ59">
        <v>3.1786474516344407E-2</v>
      </c>
      <c r="CK59">
        <v>3.1778193776954032E-2</v>
      </c>
      <c r="CL59">
        <v>3.1746948471800901E-2</v>
      </c>
      <c r="CM59">
        <v>3.1693913687653043E-2</v>
      </c>
      <c r="CN59">
        <v>3.1621792619876278E-2</v>
      </c>
      <c r="CO59">
        <v>3.1531840470213929E-2</v>
      </c>
      <c r="CP59">
        <v>3.1425481572302523E-2</v>
      </c>
      <c r="CQ59">
        <v>3.1304160834449181E-2</v>
      </c>
      <c r="CR59">
        <v>3.1169182593847738E-2</v>
      </c>
      <c r="CS59">
        <v>3.102173084202884E-2</v>
      </c>
      <c r="CT59">
        <v>3.0862932441762921E-2</v>
      </c>
      <c r="CU59">
        <v>3.0693823170557601E-2</v>
      </c>
      <c r="CV59">
        <v>3.051537075951849E-2</v>
      </c>
    </row>
    <row r="60" spans="47:100" x14ac:dyDescent="0.25">
      <c r="BF60">
        <v>5.8445353594389242E-4</v>
      </c>
      <c r="BG60">
        <v>3.480447968153136E-3</v>
      </c>
      <c r="BH60">
        <v>6.0533748717342866E-3</v>
      </c>
      <c r="BI60">
        <v>8.4425156729468591E-3</v>
      </c>
      <c r="BJ60">
        <v>1.065760111849832E-2</v>
      </c>
      <c r="BK60">
        <v>1.2707399197582009E-2</v>
      </c>
      <c r="BL60">
        <v>1.460058955008799E-2</v>
      </c>
      <c r="BM60">
        <v>1.6345750873869469E-2</v>
      </c>
      <c r="BN60">
        <v>1.7951294787285091E-2</v>
      </c>
      <c r="BO60">
        <v>1.9425407322159801E-2</v>
      </c>
      <c r="BP60">
        <v>2.0776005601805349E-2</v>
      </c>
      <c r="BQ60">
        <v>2.201070031239058E-2</v>
      </c>
      <c r="BR60">
        <v>2.313679589600285E-2</v>
      </c>
      <c r="BS60">
        <v>2.4161240420700131E-2</v>
      </c>
      <c r="BT60">
        <v>2.50906951762279E-2</v>
      </c>
      <c r="BU60">
        <v>2.593132199380806E-2</v>
      </c>
      <c r="BV60">
        <v>2.668927946564777E-2</v>
      </c>
      <c r="BW60">
        <v>2.7369413639159498E-2</v>
      </c>
      <c r="BX60">
        <v>2.7977625180320039E-2</v>
      </c>
      <c r="BY60">
        <v>2.8520403522996469E-2</v>
      </c>
      <c r="BZ60">
        <v>2.8999631865317021E-2</v>
      </c>
      <c r="CA60">
        <v>2.9420929088444871E-2</v>
      </c>
      <c r="CB60">
        <v>2.9787186178558411E-2</v>
      </c>
      <c r="CC60">
        <v>3.0106170594769961E-2</v>
      </c>
      <c r="CD60">
        <v>3.0376759277687619E-2</v>
      </c>
      <c r="CE60">
        <v>3.0608722191888559E-2</v>
      </c>
      <c r="CF60">
        <v>3.0793640865815462E-2</v>
      </c>
      <c r="CG60">
        <v>3.0944081021987702E-2</v>
      </c>
      <c r="CH60">
        <v>3.106291348964892E-2</v>
      </c>
      <c r="CI60">
        <v>3.1148103802564608E-2</v>
      </c>
      <c r="CJ60">
        <v>3.120458224858887E-2</v>
      </c>
      <c r="CK60">
        <v>3.123550949842294E-2</v>
      </c>
      <c r="CL60">
        <v>3.1239096043889879E-2</v>
      </c>
      <c r="CM60">
        <v>3.1221891125288139E-2</v>
      </c>
      <c r="CN60">
        <v>3.1182899808262061E-2</v>
      </c>
      <c r="CO60">
        <v>3.112404196186502E-2</v>
      </c>
      <c r="CP60">
        <v>3.10474844585048E-2</v>
      </c>
      <c r="CQ60">
        <v>3.0954522617596909E-2</v>
      </c>
      <c r="CR60">
        <v>3.0846585126027271E-2</v>
      </c>
      <c r="CS60">
        <v>3.0724861375857251E-2</v>
      </c>
      <c r="CT60">
        <v>3.0590516899608459E-2</v>
      </c>
      <c r="CU60">
        <v>3.0444684220136881E-2</v>
      </c>
      <c r="CV60">
        <v>3.0288370117856771E-2</v>
      </c>
    </row>
    <row r="61" spans="47:100" x14ac:dyDescent="0.25">
      <c r="BG61">
        <v>5.649717514124294E-4</v>
      </c>
      <c r="BH61">
        <v>3.3664112266196312E-3</v>
      </c>
      <c r="BI61">
        <v>5.8585285951202916E-3</v>
      </c>
      <c r="BJ61">
        <v>8.1756850253150142E-3</v>
      </c>
      <c r="BK61">
        <v>1.032700236676721E-2</v>
      </c>
      <c r="BL61">
        <v>1.2320671119495381E-2</v>
      </c>
      <c r="BM61">
        <v>1.416480286850012E-2</v>
      </c>
      <c r="BN61">
        <v>1.5867423051078772E-2</v>
      </c>
      <c r="BO61">
        <v>1.7436410255469891E-2</v>
      </c>
      <c r="BP61">
        <v>1.8879441804005529E-2</v>
      </c>
      <c r="BQ61">
        <v>2.0203953243755169E-2</v>
      </c>
      <c r="BR61">
        <v>2.1417096552187351E-2</v>
      </c>
      <c r="BS61">
        <v>2.2525769498867951E-2</v>
      </c>
      <c r="BT61">
        <v>2.353651974369628E-2</v>
      </c>
      <c r="BU61">
        <v>2.4455557169657121E-2</v>
      </c>
      <c r="BV61">
        <v>2.528884576894895E-2</v>
      </c>
      <c r="BW61">
        <v>2.6041963645816742E-2</v>
      </c>
      <c r="BX61">
        <v>2.6719883553005589E-2</v>
      </c>
      <c r="BY61">
        <v>2.7328744781108149E-2</v>
      </c>
      <c r="BZ61">
        <v>2.7872750083198519E-2</v>
      </c>
      <c r="CA61">
        <v>2.8354308745615141E-2</v>
      </c>
      <c r="CB61">
        <v>2.8780840096676159E-2</v>
      </c>
      <c r="CC61">
        <v>2.9154535003153289E-2</v>
      </c>
      <c r="CD61">
        <v>2.9479591844458881E-2</v>
      </c>
      <c r="CE61">
        <v>2.9762896380108001E-2</v>
      </c>
      <c r="CF61">
        <v>3.0000492837236891E-2</v>
      </c>
      <c r="CG61">
        <v>3.0196093559381E-2</v>
      </c>
      <c r="CH61">
        <v>3.035560212329922E-2</v>
      </c>
      <c r="CI61">
        <v>3.0491410221745719E-2</v>
      </c>
      <c r="CJ61">
        <v>3.0584346188298459E-2</v>
      </c>
      <c r="CK61">
        <v>3.065480193797962E-2</v>
      </c>
      <c r="CL61">
        <v>3.06951897532729E-2</v>
      </c>
      <c r="CM61">
        <v>3.0712808970791958E-2</v>
      </c>
      <c r="CN61">
        <v>3.0707875220959229E-2</v>
      </c>
      <c r="CO61">
        <v>3.068108939674976E-2</v>
      </c>
      <c r="CP61">
        <v>3.0634998407740179E-2</v>
      </c>
      <c r="CQ61">
        <v>3.057145670879988E-2</v>
      </c>
      <c r="CR61">
        <v>3.0491210280006911E-2</v>
      </c>
      <c r="CS61">
        <v>3.0396111569711781E-2</v>
      </c>
      <c r="CT61">
        <v>3.0286999951055889E-2</v>
      </c>
      <c r="CU61">
        <v>3.016520179677944E-2</v>
      </c>
      <c r="CV61">
        <v>3.0031776395419551E-2</v>
      </c>
    </row>
    <row r="62" spans="47:100" x14ac:dyDescent="0.25">
      <c r="BH62">
        <v>5.464480874316941E-4</v>
      </c>
      <c r="BI62">
        <v>3.2578875892193748E-3</v>
      </c>
      <c r="BJ62">
        <v>5.6729344582694078E-3</v>
      </c>
      <c r="BK62">
        <v>7.921289790045697E-3</v>
      </c>
      <c r="BL62">
        <v>1.0011514973871269E-2</v>
      </c>
      <c r="BM62">
        <v>1.1951269566375541E-2</v>
      </c>
      <c r="BN62">
        <v>1.3748142292362269E-2</v>
      </c>
      <c r="BO62">
        <v>1.5409648558093269E-2</v>
      </c>
      <c r="BP62">
        <v>1.694317480072885E-2</v>
      </c>
      <c r="BQ62">
        <v>1.8355927738914771E-2</v>
      </c>
      <c r="BR62">
        <v>1.9654895392641581E-2</v>
      </c>
      <c r="BS62">
        <v>2.0846821932295919E-2</v>
      </c>
      <c r="BT62">
        <v>2.1938193870971422E-2</v>
      </c>
      <c r="BU62">
        <v>2.2935138799146111E-2</v>
      </c>
      <c r="BV62">
        <v>2.384364403457967E-2</v>
      </c>
      <c r="BW62">
        <v>2.4669340002461768E-2</v>
      </c>
      <c r="BX62">
        <v>2.5417751463966839E-2</v>
      </c>
      <c r="BY62">
        <v>2.6093045781035249E-2</v>
      </c>
      <c r="BZ62">
        <v>2.6700603796030072E-2</v>
      </c>
      <c r="CA62">
        <v>2.7245112206286941E-2</v>
      </c>
      <c r="CB62">
        <v>2.7730873507122999E-2</v>
      </c>
      <c r="CC62">
        <v>2.8162527693458912E-2</v>
      </c>
      <c r="CD62">
        <v>2.8540507827596311E-2</v>
      </c>
      <c r="CE62">
        <v>2.887529508311526E-2</v>
      </c>
      <c r="CF62">
        <v>2.916360163565886E-2</v>
      </c>
      <c r="CG62">
        <v>2.9403583043713152E-2</v>
      </c>
      <c r="CH62">
        <v>2.9613412720813932E-2</v>
      </c>
      <c r="CI62">
        <v>2.978541937240467E-2</v>
      </c>
      <c r="CJ62">
        <v>2.9919932612901521E-2</v>
      </c>
      <c r="CK62">
        <v>3.002985229236382E-2</v>
      </c>
      <c r="CL62">
        <v>3.0111330616273659E-2</v>
      </c>
      <c r="CM62">
        <v>3.016716141223352E-2</v>
      </c>
      <c r="CN62">
        <v>3.0198072256754239E-2</v>
      </c>
      <c r="CO62">
        <v>3.0203608186049839E-2</v>
      </c>
      <c r="CP62">
        <v>3.0188633235881109E-2</v>
      </c>
      <c r="CQ62">
        <v>3.0154995560114209E-2</v>
      </c>
      <c r="CR62">
        <v>3.010342226042827E-2</v>
      </c>
      <c r="CS62">
        <v>3.0035757659766769E-2</v>
      </c>
      <c r="CT62">
        <v>2.9952664571707869E-2</v>
      </c>
      <c r="CU62">
        <v>2.9855669611117269E-2</v>
      </c>
      <c r="CV62">
        <v>2.974582414557838E-2</v>
      </c>
    </row>
    <row r="63" spans="47:100" x14ac:dyDescent="0.25">
      <c r="BI63">
        <v>5.2882072977260709E-4</v>
      </c>
      <c r="BJ63">
        <v>3.1545273895643888E-3</v>
      </c>
      <c r="BK63">
        <v>5.4960162038170971E-3</v>
      </c>
      <c r="BL63">
        <v>7.6785701335462773E-3</v>
      </c>
      <c r="BM63">
        <v>9.7102339580591723E-3</v>
      </c>
      <c r="BN63">
        <v>1.1598178436503501E-2</v>
      </c>
      <c r="BO63">
        <v>1.3349510418184281E-2</v>
      </c>
      <c r="BP63">
        <v>1.4971274567313829E-2</v>
      </c>
      <c r="BQ63">
        <v>1.6470402435288162E-2</v>
      </c>
      <c r="BR63">
        <v>1.785366501680145E-2</v>
      </c>
      <c r="BS63">
        <v>1.9127636615225471E-2</v>
      </c>
      <c r="BT63">
        <v>2.029866301942997E-2</v>
      </c>
      <c r="BU63">
        <v>2.1372860136736869E-2</v>
      </c>
      <c r="BV63">
        <v>2.2356056913558821E-2</v>
      </c>
      <c r="BW63">
        <v>2.3253858994046209E-2</v>
      </c>
      <c r="BX63">
        <v>2.4071870022582358E-2</v>
      </c>
      <c r="BY63">
        <v>2.4814008420944809E-2</v>
      </c>
      <c r="BZ63">
        <v>2.5487196626275611E-2</v>
      </c>
      <c r="CA63">
        <v>2.6093907317143471E-2</v>
      </c>
      <c r="CB63">
        <v>2.664179953207893E-2</v>
      </c>
      <c r="CC63">
        <v>2.712674879935479E-2</v>
      </c>
      <c r="CD63">
        <v>2.7563049871469882E-2</v>
      </c>
      <c r="CE63">
        <v>2.794949788466107E-2</v>
      </c>
      <c r="CF63">
        <v>2.8282214324914991E-2</v>
      </c>
      <c r="CG63">
        <v>2.8566519987280929E-2</v>
      </c>
      <c r="CH63">
        <v>2.8836709177236009E-2</v>
      </c>
      <c r="CI63">
        <v>2.904493979510854E-2</v>
      </c>
      <c r="CJ63">
        <v>2.922558366141307E-2</v>
      </c>
      <c r="CK63">
        <v>2.938051168961181E-2</v>
      </c>
      <c r="CL63">
        <v>2.9497344170673762E-2</v>
      </c>
      <c r="CM63">
        <v>2.9585184051636629E-2</v>
      </c>
      <c r="CN63">
        <v>2.9651114732593239E-2</v>
      </c>
      <c r="CO63">
        <v>2.9691378606839909E-2</v>
      </c>
      <c r="CP63">
        <v>2.9708319655871861E-2</v>
      </c>
      <c r="CQ63">
        <v>2.9708481126797762E-2</v>
      </c>
      <c r="CR63">
        <v>2.968430088979513E-2</v>
      </c>
      <c r="CS63">
        <v>2.9644073694406001E-2</v>
      </c>
      <c r="CT63">
        <v>2.958769125572636E-2</v>
      </c>
      <c r="CU63">
        <v>2.9516321944146089E-2</v>
      </c>
      <c r="CV63">
        <v>2.943071190842618E-2</v>
      </c>
    </row>
    <row r="64" spans="47:100" x14ac:dyDescent="0.25">
      <c r="BJ64">
        <v>5.1203277009728623E-4</v>
      </c>
      <c r="BK64">
        <v>3.0560082449124859E-3</v>
      </c>
      <c r="BL64">
        <v>5.3272417215880479E-3</v>
      </c>
      <c r="BM64">
        <v>7.446823304521644E-3</v>
      </c>
      <c r="BN64">
        <v>9.4223209258454538E-3</v>
      </c>
      <c r="BO64">
        <v>1.1260454765043931E-2</v>
      </c>
      <c r="BP64">
        <v>1.296788703453702E-2</v>
      </c>
      <c r="BQ64">
        <v>1.4551227420701401E-2</v>
      </c>
      <c r="BR64">
        <v>1.6016986260778899E-2</v>
      </c>
      <c r="BS64">
        <v>1.737153120307915E-2</v>
      </c>
      <c r="BT64">
        <v>1.8621051774837059E-2</v>
      </c>
      <c r="BU64">
        <v>1.9771528328213571E-2</v>
      </c>
      <c r="BV64">
        <v>2.0828736998621339E-2</v>
      </c>
      <c r="BW64">
        <v>2.1798174510619359E-2</v>
      </c>
      <c r="BX64">
        <v>2.2685011665085509E-2</v>
      </c>
      <c r="BY64">
        <v>2.349491108609256E-2</v>
      </c>
      <c r="BZ64">
        <v>2.423159730327544E-2</v>
      </c>
      <c r="CA64">
        <v>2.4899851219421409E-2</v>
      </c>
      <c r="CB64">
        <v>2.5506578776968419E-2</v>
      </c>
      <c r="CC64">
        <v>2.6051727453493548E-2</v>
      </c>
      <c r="CD64">
        <v>2.6545719326295378E-2</v>
      </c>
      <c r="CE64">
        <v>2.6982610296434138E-2</v>
      </c>
      <c r="CF64">
        <v>2.736316550157062E-2</v>
      </c>
      <c r="CG64">
        <v>2.770181680269064E-2</v>
      </c>
      <c r="CH64">
        <v>2.8009189119886591E-2</v>
      </c>
      <c r="CI64">
        <v>2.8265196193069352E-2</v>
      </c>
      <c r="CJ64">
        <v>2.847696068230457E-2</v>
      </c>
      <c r="CK64">
        <v>2.8699496053961639E-2</v>
      </c>
      <c r="CL64">
        <v>2.8850901886041419E-2</v>
      </c>
      <c r="CM64">
        <v>2.8978491880366532E-2</v>
      </c>
      <c r="CN64">
        <v>2.9067501234558049E-2</v>
      </c>
      <c r="CO64">
        <v>2.9148748515263521E-2</v>
      </c>
      <c r="CP64">
        <v>2.919938641491986E-2</v>
      </c>
      <c r="CQ64">
        <v>2.9224318458916741E-2</v>
      </c>
      <c r="CR64">
        <v>2.923423917952582E-2</v>
      </c>
      <c r="CS64">
        <v>2.9221751998901861E-2</v>
      </c>
      <c r="CT64">
        <v>2.9193121534956991E-2</v>
      </c>
      <c r="CU64">
        <v>2.9148219524063469E-2</v>
      </c>
      <c r="CV64">
        <v>2.9086915276173561E-2</v>
      </c>
    </row>
    <row r="65" spans="63:100" x14ac:dyDescent="0.25">
      <c r="BK65">
        <v>4.96031746031746E-4</v>
      </c>
      <c r="BL65">
        <v>2.962032541256212E-3</v>
      </c>
      <c r="BM65">
        <v>5.1661190538817041E-3</v>
      </c>
      <c r="BN65">
        <v>7.2253985711167711E-3</v>
      </c>
      <c r="BO65">
        <v>9.1469982917233069E-3</v>
      </c>
      <c r="BP65">
        <v>1.0937222526030689E-2</v>
      </c>
      <c r="BQ65">
        <v>1.2602322702630869E-2</v>
      </c>
      <c r="BR65">
        <v>1.4148506152242619E-2</v>
      </c>
      <c r="BS65">
        <v>1.5581893251958721E-2</v>
      </c>
      <c r="BT65">
        <v>1.6908476333491181E-2</v>
      </c>
      <c r="BU65">
        <v>1.8134086334689589E-2</v>
      </c>
      <c r="BV65">
        <v>1.9264370041428829E-2</v>
      </c>
      <c r="BW65">
        <v>2.0304774238957352E-2</v>
      </c>
      <c r="BX65">
        <v>2.1260547334339599E-2</v>
      </c>
      <c r="BY65">
        <v>2.213659869361197E-2</v>
      </c>
      <c r="BZ65">
        <v>2.2938107244767671E-2</v>
      </c>
      <c r="CA65">
        <v>2.3668787576957971E-2</v>
      </c>
      <c r="CB65">
        <v>2.433347910091883E-2</v>
      </c>
      <c r="CC65">
        <v>2.4935944393681918E-2</v>
      </c>
      <c r="CD65">
        <v>2.547622965977912E-2</v>
      </c>
      <c r="CE65">
        <v>2.5981472242565289E-2</v>
      </c>
      <c r="CF65">
        <v>2.6410742729718061E-2</v>
      </c>
      <c r="CG65">
        <v>2.6795448700945509E-2</v>
      </c>
      <c r="CH65">
        <v>2.7145033687636381E-2</v>
      </c>
      <c r="CI65">
        <v>2.7467177221974219E-2</v>
      </c>
      <c r="CJ65">
        <v>2.7739083766959879E-2</v>
      </c>
      <c r="CK65">
        <v>2.7956206930115E-2</v>
      </c>
      <c r="CL65">
        <v>2.8138233395114429E-2</v>
      </c>
      <c r="CM65">
        <v>2.8335194256129761E-2</v>
      </c>
      <c r="CN65">
        <v>2.8473358386045609E-2</v>
      </c>
      <c r="CO65">
        <v>2.8578383921421108E-2</v>
      </c>
      <c r="CP65">
        <v>2.8642622678474131E-2</v>
      </c>
      <c r="CQ65">
        <v>2.8721341310400821E-2</v>
      </c>
      <c r="CR65">
        <v>2.8737906772786301E-2</v>
      </c>
      <c r="CS65">
        <v>2.8765469588242821E-2</v>
      </c>
      <c r="CT65">
        <v>2.8770368548566471E-2</v>
      </c>
      <c r="CU65">
        <v>2.87501942134675E-2</v>
      </c>
      <c r="CV65">
        <v>2.8714079393483589E-2</v>
      </c>
    </row>
    <row r="66" spans="63:100" x14ac:dyDescent="0.25">
      <c r="BL66">
        <v>4.807692307692308E-4</v>
      </c>
      <c r="BM66">
        <v>2.8723251847214601E-3</v>
      </c>
      <c r="BN66">
        <v>5.012192815941255E-3</v>
      </c>
      <c r="BO66">
        <v>7.0136926736703124E-3</v>
      </c>
      <c r="BP66">
        <v>8.8835440731416145E-3</v>
      </c>
      <c r="BQ66">
        <v>1.062766702447205E-2</v>
      </c>
      <c r="BR66">
        <v>1.225193302638415E-2</v>
      </c>
      <c r="BS66">
        <v>1.376217675514518E-2</v>
      </c>
      <c r="BT66">
        <v>1.516415676001215E-2</v>
      </c>
      <c r="BU66">
        <v>1.6463516843070451E-2</v>
      </c>
      <c r="BV66">
        <v>1.7665756036349341E-2</v>
      </c>
      <c r="BW66">
        <v>1.8776211587545149E-2</v>
      </c>
      <c r="BX66">
        <v>1.980000828813451E-2</v>
      </c>
      <c r="BY66">
        <v>2.074211460809311E-2</v>
      </c>
      <c r="BZ66">
        <v>2.16073833348145E-2</v>
      </c>
      <c r="CA66">
        <v>2.239989469987631E-2</v>
      </c>
      <c r="CB66">
        <v>2.3125021353288821E-2</v>
      </c>
      <c r="CC66">
        <v>2.3784712638150581E-2</v>
      </c>
      <c r="CD66">
        <v>2.4387739533528661E-2</v>
      </c>
      <c r="CE66">
        <v>2.4929782964849941E-2</v>
      </c>
      <c r="CF66">
        <v>2.542383294657153E-2</v>
      </c>
      <c r="CG66">
        <v>2.5861034327295401E-2</v>
      </c>
      <c r="CH66">
        <v>2.6253760919137659E-2</v>
      </c>
      <c r="CI66">
        <v>2.6641115767575441E-2</v>
      </c>
      <c r="CJ66">
        <v>2.6915314119160979E-2</v>
      </c>
      <c r="CK66">
        <v>2.7180769799907929E-2</v>
      </c>
      <c r="CL66">
        <v>2.7471245526195641E-2</v>
      </c>
      <c r="CM66">
        <v>2.7630768722853E-2</v>
      </c>
      <c r="CN66">
        <v>2.7822991118542709E-2</v>
      </c>
      <c r="CO66">
        <v>2.796404564908175E-2</v>
      </c>
      <c r="CP66">
        <v>2.8098180743322501E-2</v>
      </c>
      <c r="CQ66">
        <v>2.8171817000283289E-2</v>
      </c>
      <c r="CR66">
        <v>2.8221234559743721E-2</v>
      </c>
      <c r="CS66">
        <v>2.829025124597008E-2</v>
      </c>
      <c r="CT66">
        <v>2.8317530058579031E-2</v>
      </c>
      <c r="CU66">
        <v>2.8327779964284289E-2</v>
      </c>
      <c r="CV66">
        <v>2.831262209713303E-2</v>
      </c>
    </row>
    <row r="67" spans="63:100" x14ac:dyDescent="0.25">
      <c r="BM67">
        <v>4.662004662004662E-4</v>
      </c>
      <c r="BN67">
        <v>2.7866315875324449E-3</v>
      </c>
      <c r="BO67">
        <v>4.8650409830405172E-3</v>
      </c>
      <c r="BP67">
        <v>6.8111457338630122E-3</v>
      </c>
      <c r="BQ67">
        <v>8.6312871974582005E-3</v>
      </c>
      <c r="BR67">
        <v>1.0331029836347811E-2</v>
      </c>
      <c r="BS67">
        <v>1.1915893352782351E-2</v>
      </c>
      <c r="BT67">
        <v>1.339136693927997E-2</v>
      </c>
      <c r="BU67">
        <v>1.476287329873162E-2</v>
      </c>
      <c r="BV67">
        <v>1.6035732492272942E-2</v>
      </c>
      <c r="BW67">
        <v>1.721513453806996E-2</v>
      </c>
      <c r="BX67">
        <v>1.8306117232813869E-2</v>
      </c>
      <c r="BY67">
        <v>1.9313525297989759E-2</v>
      </c>
      <c r="BZ67">
        <v>2.0242076654065449E-2</v>
      </c>
      <c r="CA67">
        <v>2.1096348521386289E-2</v>
      </c>
      <c r="CB67">
        <v>2.1879616673580619E-2</v>
      </c>
      <c r="CC67">
        <v>2.2598857754937401E-2</v>
      </c>
      <c r="CD67">
        <v>2.3255815294771231E-2</v>
      </c>
      <c r="CE67">
        <v>2.3849137081481911E-2</v>
      </c>
      <c r="CF67">
        <v>2.439541156912859E-2</v>
      </c>
      <c r="CG67">
        <v>2.4877769541127678E-2</v>
      </c>
      <c r="CH67">
        <v>2.530276582002337E-2</v>
      </c>
      <c r="CI67">
        <v>2.5722455922983958E-2</v>
      </c>
      <c r="CJ67">
        <v>2.609345820952404E-2</v>
      </c>
      <c r="CK67">
        <v>2.6399730980757381E-2</v>
      </c>
      <c r="CL67">
        <v>2.667376348411124E-2</v>
      </c>
      <c r="CM67">
        <v>2.6894544046727829E-2</v>
      </c>
      <c r="CN67">
        <v>2.714548833706942E-2</v>
      </c>
      <c r="CO67">
        <v>2.7288750753551139E-2</v>
      </c>
      <c r="CP67">
        <v>2.7474845534520179E-2</v>
      </c>
      <c r="CQ67">
        <v>2.7574296913600391E-2</v>
      </c>
      <c r="CR67">
        <v>2.7685899263125851E-2</v>
      </c>
      <c r="CS67">
        <v>2.7766879543275239E-2</v>
      </c>
      <c r="CT67">
        <v>2.783124261731134E-2</v>
      </c>
      <c r="CU67">
        <v>2.788428879767136E-2</v>
      </c>
      <c r="CV67">
        <v>2.7882977024550781E-2</v>
      </c>
    </row>
    <row r="68" spans="63:100" x14ac:dyDescent="0.25">
      <c r="BN68">
        <v>4.5228403437358661E-4</v>
      </c>
      <c r="BO68">
        <v>2.704715860994284E-3</v>
      </c>
      <c r="BP68">
        <v>4.7242720019176924E-3</v>
      </c>
      <c r="BQ68">
        <v>6.6172375688938641E-3</v>
      </c>
      <c r="BR68">
        <v>8.3896032630055677E-3</v>
      </c>
      <c r="BS68">
        <v>1.0046604223583619E-2</v>
      </c>
      <c r="BT68">
        <v>1.159343404348106E-2</v>
      </c>
      <c r="BU68">
        <v>1.303526130201528E-2</v>
      </c>
      <c r="BV68">
        <v>1.437719641786939E-2</v>
      </c>
      <c r="BW68">
        <v>1.5624258712844031E-2</v>
      </c>
      <c r="BX68">
        <v>1.6781350550243199E-2</v>
      </c>
      <c r="BY68">
        <v>1.7853232795612101E-2</v>
      </c>
      <c r="BZ68">
        <v>1.8844493499095581E-2</v>
      </c>
      <c r="CA68">
        <v>1.975967200110669E-2</v>
      </c>
      <c r="CB68">
        <v>2.0602973335087892E-2</v>
      </c>
      <c r="CC68">
        <v>2.1377984548254271E-2</v>
      </c>
      <c r="CD68">
        <v>2.2089009141059199E-2</v>
      </c>
      <c r="CE68">
        <v>2.2741505130442371E-2</v>
      </c>
      <c r="CF68">
        <v>2.333850326030857E-2</v>
      </c>
      <c r="CG68">
        <v>2.387379348960152E-2</v>
      </c>
      <c r="CH68">
        <v>2.433949594714006E-2</v>
      </c>
      <c r="CI68">
        <v>2.4828436873871929E-2</v>
      </c>
      <c r="CJ68">
        <v>2.5188008320802709E-2</v>
      </c>
      <c r="CK68">
        <v>2.5596544657161172E-2</v>
      </c>
      <c r="CL68">
        <v>2.591712910333923E-2</v>
      </c>
      <c r="CM68">
        <v>2.620741718129322E-2</v>
      </c>
      <c r="CN68">
        <v>2.6415140143697939E-2</v>
      </c>
      <c r="CO68">
        <v>2.6655590200700109E-2</v>
      </c>
      <c r="CP68">
        <v>2.675562803769424E-2</v>
      </c>
      <c r="CQ68">
        <v>2.6909435183485639E-2</v>
      </c>
      <c r="CR68">
        <v>2.7209732243996459E-2</v>
      </c>
      <c r="CS68">
        <v>2.7267553298040901E-2</v>
      </c>
      <c r="CT68">
        <v>2.7301512502436211E-2</v>
      </c>
      <c r="CU68">
        <v>2.742686198586318E-2</v>
      </c>
      <c r="CV68">
        <v>2.7397861999487159E-2</v>
      </c>
    </row>
    <row r="69" spans="63:100" x14ac:dyDescent="0.25">
      <c r="BO69">
        <v>4.3898156277436348E-4</v>
      </c>
      <c r="BP69">
        <v>2.6263591915302682E-3</v>
      </c>
      <c r="BQ69">
        <v>4.5895221896944107E-3</v>
      </c>
      <c r="BR69">
        <v>6.431484365407289E-3</v>
      </c>
      <c r="BS69">
        <v>8.1579107056041159E-3</v>
      </c>
      <c r="BT69">
        <v>9.773730974917131E-3</v>
      </c>
      <c r="BU69">
        <v>1.128383615976938E-2</v>
      </c>
      <c r="BV69">
        <v>1.269309696063961E-2</v>
      </c>
      <c r="BW69">
        <v>1.4006333514912849E-2</v>
      </c>
      <c r="BX69">
        <v>1.5228284725333311E-2</v>
      </c>
      <c r="BY69">
        <v>1.6363581519692381E-2</v>
      </c>
      <c r="BZ69">
        <v>1.741673851813634E-2</v>
      </c>
      <c r="CA69">
        <v>1.8392077669063509E-2</v>
      </c>
      <c r="CB69">
        <v>1.929386199202077E-2</v>
      </c>
      <c r="CC69">
        <v>2.0126111868811681E-2</v>
      </c>
      <c r="CD69">
        <v>2.0893849768385521E-2</v>
      </c>
      <c r="CE69">
        <v>2.1597662787050029E-2</v>
      </c>
      <c r="CF69">
        <v>2.2245613840252771E-2</v>
      </c>
      <c r="CG69">
        <v>2.2833735646883822E-2</v>
      </c>
      <c r="CH69">
        <v>2.337340571974934E-2</v>
      </c>
      <c r="CI69">
        <v>2.3858902647672271E-2</v>
      </c>
      <c r="CJ69">
        <v>2.4285007446461299E-2</v>
      </c>
      <c r="CK69">
        <v>2.4665048740001919E-2</v>
      </c>
      <c r="CL69">
        <v>2.5062919135182299E-2</v>
      </c>
      <c r="CM69">
        <v>2.542221632799337E-2</v>
      </c>
      <c r="CN69">
        <v>2.563688841617752E-2</v>
      </c>
      <c r="CO69">
        <v>2.5911473750858321E-2</v>
      </c>
      <c r="CP69">
        <v>2.6090047647955319E-2</v>
      </c>
      <c r="CQ69">
        <v>2.6261001316367629E-2</v>
      </c>
      <c r="CR69">
        <v>2.6621164978241331E-2</v>
      </c>
      <c r="CS69">
        <v>2.666838787180896E-2</v>
      </c>
      <c r="CT69">
        <v>2.670726777010634E-2</v>
      </c>
      <c r="CU69">
        <v>2.6731795773960811E-2</v>
      </c>
      <c r="CV69">
        <v>2.6981845822516379E-2</v>
      </c>
    </row>
    <row r="70" spans="63:100" x14ac:dyDescent="0.25">
      <c r="BP70">
        <v>4.2625745950554129E-4</v>
      </c>
      <c r="BQ70">
        <v>2.55135837888699E-3</v>
      </c>
      <c r="BR70">
        <v>4.4604533880510536E-3</v>
      </c>
      <c r="BS70">
        <v>6.2534356737016039E-3</v>
      </c>
      <c r="BT70">
        <v>7.9356673267437054E-3</v>
      </c>
      <c r="BU70">
        <v>9.5117946387008843E-3</v>
      </c>
      <c r="BV70">
        <v>1.098642749103783E-2</v>
      </c>
      <c r="BW70">
        <v>1.2364159603214971E-2</v>
      </c>
      <c r="BX70">
        <v>1.364954075353191E-2</v>
      </c>
      <c r="BY70">
        <v>1.484704744552324E-2</v>
      </c>
      <c r="BZ70">
        <v>1.596106204805953E-2</v>
      </c>
      <c r="CA70">
        <v>1.6995853069734512E-2</v>
      </c>
      <c r="CB70">
        <v>1.7955425884806302E-2</v>
      </c>
      <c r="CC70">
        <v>1.88441286741939E-2</v>
      </c>
      <c r="CD70">
        <v>1.9665517974982338E-2</v>
      </c>
      <c r="CE70">
        <v>2.0423574464255849E-2</v>
      </c>
      <c r="CF70">
        <v>2.1120285627793289E-2</v>
      </c>
      <c r="CG70">
        <v>2.1758118525195061E-2</v>
      </c>
      <c r="CH70">
        <v>2.234790156711635E-2</v>
      </c>
      <c r="CI70">
        <v>2.2889679520463169E-2</v>
      </c>
      <c r="CJ70">
        <v>2.3370109653120561E-2</v>
      </c>
      <c r="CK70">
        <v>2.3836093675450799E-2</v>
      </c>
      <c r="CL70">
        <v>2.4195038122981561E-2</v>
      </c>
      <c r="CM70">
        <v>2.4582932767274919E-2</v>
      </c>
      <c r="CN70">
        <v>2.498637592096636E-2</v>
      </c>
      <c r="CO70">
        <v>2.5263128353274489E-2</v>
      </c>
      <c r="CP70">
        <v>2.568239692269084E-2</v>
      </c>
      <c r="CQ70">
        <v>2.5651981941005968E-2</v>
      </c>
      <c r="CR70">
        <v>2.5717980795580041E-2</v>
      </c>
      <c r="CS70">
        <v>2.6236824407550319E-2</v>
      </c>
      <c r="CT70">
        <v>2.6295954078637981E-2</v>
      </c>
      <c r="CU70">
        <v>2.658103195380913E-2</v>
      </c>
      <c r="CV70">
        <v>2.6458381951195278E-2</v>
      </c>
    </row>
    <row r="71" spans="63:100" x14ac:dyDescent="0.25">
      <c r="BQ71">
        <v>4.1407867494824022E-4</v>
      </c>
      <c r="BR71">
        <v>2.479524518263226E-3</v>
      </c>
      <c r="BS71">
        <v>4.3367508444477508E-3</v>
      </c>
      <c r="BT71">
        <v>6.0826716875210874E-3</v>
      </c>
      <c r="BU71">
        <v>7.7223671451726837E-3</v>
      </c>
      <c r="BV71">
        <v>9.2602200864613932E-3</v>
      </c>
      <c r="BW71">
        <v>1.0700579008537429E-2</v>
      </c>
      <c r="BX71">
        <v>1.2047779822211E-2</v>
      </c>
      <c r="BY71">
        <v>1.330612036896533E-2</v>
      </c>
      <c r="BZ71">
        <v>1.447983261413794E-2</v>
      </c>
      <c r="CA71">
        <v>1.5573065245471029E-2</v>
      </c>
      <c r="CB71">
        <v>1.658983992362922E-2</v>
      </c>
      <c r="CC71">
        <v>1.7534094819666689E-2</v>
      </c>
      <c r="CD71">
        <v>1.840969796622284E-2</v>
      </c>
      <c r="CE71">
        <v>1.9219998512902809E-2</v>
      </c>
      <c r="CF71">
        <v>1.996941536115562E-2</v>
      </c>
      <c r="CG71">
        <v>2.0659911870990651E-2</v>
      </c>
      <c r="CH71">
        <v>2.129097378093112E-2</v>
      </c>
      <c r="CI71">
        <v>2.1886867009795662E-2</v>
      </c>
      <c r="CJ71">
        <v>2.2397490577541739E-2</v>
      </c>
      <c r="CK71">
        <v>2.2928133873699661E-2</v>
      </c>
      <c r="CL71">
        <v>2.336449237057836E-2</v>
      </c>
      <c r="CM71">
        <v>2.3905674284281121E-2</v>
      </c>
      <c r="CN71">
        <v>2.3890983597699641E-2</v>
      </c>
      <c r="CO71">
        <v>2.432635765279505E-2</v>
      </c>
      <c r="CP71">
        <v>2.4452670663072919E-2</v>
      </c>
      <c r="CQ71">
        <v>2.5117817724585371E-2</v>
      </c>
      <c r="CR71">
        <v>2.5183339889121741E-2</v>
      </c>
      <c r="CS71">
        <v>2.5531836750709209E-2</v>
      </c>
      <c r="CT71">
        <v>2.5628597380542191E-2</v>
      </c>
      <c r="CU71">
        <v>2.5601470307912141E-2</v>
      </c>
      <c r="CV71">
        <v>2.5754447628388501E-2</v>
      </c>
    </row>
    <row r="72" spans="63:100" x14ac:dyDescent="0.25">
      <c r="BR72">
        <v>4.0241448692152922E-4</v>
      </c>
      <c r="BS72">
        <v>2.4106818103947262E-3</v>
      </c>
      <c r="BT72">
        <v>4.2181212956257574E-3</v>
      </c>
      <c r="BU72">
        <v>5.9188007787755719E-3</v>
      </c>
      <c r="BV72">
        <v>7.5175375373292309E-3</v>
      </c>
      <c r="BW72">
        <v>9.0184694007036607E-3</v>
      </c>
      <c r="BX72">
        <v>1.042570157140725E-2</v>
      </c>
      <c r="BY72">
        <v>1.1743329709703029E-2</v>
      </c>
      <c r="BZ72">
        <v>1.297541675742301E-2</v>
      </c>
      <c r="CA72">
        <v>1.4125967136256161E-2</v>
      </c>
      <c r="CB72">
        <v>1.519891077040264E-2</v>
      </c>
      <c r="CC72">
        <v>1.6198078520142042E-2</v>
      </c>
      <c r="CD72">
        <v>1.7127141968484191E-2</v>
      </c>
      <c r="CE72">
        <v>1.7989768479637291E-2</v>
      </c>
      <c r="CF72">
        <v>1.8789559550072579E-2</v>
      </c>
      <c r="CG72">
        <v>1.9529253523856441E-2</v>
      </c>
      <c r="CH72">
        <v>2.0210409932677292E-2</v>
      </c>
      <c r="CI72">
        <v>2.08405443763185E-2</v>
      </c>
      <c r="CJ72">
        <v>2.142066446717359E-2</v>
      </c>
      <c r="CK72">
        <v>2.1968347100454248E-2</v>
      </c>
      <c r="CL72">
        <v>2.247037083623693E-2</v>
      </c>
      <c r="CM72">
        <v>2.2936139196073149E-2</v>
      </c>
      <c r="CN72">
        <v>2.3092480914236359E-2</v>
      </c>
      <c r="CO72">
        <v>2.3677340771696951E-2</v>
      </c>
      <c r="CP72">
        <v>2.4082648195932942E-2</v>
      </c>
      <c r="CQ72">
        <v>2.4379563446268241E-2</v>
      </c>
      <c r="CR72">
        <v>2.4043140275775171E-2</v>
      </c>
      <c r="CS72">
        <v>2.4858116643293071E-2</v>
      </c>
      <c r="CT72">
        <v>2.5417344559302179E-2</v>
      </c>
      <c r="CU72">
        <v>2.5718571000558139E-2</v>
      </c>
      <c r="CV72">
        <v>2.5356836422496799E-2</v>
      </c>
    </row>
    <row r="73" spans="63:100" x14ac:dyDescent="0.25">
      <c r="BS73">
        <v>3.9123630672926448E-4</v>
      </c>
      <c r="BT73">
        <v>2.344666485593486E-3</v>
      </c>
      <c r="BU73">
        <v>4.1042912316347144E-3</v>
      </c>
      <c r="BV73">
        <v>5.7614572604259163E-3</v>
      </c>
      <c r="BW73">
        <v>7.3207366376633679E-3</v>
      </c>
      <c r="BX73">
        <v>8.7860390246263242E-3</v>
      </c>
      <c r="BY73">
        <v>1.01612429597315E-2</v>
      </c>
      <c r="BZ73">
        <v>1.145022008672668E-2</v>
      </c>
      <c r="CA73">
        <v>1.2656813770777131E-2</v>
      </c>
      <c r="CB73">
        <v>1.378481558674694E-2</v>
      </c>
      <c r="CC73">
        <v>1.4837945445245731E-2</v>
      </c>
      <c r="CD73">
        <v>1.5819840400195271E-2</v>
      </c>
      <c r="CE73">
        <v>1.6734004419180871E-2</v>
      </c>
      <c r="CF73">
        <v>1.7583812626826439E-2</v>
      </c>
      <c r="CG73">
        <v>1.8373009976574501E-2</v>
      </c>
      <c r="CH73">
        <v>1.9103661475474511E-2</v>
      </c>
      <c r="CI73">
        <v>1.9779088024914619E-2</v>
      </c>
      <c r="CJ73">
        <v>2.04096726288765E-2</v>
      </c>
      <c r="CK73">
        <v>2.0968826882448069E-2</v>
      </c>
      <c r="CL73">
        <v>2.1490612457077719E-2</v>
      </c>
      <c r="CM73">
        <v>2.2055300534667359E-2</v>
      </c>
      <c r="CN73">
        <v>2.2473032563628481E-2</v>
      </c>
      <c r="CO73">
        <v>2.28394983110221E-2</v>
      </c>
      <c r="CP73">
        <v>2.3136003452828579E-2</v>
      </c>
      <c r="CQ73">
        <v>2.3548581597919071E-2</v>
      </c>
      <c r="CR73">
        <v>2.395840453833448E-2</v>
      </c>
      <c r="CS73">
        <v>2.4192743278147789E-2</v>
      </c>
      <c r="CT73">
        <v>2.3998218956389109E-2</v>
      </c>
      <c r="CU73">
        <v>2.4363774910557329E-2</v>
      </c>
      <c r="CV73">
        <v>2.466374767518242E-2</v>
      </c>
    </row>
    <row r="74" spans="63:100" x14ac:dyDescent="0.25">
      <c r="BT74">
        <v>3.8051750380517502E-4</v>
      </c>
      <c r="BU74">
        <v>2.281325829439268E-3</v>
      </c>
      <c r="BV74">
        <v>3.9950053212119384E-3</v>
      </c>
      <c r="BW74">
        <v>5.6102993535477718E-3</v>
      </c>
      <c r="BX74">
        <v>7.1315509718399058E-3</v>
      </c>
      <c r="BY74">
        <v>8.5624571702242174E-3</v>
      </c>
      <c r="BZ74">
        <v>9.9066851104313985E-3</v>
      </c>
      <c r="CA74">
        <v>1.116789733791102E-2</v>
      </c>
      <c r="CB74">
        <v>1.2349732416402149E-2</v>
      </c>
      <c r="CC74">
        <v>1.345578318107221E-2</v>
      </c>
      <c r="CD74">
        <v>1.4489572167000491E-2</v>
      </c>
      <c r="CE74">
        <v>1.545456408946054E-2</v>
      </c>
      <c r="CF74">
        <v>1.6354124616268149E-2</v>
      </c>
      <c r="CG74">
        <v>1.7191276570959941E-2</v>
      </c>
      <c r="CH74">
        <v>1.7969060063257249E-2</v>
      </c>
      <c r="CI74">
        <v>1.8690991437335689E-2</v>
      </c>
      <c r="CJ74">
        <v>1.936079589491102E-2</v>
      </c>
      <c r="CK74">
        <v>1.998083310561987E-2</v>
      </c>
      <c r="CL74">
        <v>2.0619744809662111E-2</v>
      </c>
      <c r="CM74">
        <v>2.1057497746271331E-2</v>
      </c>
      <c r="CN74">
        <v>2.1529486561124769E-2</v>
      </c>
      <c r="CO74">
        <v>2.189406893697712E-2</v>
      </c>
      <c r="CP74">
        <v>2.1975937179271161E-2</v>
      </c>
      <c r="CQ74">
        <v>2.286144423911338E-2</v>
      </c>
      <c r="CR74">
        <v>2.3983070092891041E-2</v>
      </c>
      <c r="CS74">
        <v>2.3517015146254611E-2</v>
      </c>
      <c r="CT74">
        <v>2.4333575129984429E-2</v>
      </c>
      <c r="CU74">
        <v>2.3048298945103501E-2</v>
      </c>
      <c r="CV74">
        <v>2.3430040220525899E-2</v>
      </c>
    </row>
    <row r="75" spans="63:100" x14ac:dyDescent="0.25">
      <c r="BU75">
        <v>3.7023324694557567E-4</v>
      </c>
      <c r="BV75">
        <v>2.2205172992955111E-3</v>
      </c>
      <c r="BW75">
        <v>3.890024981613633E-3</v>
      </c>
      <c r="BX75">
        <v>5.4650073377691712E-3</v>
      </c>
      <c r="BY75">
        <v>6.9495932991461892E-3</v>
      </c>
      <c r="BZ75">
        <v>8.3472814543618049E-3</v>
      </c>
      <c r="CA75">
        <v>9.6615416718072791E-3</v>
      </c>
      <c r="CB75">
        <v>1.0895841178645539E-2</v>
      </c>
      <c r="CC75">
        <v>1.205362638762849E-2</v>
      </c>
      <c r="CD75">
        <v>1.3138304298333601E-2</v>
      </c>
      <c r="CE75">
        <v>1.415321632875877E-2</v>
      </c>
      <c r="CF75">
        <v>1.5101682649020469E-2</v>
      </c>
      <c r="CG75">
        <v>1.598679345584544E-2</v>
      </c>
      <c r="CH75">
        <v>1.6811684977448591E-2</v>
      </c>
      <c r="CI75">
        <v>1.75792275144868E-2</v>
      </c>
      <c r="CJ75">
        <v>1.8292055117261591E-2</v>
      </c>
      <c r="CK75">
        <v>1.8954016601344631E-2</v>
      </c>
      <c r="CL75">
        <v>1.9558155146425601E-2</v>
      </c>
      <c r="CM75">
        <v>2.014070341107017E-2</v>
      </c>
      <c r="CN75">
        <v>2.0616373532580359E-2</v>
      </c>
      <c r="CO75">
        <v>2.1151376740726861E-2</v>
      </c>
      <c r="CP75">
        <v>2.1817362083149581E-2</v>
      </c>
      <c r="CQ75">
        <v>2.1978113202515619E-2</v>
      </c>
      <c r="CR75">
        <v>2.199084797571697E-2</v>
      </c>
      <c r="CS75">
        <v>2.2652382351028452E-2</v>
      </c>
      <c r="CT75">
        <v>2.2564467473071979E-2</v>
      </c>
      <c r="CU75">
        <v>2.435730068878094E-2</v>
      </c>
      <c r="CV75">
        <v>2.4459000332857219E-2</v>
      </c>
    </row>
    <row r="76" spans="63:100" x14ac:dyDescent="0.25">
      <c r="BV76">
        <v>3.6036036036036042E-4</v>
      </c>
      <c r="BW76">
        <v>2.1621077221020491E-3</v>
      </c>
      <c r="BX76">
        <v>3.7891270779514142E-3</v>
      </c>
      <c r="BY76">
        <v>5.3252818663189032E-3</v>
      </c>
      <c r="BZ76">
        <v>6.7745006436820314E-3</v>
      </c>
      <c r="CA76">
        <v>8.1400967267495038E-3</v>
      </c>
      <c r="CB76">
        <v>9.4253556696778512E-3</v>
      </c>
      <c r="CC76">
        <v>1.06335620482327E-2</v>
      </c>
      <c r="CD76">
        <v>1.1767983046710159E-2</v>
      </c>
      <c r="CE76">
        <v>1.2831849887433969E-2</v>
      </c>
      <c r="CF76">
        <v>1.3828334292204619E-2</v>
      </c>
      <c r="CG76">
        <v>1.476057378739234E-2</v>
      </c>
      <c r="CH76">
        <v>1.563156968738114E-2</v>
      </c>
      <c r="CI76">
        <v>1.6444311693440138E-2</v>
      </c>
      <c r="CJ76">
        <v>1.720189087106699E-2</v>
      </c>
      <c r="CK76">
        <v>1.7906044273066211E-2</v>
      </c>
      <c r="CL76">
        <v>1.8570307305989769E-2</v>
      </c>
      <c r="CM76">
        <v>1.9161433715222349E-2</v>
      </c>
      <c r="CN76">
        <v>1.9713396894397089E-2</v>
      </c>
      <c r="CO76">
        <v>2.0271503067557688E-2</v>
      </c>
      <c r="CP76">
        <v>2.0656672387342302E-2</v>
      </c>
      <c r="CQ76">
        <v>2.1061666768886329E-2</v>
      </c>
      <c r="CR76">
        <v>2.1843838853139189E-2</v>
      </c>
      <c r="CS76">
        <v>2.1602238729444421E-2</v>
      </c>
      <c r="CT76">
        <v>2.2622214007296901E-2</v>
      </c>
      <c r="CU76">
        <v>2.3459620263558689E-2</v>
      </c>
      <c r="CV76">
        <v>2.2323614491227911E-2</v>
      </c>
    </row>
    <row r="77" spans="63:100" x14ac:dyDescent="0.25">
      <c r="BW77">
        <v>3.5087719298245611E-4</v>
      </c>
      <c r="BX77">
        <v>2.1059725650115942E-3</v>
      </c>
      <c r="BY77">
        <v>3.6921027388124509E-3</v>
      </c>
      <c r="BZ77">
        <v>5.1908424291470601E-3</v>
      </c>
      <c r="CA77">
        <v>6.6059324951937759E-3</v>
      </c>
      <c r="CB77">
        <v>7.9405130902425753E-3</v>
      </c>
      <c r="CC77">
        <v>9.1976974244131638E-3</v>
      </c>
      <c r="CD77">
        <v>1.0380599147088091E-2</v>
      </c>
      <c r="CE77">
        <v>1.1492317442237381E-2</v>
      </c>
      <c r="CF77">
        <v>1.2535918841861331E-2</v>
      </c>
      <c r="CG77">
        <v>1.3514430047171519E-2</v>
      </c>
      <c r="CH77">
        <v>1.443078461260552E-2</v>
      </c>
      <c r="CI77">
        <v>1.5287925863909259E-2</v>
      </c>
      <c r="CJ77">
        <v>1.6088736603021001E-2</v>
      </c>
      <c r="CK77">
        <v>1.6835823652383151E-2</v>
      </c>
      <c r="CL77">
        <v>1.7529570788574679E-2</v>
      </c>
      <c r="CM77">
        <v>1.8180486961729241E-2</v>
      </c>
      <c r="CN77">
        <v>1.8794524520873469E-2</v>
      </c>
      <c r="CO77">
        <v>1.9346405635289741E-2</v>
      </c>
      <c r="CP77">
        <v>1.9880131435325171E-2</v>
      </c>
      <c r="CQ77">
        <v>2.031653182575743E-2</v>
      </c>
      <c r="CR77">
        <v>2.091933873386263E-2</v>
      </c>
      <c r="CS77">
        <v>2.0988208702001229E-2</v>
      </c>
      <c r="CT77">
        <v>2.1943586341195979E-2</v>
      </c>
      <c r="CU77">
        <v>2.3390387721496281E-2</v>
      </c>
      <c r="CV77">
        <v>2.2507625961739941E-2</v>
      </c>
    </row>
    <row r="78" spans="63:100" x14ac:dyDescent="0.25">
      <c r="BX78">
        <v>3.4176349965823653E-4</v>
      </c>
      <c r="BY78">
        <v>2.051995271407979E-3</v>
      </c>
      <c r="BZ78">
        <v>3.5987562764347712E-3</v>
      </c>
      <c r="CA78">
        <v>5.0614259495930783E-3</v>
      </c>
      <c r="CB78">
        <v>6.4435691637915694E-3</v>
      </c>
      <c r="CC78">
        <v>7.7481640833296566E-3</v>
      </c>
      <c r="CD78">
        <v>8.9781626414383239E-3</v>
      </c>
      <c r="CE78">
        <v>1.0136518415285629E-2</v>
      </c>
      <c r="CF78">
        <v>1.1226173120169171E-2</v>
      </c>
      <c r="CG78">
        <v>1.225003733868957E-2</v>
      </c>
      <c r="CH78">
        <v>1.3210993327638591E-2</v>
      </c>
      <c r="CI78">
        <v>1.411184596762439E-2</v>
      </c>
      <c r="CJ78">
        <v>1.495541366329807E-2</v>
      </c>
      <c r="CK78">
        <v>1.574427678896009E-2</v>
      </c>
      <c r="CL78">
        <v>1.6480573840740979E-2</v>
      </c>
      <c r="CM78">
        <v>1.716600235028988E-2</v>
      </c>
      <c r="CN78">
        <v>1.7812433608121628E-2</v>
      </c>
      <c r="CO78">
        <v>1.8402151737547879E-2</v>
      </c>
      <c r="CP78">
        <v>1.8943577471290069E-2</v>
      </c>
      <c r="CQ78">
        <v>1.943340520000655E-2</v>
      </c>
      <c r="CR78">
        <v>1.990281151198783E-2</v>
      </c>
      <c r="CS78">
        <v>2.032322938849045E-2</v>
      </c>
      <c r="CT78">
        <v>2.0574102912846861E-2</v>
      </c>
      <c r="CU78">
        <v>2.0775958205764451E-2</v>
      </c>
      <c r="CV78">
        <v>2.054542327146127E-2</v>
      </c>
    </row>
    <row r="79" spans="63:100" x14ac:dyDescent="0.25">
      <c r="BY79">
        <v>3.3300033300033311E-4</v>
      </c>
      <c r="BZ79">
        <v>2.0000666556938169E-3</v>
      </c>
      <c r="CA79">
        <v>3.508904201029164E-3</v>
      </c>
      <c r="CB79">
        <v>4.936785501320087E-3</v>
      </c>
      <c r="CC79">
        <v>6.287110273280036E-3</v>
      </c>
      <c r="CD79">
        <v>7.5627050152431178E-3</v>
      </c>
      <c r="CE79">
        <v>8.7663706077365077E-3</v>
      </c>
      <c r="CF79">
        <v>9.9009105716572066E-3</v>
      </c>
      <c r="CG79">
        <v>1.0969118850934949E-2</v>
      </c>
      <c r="CH79">
        <v>1.197376384692608E-2</v>
      </c>
      <c r="CI79">
        <v>1.291756659783686E-2</v>
      </c>
      <c r="CJ79">
        <v>1.3803241481818589E-2</v>
      </c>
      <c r="CK79">
        <v>1.4633269256676049E-2</v>
      </c>
      <c r="CL79">
        <v>1.5410187695337561E-2</v>
      </c>
      <c r="CM79">
        <v>1.6137176021935779E-2</v>
      </c>
      <c r="CN79">
        <v>1.6808191385331881E-2</v>
      </c>
      <c r="CO79">
        <v>1.7446424963012609E-2</v>
      </c>
      <c r="CP79">
        <v>1.8069357297890221E-2</v>
      </c>
      <c r="CQ79">
        <v>1.8564673788732829E-2</v>
      </c>
      <c r="CR79">
        <v>1.9191037585256629E-2</v>
      </c>
      <c r="CS79">
        <v>1.942252301313336E-2</v>
      </c>
      <c r="CT79">
        <v>2.0178456321323469E-2</v>
      </c>
      <c r="CU79">
        <v>2.0557058922010589E-2</v>
      </c>
      <c r="CV79">
        <v>2.1688003372436301E-2</v>
      </c>
    </row>
    <row r="80" spans="63:100" x14ac:dyDescent="0.25">
      <c r="BZ80">
        <v>3.2456994482310948E-4</v>
      </c>
      <c r="CA80">
        <v>1.9500843509775549E-3</v>
      </c>
      <c r="CB80">
        <v>3.4223743199781162E-3</v>
      </c>
      <c r="CC80">
        <v>4.8166891340726426E-3</v>
      </c>
      <c r="CD80">
        <v>6.1362733792089067E-3</v>
      </c>
      <c r="CE80">
        <v>7.3838114356512127E-3</v>
      </c>
      <c r="CF80">
        <v>8.5619625943706493E-3</v>
      </c>
      <c r="CG80">
        <v>9.6733896608110336E-3</v>
      </c>
      <c r="CH80">
        <v>1.072074768874093E-2</v>
      </c>
      <c r="CI80">
        <v>1.1706668737493301E-2</v>
      </c>
      <c r="CJ80">
        <v>1.263375218419744E-2</v>
      </c>
      <c r="CK80">
        <v>1.350454713636488E-2</v>
      </c>
      <c r="CL80">
        <v>1.4321524252860649E-2</v>
      </c>
      <c r="CM80">
        <v>1.5087321438177851E-2</v>
      </c>
      <c r="CN80">
        <v>1.5802988493685399E-2</v>
      </c>
      <c r="CO80">
        <v>1.647077971365047E-2</v>
      </c>
      <c r="CP80">
        <v>1.7096183177426661E-2</v>
      </c>
      <c r="CQ80">
        <v>1.7687598231248811E-2</v>
      </c>
      <c r="CR80">
        <v>1.8158035152648761E-2</v>
      </c>
      <c r="CS80">
        <v>1.883383155726372E-2</v>
      </c>
      <c r="CT80">
        <v>1.870474147998679E-2</v>
      </c>
      <c r="CU80">
        <v>2.0197310764578331E-2</v>
      </c>
      <c r="CV80">
        <v>2.0160390569931429E-2</v>
      </c>
    </row>
    <row r="81" spans="79:100" x14ac:dyDescent="0.25">
      <c r="CA81">
        <v>3.1645569620253171E-4</v>
      </c>
      <c r="CB81">
        <v>1.9019523044415509E-3</v>
      </c>
      <c r="CC81">
        <v>3.3390049136756638E-3</v>
      </c>
      <c r="CD81">
        <v>4.700918797686012E-3</v>
      </c>
      <c r="CE81">
        <v>5.9907927021542609E-3</v>
      </c>
      <c r="CF81">
        <v>7.2111777253279054E-3</v>
      </c>
      <c r="CG81">
        <v>8.3646003354536161E-3</v>
      </c>
      <c r="CH81">
        <v>9.4535912457925191E-3</v>
      </c>
      <c r="CI81">
        <v>1.0480675178966571E-2</v>
      </c>
      <c r="CJ81">
        <v>1.1448356931467099E-2</v>
      </c>
      <c r="CK81">
        <v>1.2359109774449579E-2</v>
      </c>
      <c r="CL81">
        <v>1.321538990532533E-2</v>
      </c>
      <c r="CM81">
        <v>1.4019564772466299E-2</v>
      </c>
      <c r="CN81">
        <v>1.477383801842171E-2</v>
      </c>
      <c r="CO81">
        <v>1.548034486423653E-2</v>
      </c>
      <c r="CP81">
        <v>1.614196602354577E-2</v>
      </c>
      <c r="CQ81">
        <v>1.675462044838618E-2</v>
      </c>
      <c r="CR81">
        <v>1.7336233855835308E-2</v>
      </c>
      <c r="CS81">
        <v>1.7862911338091821E-2</v>
      </c>
      <c r="CT81">
        <v>1.8446451256604691E-2</v>
      </c>
      <c r="CU81">
        <v>1.8665204345697121E-2</v>
      </c>
      <c r="CV81">
        <v>1.905501332234541E-2</v>
      </c>
    </row>
    <row r="82" spans="79:100" x14ac:dyDescent="0.25">
      <c r="CB82">
        <v>3.0864197530864202E-4</v>
      </c>
      <c r="CC82">
        <v>1.855580315744597E-3</v>
      </c>
      <c r="CD82">
        <v>3.2586439806340929E-3</v>
      </c>
      <c r="CE82">
        <v>4.5892693551796756E-3</v>
      </c>
      <c r="CF82">
        <v>5.8504179627299523E-3</v>
      </c>
      <c r="CG82">
        <v>7.0445158073945656E-3</v>
      </c>
      <c r="CH82">
        <v>8.173964664548056E-3</v>
      </c>
      <c r="CI82">
        <v>9.2411711276677386E-3</v>
      </c>
      <c r="CJ82">
        <v>1.0248537100067109E-2</v>
      </c>
      <c r="CK82">
        <v>1.119844855874056E-2</v>
      </c>
      <c r="CL82">
        <v>1.2093255243017031E-2</v>
      </c>
      <c r="CM82">
        <v>1.293527582681734E-2</v>
      </c>
      <c r="CN82">
        <v>1.3726806937290691E-2</v>
      </c>
      <c r="CO82">
        <v>1.4469832939812379E-2</v>
      </c>
      <c r="CP82">
        <v>1.516694490680498E-2</v>
      </c>
      <c r="CQ82">
        <v>1.5819505335172079E-2</v>
      </c>
      <c r="CR82">
        <v>1.643067819873785E-2</v>
      </c>
      <c r="CS82">
        <v>1.7036203894322071E-2</v>
      </c>
      <c r="CT82">
        <v>1.7543760143502739E-2</v>
      </c>
      <c r="CU82">
        <v>1.809083947551271E-2</v>
      </c>
      <c r="CV82">
        <v>1.8505983135353239E-2</v>
      </c>
    </row>
    <row r="83" spans="79:100" x14ac:dyDescent="0.25">
      <c r="CC83">
        <v>3.0111412225233369E-4</v>
      </c>
      <c r="CD83">
        <v>1.8108836143159281E-3</v>
      </c>
      <c r="CE83">
        <v>3.1811485453030241E-3</v>
      </c>
      <c r="CF83">
        <v>4.4815476765882531E-3</v>
      </c>
      <c r="CG83">
        <v>5.7149133109375781E-3</v>
      </c>
      <c r="CH83">
        <v>6.883553952300365E-3</v>
      </c>
      <c r="CI83">
        <v>7.9897542284223678E-3</v>
      </c>
      <c r="CJ83">
        <v>9.0358040696738254E-3</v>
      </c>
      <c r="CK83">
        <v>1.0023990155400011E-2</v>
      </c>
      <c r="CL83">
        <v>1.0956583296533481E-2</v>
      </c>
      <c r="CM83">
        <v>1.1835829995875151E-2</v>
      </c>
      <c r="CN83">
        <v>1.2663916414510871E-2</v>
      </c>
      <c r="CO83">
        <v>1.344312930706075E-2</v>
      </c>
      <c r="CP83">
        <v>1.417554248797805E-2</v>
      </c>
      <c r="CQ83">
        <v>1.48635006565437E-2</v>
      </c>
      <c r="CR83">
        <v>1.5502635794326289E-2</v>
      </c>
      <c r="CS83">
        <v>1.610910596753768E-2</v>
      </c>
      <c r="CT83">
        <v>1.665080622303507E-2</v>
      </c>
      <c r="CU83">
        <v>1.712681772208368E-2</v>
      </c>
      <c r="CV83">
        <v>1.821227127009907E-2</v>
      </c>
    </row>
    <row r="84" spans="79:100" x14ac:dyDescent="0.25">
      <c r="CD84">
        <v>2.9385836027034972E-4</v>
      </c>
      <c r="CE84">
        <v>1.767782471840445E-3</v>
      </c>
      <c r="CF84">
        <v>3.1063840226995139E-3</v>
      </c>
      <c r="CG84">
        <v>4.3775718060151446E-3</v>
      </c>
      <c r="CH84">
        <v>5.5840563408456577E-3</v>
      </c>
      <c r="CI84">
        <v>6.7280356789167703E-3</v>
      </c>
      <c r="CJ84">
        <v>7.8116843073306299E-3</v>
      </c>
      <c r="CK84">
        <v>8.8371823679191698E-3</v>
      </c>
      <c r="CL84">
        <v>9.8067079322076266E-3</v>
      </c>
      <c r="CM84">
        <v>1.0722426474996591E-2</v>
      </c>
      <c r="CN84">
        <v>1.158648134060134E-2</v>
      </c>
      <c r="CO84">
        <v>1.240099853797718E-2</v>
      </c>
      <c r="CP84">
        <v>1.31677781723842E-2</v>
      </c>
      <c r="CQ84">
        <v>1.389009323622918E-2</v>
      </c>
      <c r="CR84">
        <v>1.4566153502665919E-2</v>
      </c>
      <c r="CS84">
        <v>1.520928804239626E-2</v>
      </c>
      <c r="CT84">
        <v>1.577368084081085E-2</v>
      </c>
      <c r="CU84">
        <v>1.6407616761107191E-2</v>
      </c>
      <c r="CV84">
        <v>1.7049273524474121E-2</v>
      </c>
    </row>
    <row r="85" spans="79:100" x14ac:dyDescent="0.25">
      <c r="CE85">
        <v>2.8686173264486509E-4</v>
      </c>
      <c r="CF85">
        <v>1.7262018466269371E-3</v>
      </c>
      <c r="CG85">
        <v>3.0342236346015492E-3</v>
      </c>
      <c r="CH85">
        <v>4.2771701953356238E-3</v>
      </c>
      <c r="CI85">
        <v>5.4576371824156082E-3</v>
      </c>
      <c r="CJ85">
        <v>6.5777187446351398E-3</v>
      </c>
      <c r="CK85">
        <v>7.6394857328391502E-3</v>
      </c>
      <c r="CL85">
        <v>8.6450149955411334E-3</v>
      </c>
      <c r="CM85">
        <v>9.5963823169805743E-3</v>
      </c>
      <c r="CN85">
        <v>1.049565057704256E-2</v>
      </c>
      <c r="CO85">
        <v>1.1344866398757919E-2</v>
      </c>
      <c r="CP85">
        <v>1.2145992020541421E-2</v>
      </c>
      <c r="CQ85">
        <v>1.290118496141897E-2</v>
      </c>
      <c r="CR85">
        <v>1.361182257079099E-2</v>
      </c>
      <c r="CS85">
        <v>1.4280406446477651E-2</v>
      </c>
      <c r="CT85">
        <v>1.4912660069379051E-2</v>
      </c>
      <c r="CU85">
        <v>1.5487044601345E-2</v>
      </c>
      <c r="CV85">
        <v>1.5999558559294989E-2</v>
      </c>
    </row>
    <row r="86" spans="79:100" x14ac:dyDescent="0.25">
      <c r="CF86">
        <v>2.8011204481792721E-4</v>
      </c>
      <c r="CG86">
        <v>1.6860710568963641E-3</v>
      </c>
      <c r="CH86">
        <v>2.964547872568289E-3</v>
      </c>
      <c r="CI86">
        <v>4.180180998416703E-3</v>
      </c>
      <c r="CJ86">
        <v>5.3354576642347861E-3</v>
      </c>
      <c r="CK86">
        <v>6.432374205259367E-3</v>
      </c>
      <c r="CL86">
        <v>7.4729038998036052E-3</v>
      </c>
      <c r="CM86">
        <v>8.4590262114526589E-3</v>
      </c>
      <c r="CN86">
        <v>9.3927204580971004E-3</v>
      </c>
      <c r="CO86">
        <v>1.027595547887262E-2</v>
      </c>
      <c r="CP86">
        <v>1.1110673062113489E-2</v>
      </c>
      <c r="CQ86">
        <v>1.189882484509576E-2</v>
      </c>
      <c r="CR86">
        <v>1.264199577223587E-2</v>
      </c>
      <c r="CS86">
        <v>1.334301431876957E-2</v>
      </c>
      <c r="CT86">
        <v>1.4001981437648201E-2</v>
      </c>
      <c r="CU86">
        <v>1.462259305115267E-2</v>
      </c>
      <c r="CV86">
        <v>1.520828573651792E-2</v>
      </c>
    </row>
    <row r="87" spans="79:100" x14ac:dyDescent="0.25">
      <c r="CG87">
        <v>2.7359781121751031E-4</v>
      </c>
      <c r="CH87">
        <v>1.647323480333479E-3</v>
      </c>
      <c r="CI87">
        <v>2.8972440035488671E-3</v>
      </c>
      <c r="CJ87">
        <v>4.0864514205390034E-3</v>
      </c>
      <c r="CK87">
        <v>5.2173305404988584E-3</v>
      </c>
      <c r="CL87">
        <v>6.2917855516413336E-3</v>
      </c>
      <c r="CM87">
        <v>7.3116977973246254E-3</v>
      </c>
      <c r="CN87">
        <v>8.2789549471046237E-3</v>
      </c>
      <c r="CO87">
        <v>9.1954454993435301E-3</v>
      </c>
      <c r="CP87">
        <v>1.006305201960732E-2</v>
      </c>
      <c r="CQ87">
        <v>1.088362236164535E-2</v>
      </c>
      <c r="CR87">
        <v>1.16590480043004E-2</v>
      </c>
      <c r="CS87">
        <v>1.2390731790770061E-2</v>
      </c>
      <c r="CT87">
        <v>1.308176107511917E-2</v>
      </c>
      <c r="CU87">
        <v>1.372918986706655E-2</v>
      </c>
      <c r="CV87">
        <v>1.434739009743586E-2</v>
      </c>
    </row>
    <row r="88" spans="79:100" x14ac:dyDescent="0.25">
      <c r="CH88">
        <v>2.6730820636193531E-4</v>
      </c>
      <c r="CI88">
        <v>1.6098962775169411E-3</v>
      </c>
      <c r="CJ88">
        <v>2.8322056142633268E-3</v>
      </c>
      <c r="CK88">
        <v>3.9958371181070696E-3</v>
      </c>
      <c r="CL88">
        <v>5.1030787771111979E-3</v>
      </c>
      <c r="CM88">
        <v>6.1557479121814411E-3</v>
      </c>
      <c r="CN88">
        <v>7.1556391993744268E-3</v>
      </c>
      <c r="CO88">
        <v>8.1045537505499629E-3</v>
      </c>
      <c r="CP88">
        <v>9.0042941165266489E-3</v>
      </c>
      <c r="CQ88">
        <v>9.8566574881775414E-3</v>
      </c>
      <c r="CR88">
        <v>1.0663422249012341E-2</v>
      </c>
      <c r="CS88">
        <v>1.1426330548928811E-2</v>
      </c>
      <c r="CT88">
        <v>1.2147019717162651E-2</v>
      </c>
      <c r="CU88">
        <v>1.282757037507205E-2</v>
      </c>
      <c r="CV88">
        <v>1.3472967986992639E-2</v>
      </c>
    </row>
    <row r="89" spans="79:100" x14ac:dyDescent="0.25">
      <c r="CI89">
        <v>2.6123301985370948E-4</v>
      </c>
      <c r="CJ89">
        <v>1.57373013708327E-3</v>
      </c>
      <c r="CK89">
        <v>2.7693321909186362E-3</v>
      </c>
      <c r="CL89">
        <v>3.9082016442692864E-3</v>
      </c>
      <c r="CM89">
        <v>4.9925348914449247E-3</v>
      </c>
      <c r="CN89">
        <v>6.0240673054668542E-3</v>
      </c>
      <c r="CO89">
        <v>7.004511785896287E-3</v>
      </c>
      <c r="CP89">
        <v>7.9355878935905236E-3</v>
      </c>
      <c r="CQ89">
        <v>8.8190167059053783E-3</v>
      </c>
      <c r="CR89">
        <v>9.6565138831272036E-3</v>
      </c>
      <c r="CS89">
        <v>1.0449785010292889E-2</v>
      </c>
      <c r="CT89">
        <v>1.120048792799104E-2</v>
      </c>
      <c r="CU89">
        <v>1.191018047205623E-2</v>
      </c>
      <c r="CV89">
        <v>1.2579629111334719E-2</v>
      </c>
    </row>
    <row r="90" spans="79:100" x14ac:dyDescent="0.25">
      <c r="CJ90">
        <v>2.5536261491317672E-4</v>
      </c>
      <c r="CK90">
        <v>1.5387690406947921E-3</v>
      </c>
      <c r="CL90">
        <v>2.7085287311679092E-3</v>
      </c>
      <c r="CM90">
        <v>3.823415936449504E-3</v>
      </c>
      <c r="CN90">
        <v>4.8855403411446922E-3</v>
      </c>
      <c r="CO90">
        <v>5.8965599615451664E-3</v>
      </c>
      <c r="CP90">
        <v>6.8581105040559382E-3</v>
      </c>
      <c r="CQ90">
        <v>7.7718342104617037E-3</v>
      </c>
      <c r="CR90">
        <v>8.6393759712425147E-3</v>
      </c>
      <c r="CS90">
        <v>9.4623770611870564E-3</v>
      </c>
      <c r="CT90">
        <v>1.024246136383552E-2</v>
      </c>
      <c r="CU90">
        <v>1.098125693510941E-2</v>
      </c>
      <c r="CV90">
        <v>1.1680392507555979E-2</v>
      </c>
    </row>
    <row r="91" spans="79:100" x14ac:dyDescent="0.25">
      <c r="CK91">
        <v>2.4968789013732828E-4</v>
      </c>
      <c r="CL91">
        <v>1.504960046072075E-3</v>
      </c>
      <c r="CM91">
        <v>2.6497053855120542E-3</v>
      </c>
      <c r="CN91">
        <v>3.741357842277485E-3</v>
      </c>
      <c r="CO91">
        <v>4.7819449582896566E-3</v>
      </c>
      <c r="CP91">
        <v>5.7730516798579958E-3</v>
      </c>
      <c r="CQ91">
        <v>6.7162407878474228E-3</v>
      </c>
      <c r="CR91">
        <v>7.6130816119480034E-3</v>
      </c>
      <c r="CS91">
        <v>8.4651463550859812E-3</v>
      </c>
      <c r="CT91">
        <v>9.2740041654237812E-3</v>
      </c>
      <c r="CU91">
        <v>1.0041221775631021E-2</v>
      </c>
      <c r="CV91">
        <v>1.076838756894378E-2</v>
      </c>
    </row>
    <row r="92" spans="79:100" x14ac:dyDescent="0.25">
      <c r="CL92">
        <v>2.442002442002442E-4</v>
      </c>
      <c r="CM92">
        <v>1.472253086521605E-3</v>
      </c>
      <c r="CN92">
        <v>2.5927771256219661E-3</v>
      </c>
      <c r="CO92">
        <v>3.661911680621314E-3</v>
      </c>
      <c r="CP92">
        <v>4.6816064245213031E-3</v>
      </c>
      <c r="CQ92">
        <v>5.6533772364219179E-3</v>
      </c>
      <c r="CR92">
        <v>6.5787179846653046E-3</v>
      </c>
      <c r="CS92">
        <v>7.4591289903068146E-3</v>
      </c>
      <c r="CT92">
        <v>8.2961141410514538E-3</v>
      </c>
      <c r="CU92">
        <v>9.0911739492925293E-3</v>
      </c>
      <c r="CV92">
        <v>9.8457963535961198E-3</v>
      </c>
    </row>
    <row r="93" spans="79:100" x14ac:dyDescent="0.25">
      <c r="CM93">
        <v>2.3889154323936929E-4</v>
      </c>
      <c r="CN93">
        <v>1.440600785540816E-3</v>
      </c>
      <c r="CO93">
        <v>2.5376634372961679E-3</v>
      </c>
      <c r="CP93">
        <v>3.5849678347382292E-3</v>
      </c>
      <c r="CQ93">
        <v>4.5843897847758037E-3</v>
      </c>
      <c r="CR93">
        <v>5.537379844256147E-3</v>
      </c>
      <c r="CS93">
        <v>6.4453666920618923E-3</v>
      </c>
      <c r="CT93">
        <v>7.3097854020321169E-3</v>
      </c>
      <c r="CU93">
        <v>8.1320748149755987E-3</v>
      </c>
      <c r="CV93">
        <v>8.9136744555823096E-3</v>
      </c>
    </row>
    <row r="94" spans="79:100" x14ac:dyDescent="0.25">
      <c r="CN94">
        <v>2.337540906965872E-4</v>
      </c>
      <c r="CO94">
        <v>1.409958285218532E-3</v>
      </c>
      <c r="CP94">
        <v>2.4842880359857351E-3</v>
      </c>
      <c r="CQ94">
        <v>3.5104223750259522E-3</v>
      </c>
      <c r="CR94">
        <v>4.490166994701293E-3</v>
      </c>
      <c r="CS94">
        <v>5.4249106329582984E-3</v>
      </c>
      <c r="CT94">
        <v>6.3160202733535268E-3</v>
      </c>
      <c r="CU94">
        <v>7.1648692156012026E-3</v>
      </c>
      <c r="CV94">
        <v>7.9728349214616585E-3</v>
      </c>
    </row>
    <row r="95" spans="79:100" x14ac:dyDescent="0.25">
      <c r="CO95">
        <v>2.2878059940517051E-4</v>
      </c>
      <c r="CP95">
        <v>1.3802830872702071E-3</v>
      </c>
      <c r="CQ95">
        <v>2.4325786030104908E-3</v>
      </c>
      <c r="CR95">
        <v>3.4381767087545089E-3</v>
      </c>
      <c r="CS95">
        <v>4.3988165013728988E-3</v>
      </c>
      <c r="CT95">
        <v>5.3158281814808814E-3</v>
      </c>
      <c r="CU95">
        <v>6.1905203206507166E-3</v>
      </c>
      <c r="CV95">
        <v>7.0242077516792104E-3</v>
      </c>
    </row>
    <row r="96" spans="79:100" x14ac:dyDescent="0.25">
      <c r="CP96">
        <v>2.2396416573348271E-4</v>
      </c>
      <c r="CQ96">
        <v>1.351534905655575E-3</v>
      </c>
      <c r="CR96">
        <v>2.382466540764364E-3</v>
      </c>
      <c r="CS96">
        <v>3.3681372547988749E-3</v>
      </c>
      <c r="CT96">
        <v>4.3102228520567679E-3</v>
      </c>
      <c r="CU96">
        <v>5.2099980707441627E-3</v>
      </c>
      <c r="CV96">
        <v>6.0687161379888348E-3</v>
      </c>
    </row>
    <row r="97" spans="95:100" x14ac:dyDescent="0.25">
      <c r="CQ97">
        <v>2.1929824561403509E-4</v>
      </c>
      <c r="CR97">
        <v>1.323675529824695E-3</v>
      </c>
      <c r="CS97">
        <v>2.333886745365298E-3</v>
      </c>
      <c r="CT97">
        <v>3.3002151411645471E-3</v>
      </c>
      <c r="CU97">
        <v>4.2242763316863432E-3</v>
      </c>
      <c r="CV97">
        <v>5.1072924745275182E-3</v>
      </c>
    </row>
    <row r="98" spans="95:100" x14ac:dyDescent="0.25">
      <c r="CR98">
        <v>2.1477663230240549E-4</v>
      </c>
      <c r="CS98">
        <v>1.2966686977251621E-3</v>
      </c>
      <c r="CT98">
        <v>2.2867773953425112E-3</v>
      </c>
      <c r="CU98">
        <v>3.2343259236364522E-3</v>
      </c>
      <c r="CV98">
        <v>4.1408726236795649E-3</v>
      </c>
    </row>
    <row r="99" spans="95:100" x14ac:dyDescent="0.25">
      <c r="CS99">
        <v>2.103934357248054E-4</v>
      </c>
      <c r="CT99">
        <v>1.2704799777822999E-3</v>
      </c>
      <c r="CU99">
        <v>2.2410797550829172E-3</v>
      </c>
      <c r="CV99">
        <v>3.1703893238241641E-3</v>
      </c>
    </row>
    <row r="100" spans="95:100" x14ac:dyDescent="0.25">
      <c r="CT100">
        <v>2.0614306328592039E-4</v>
      </c>
      <c r="CU100">
        <v>1.245076659135297E-3</v>
      </c>
      <c r="CV100">
        <v>2.1967379918677531E-3</v>
      </c>
    </row>
    <row r="101" spans="95:100" x14ac:dyDescent="0.25">
      <c r="CU101">
        <v>2.0202020202020199E-4</v>
      </c>
      <c r="CV101">
        <v>1.2204276494755979E-3</v>
      </c>
    </row>
    <row r="102" spans="95:100" x14ac:dyDescent="0.25">
      <c r="CV102">
        <v>1.9801980198019801E-4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24F0D-FE9D-4502-97F0-3BF0FD2384F3}">
  <sheetPr>
    <tabColor indexed="10"/>
  </sheetPr>
  <dimension ref="A1:F1065"/>
  <sheetViews>
    <sheetView topLeftCell="A181" workbookViewId="0">
      <selection activeCell="G1" sqref="G1:XFD1048576"/>
    </sheetView>
  </sheetViews>
  <sheetFormatPr defaultColWidth="0" defaultRowHeight="15" x14ac:dyDescent="0.25"/>
  <cols>
    <col min="1" max="1" width="20.7109375" bestFit="1" customWidth="1"/>
    <col min="2" max="5" width="8.85546875" customWidth="1"/>
    <col min="6" max="6" width="27.28515625" bestFit="1" customWidth="1"/>
    <col min="7" max="16384" width="8.85546875" hidden="1"/>
  </cols>
  <sheetData>
    <row r="1" spans="1:6" x14ac:dyDescent="0.25">
      <c r="A1" t="s">
        <v>17</v>
      </c>
      <c r="B1" t="s">
        <v>4</v>
      </c>
      <c r="C1" t="s">
        <v>18</v>
      </c>
      <c r="D1" t="s">
        <v>19</v>
      </c>
      <c r="E1" t="s">
        <v>20</v>
      </c>
      <c r="F1" t="s">
        <v>39</v>
      </c>
    </row>
    <row r="2" spans="1:6" x14ac:dyDescent="0.25">
      <c r="A2" t="s">
        <v>183</v>
      </c>
      <c r="B2">
        <v>1</v>
      </c>
      <c r="C2">
        <v>0</v>
      </c>
      <c r="D2">
        <v>0</v>
      </c>
      <c r="E2">
        <v>14</v>
      </c>
      <c r="F2" t="s">
        <v>804</v>
      </c>
    </row>
    <row r="3" spans="1:6" x14ac:dyDescent="0.25">
      <c r="A3" t="s">
        <v>184</v>
      </c>
      <c r="B3">
        <v>2</v>
      </c>
      <c r="C3">
        <v>126</v>
      </c>
      <c r="D3">
        <v>0</v>
      </c>
      <c r="E3">
        <v>14</v>
      </c>
      <c r="F3" t="s">
        <v>804</v>
      </c>
    </row>
    <row r="4" spans="1:6" x14ac:dyDescent="0.25">
      <c r="A4" t="s">
        <v>185</v>
      </c>
      <c r="B4">
        <v>3</v>
      </c>
      <c r="C4">
        <v>258</v>
      </c>
      <c r="D4">
        <v>0</v>
      </c>
      <c r="E4">
        <v>14</v>
      </c>
      <c r="F4" t="s">
        <v>804</v>
      </c>
    </row>
    <row r="5" spans="1:6" x14ac:dyDescent="0.25">
      <c r="A5" t="s">
        <v>186</v>
      </c>
      <c r="B5">
        <v>4</v>
      </c>
      <c r="C5">
        <v>384</v>
      </c>
      <c r="D5">
        <v>0</v>
      </c>
      <c r="E5">
        <v>14</v>
      </c>
      <c r="F5" t="s">
        <v>804</v>
      </c>
    </row>
    <row r="6" spans="1:6" x14ac:dyDescent="0.25">
      <c r="A6" t="s">
        <v>187</v>
      </c>
      <c r="B6">
        <v>5</v>
      </c>
      <c r="C6">
        <v>192</v>
      </c>
      <c r="D6">
        <v>0</v>
      </c>
      <c r="E6">
        <v>14</v>
      </c>
      <c r="F6" t="s">
        <v>805</v>
      </c>
    </row>
    <row r="7" spans="1:6" x14ac:dyDescent="0.25">
      <c r="A7" t="s">
        <v>188</v>
      </c>
      <c r="B7">
        <v>6</v>
      </c>
      <c r="C7">
        <v>0</v>
      </c>
      <c r="D7">
        <v>-60</v>
      </c>
      <c r="E7">
        <v>14</v>
      </c>
      <c r="F7" t="s">
        <v>805</v>
      </c>
    </row>
    <row r="8" spans="1:6" x14ac:dyDescent="0.25">
      <c r="A8" t="s">
        <v>189</v>
      </c>
      <c r="B8">
        <v>7</v>
      </c>
      <c r="C8">
        <v>384</v>
      </c>
      <c r="D8">
        <v>-60</v>
      </c>
      <c r="E8">
        <v>14</v>
      </c>
      <c r="F8" t="s">
        <v>805</v>
      </c>
    </row>
    <row r="9" spans="1:6" x14ac:dyDescent="0.25">
      <c r="A9" t="s">
        <v>190</v>
      </c>
      <c r="B9">
        <v>8</v>
      </c>
      <c r="C9">
        <v>0</v>
      </c>
      <c r="D9">
        <v>-120</v>
      </c>
      <c r="E9">
        <v>14</v>
      </c>
      <c r="F9" t="s">
        <v>804</v>
      </c>
    </row>
    <row r="10" spans="1:6" x14ac:dyDescent="0.25">
      <c r="A10" t="s">
        <v>191</v>
      </c>
      <c r="B10">
        <v>9</v>
      </c>
      <c r="C10">
        <v>126</v>
      </c>
      <c r="D10">
        <v>-120</v>
      </c>
      <c r="E10">
        <v>14</v>
      </c>
      <c r="F10" t="s">
        <v>804</v>
      </c>
    </row>
    <row r="11" spans="1:6" x14ac:dyDescent="0.25">
      <c r="A11" t="s">
        <v>192</v>
      </c>
      <c r="B11">
        <v>10</v>
      </c>
      <c r="C11">
        <v>258</v>
      </c>
      <c r="D11">
        <v>-120</v>
      </c>
      <c r="E11">
        <v>14</v>
      </c>
      <c r="F11" t="s">
        <v>804</v>
      </c>
    </row>
    <row r="12" spans="1:6" x14ac:dyDescent="0.25">
      <c r="A12" t="s">
        <v>193</v>
      </c>
      <c r="B12">
        <v>11</v>
      </c>
      <c r="C12">
        <v>384</v>
      </c>
      <c r="D12">
        <v>-120</v>
      </c>
      <c r="E12">
        <v>14</v>
      </c>
      <c r="F12" t="s">
        <v>804</v>
      </c>
    </row>
    <row r="13" spans="1:6" x14ac:dyDescent="0.25">
      <c r="A13" t="s">
        <v>194</v>
      </c>
      <c r="B13">
        <v>12</v>
      </c>
      <c r="C13">
        <v>126</v>
      </c>
      <c r="D13">
        <v>-216</v>
      </c>
      <c r="E13">
        <v>14</v>
      </c>
      <c r="F13" t="s">
        <v>804</v>
      </c>
    </row>
    <row r="14" spans="1:6" x14ac:dyDescent="0.25">
      <c r="A14" t="s">
        <v>195</v>
      </c>
      <c r="B14">
        <v>13</v>
      </c>
      <c r="C14">
        <v>258</v>
      </c>
      <c r="D14">
        <v>-216</v>
      </c>
      <c r="E14">
        <v>14</v>
      </c>
      <c r="F14" t="s">
        <v>804</v>
      </c>
    </row>
    <row r="15" spans="1:6" x14ac:dyDescent="0.25">
      <c r="A15" t="s">
        <v>196</v>
      </c>
      <c r="B15">
        <v>14</v>
      </c>
      <c r="C15">
        <v>192</v>
      </c>
      <c r="D15">
        <v>-216</v>
      </c>
      <c r="E15">
        <v>14</v>
      </c>
      <c r="F15" t="s">
        <v>805</v>
      </c>
    </row>
    <row r="16" spans="1:6" x14ac:dyDescent="0.25">
      <c r="A16" t="s">
        <v>197</v>
      </c>
      <c r="B16">
        <v>15</v>
      </c>
      <c r="C16">
        <v>0</v>
      </c>
      <c r="D16">
        <v>-270</v>
      </c>
      <c r="E16">
        <v>14</v>
      </c>
      <c r="F16" t="s">
        <v>804</v>
      </c>
    </row>
    <row r="17" spans="1:6" x14ac:dyDescent="0.25">
      <c r="A17" t="s">
        <v>198</v>
      </c>
      <c r="B17">
        <v>16</v>
      </c>
      <c r="C17">
        <v>126</v>
      </c>
      <c r="D17">
        <v>-270</v>
      </c>
      <c r="E17">
        <v>14</v>
      </c>
      <c r="F17" t="s">
        <v>804</v>
      </c>
    </row>
    <row r="18" spans="1:6" x14ac:dyDescent="0.25">
      <c r="A18" t="s">
        <v>199</v>
      </c>
      <c r="B18">
        <v>17</v>
      </c>
      <c r="C18">
        <v>258</v>
      </c>
      <c r="D18">
        <v>-270</v>
      </c>
      <c r="E18">
        <v>14</v>
      </c>
      <c r="F18" t="s">
        <v>804</v>
      </c>
    </row>
    <row r="19" spans="1:6" x14ac:dyDescent="0.25">
      <c r="A19" t="s">
        <v>200</v>
      </c>
      <c r="B19">
        <v>18</v>
      </c>
      <c r="C19">
        <v>384</v>
      </c>
      <c r="D19">
        <v>-270</v>
      </c>
      <c r="E19">
        <v>14</v>
      </c>
      <c r="F19" t="s">
        <v>804</v>
      </c>
    </row>
    <row r="20" spans="1:6" x14ac:dyDescent="0.25">
      <c r="A20" t="s">
        <v>201</v>
      </c>
      <c r="B20">
        <v>19</v>
      </c>
      <c r="C20">
        <v>189.7</v>
      </c>
      <c r="D20">
        <v>-115.9</v>
      </c>
      <c r="E20">
        <v>170</v>
      </c>
      <c r="F20" t="s">
        <v>793</v>
      </c>
    </row>
    <row r="21" spans="1:6" x14ac:dyDescent="0.25">
      <c r="A21" t="s">
        <v>202</v>
      </c>
      <c r="B21">
        <v>20</v>
      </c>
      <c r="C21">
        <v>0</v>
      </c>
      <c r="D21">
        <v>0</v>
      </c>
      <c r="E21">
        <v>170</v>
      </c>
      <c r="F21" t="s">
        <v>806</v>
      </c>
    </row>
    <row r="22" spans="1:6" x14ac:dyDescent="0.25">
      <c r="A22" t="s">
        <v>203</v>
      </c>
      <c r="B22">
        <v>21</v>
      </c>
      <c r="C22">
        <v>126</v>
      </c>
      <c r="D22">
        <v>0</v>
      </c>
      <c r="E22">
        <v>170</v>
      </c>
      <c r="F22" t="s">
        <v>806</v>
      </c>
    </row>
    <row r="23" spans="1:6" x14ac:dyDescent="0.25">
      <c r="A23" t="s">
        <v>204</v>
      </c>
      <c r="B23">
        <v>22</v>
      </c>
      <c r="C23">
        <v>258</v>
      </c>
      <c r="D23">
        <v>0</v>
      </c>
      <c r="E23">
        <v>170</v>
      </c>
      <c r="F23" t="s">
        <v>806</v>
      </c>
    </row>
    <row r="24" spans="1:6" x14ac:dyDescent="0.25">
      <c r="A24" t="s">
        <v>205</v>
      </c>
      <c r="B24">
        <v>23</v>
      </c>
      <c r="C24">
        <v>384</v>
      </c>
      <c r="D24">
        <v>0</v>
      </c>
      <c r="E24">
        <v>170</v>
      </c>
      <c r="F24" t="s">
        <v>806</v>
      </c>
    </row>
    <row r="25" spans="1:6" x14ac:dyDescent="0.25">
      <c r="A25" t="s">
        <v>206</v>
      </c>
      <c r="B25">
        <v>24</v>
      </c>
      <c r="C25">
        <v>192</v>
      </c>
      <c r="D25">
        <v>0</v>
      </c>
      <c r="E25">
        <v>170</v>
      </c>
      <c r="F25" t="s">
        <v>807</v>
      </c>
    </row>
    <row r="26" spans="1:6" x14ac:dyDescent="0.25">
      <c r="A26" t="s">
        <v>207</v>
      </c>
      <c r="B26">
        <v>25</v>
      </c>
      <c r="C26">
        <v>126</v>
      </c>
      <c r="D26">
        <v>-25.625</v>
      </c>
      <c r="E26">
        <v>170</v>
      </c>
      <c r="F26" t="s">
        <v>794</v>
      </c>
    </row>
    <row r="27" spans="1:6" x14ac:dyDescent="0.25">
      <c r="A27" t="s">
        <v>208</v>
      </c>
      <c r="B27">
        <v>26</v>
      </c>
      <c r="C27">
        <v>258</v>
      </c>
      <c r="D27">
        <v>-25.625</v>
      </c>
      <c r="E27">
        <v>170</v>
      </c>
      <c r="F27" t="s">
        <v>794</v>
      </c>
    </row>
    <row r="28" spans="1:6" x14ac:dyDescent="0.25">
      <c r="A28" t="s">
        <v>209</v>
      </c>
      <c r="B28">
        <v>27</v>
      </c>
      <c r="C28">
        <v>0</v>
      </c>
      <c r="D28">
        <v>-60</v>
      </c>
      <c r="E28">
        <v>170</v>
      </c>
      <c r="F28" t="s">
        <v>807</v>
      </c>
    </row>
    <row r="29" spans="1:6" x14ac:dyDescent="0.25">
      <c r="A29" t="s">
        <v>210</v>
      </c>
      <c r="B29">
        <v>28</v>
      </c>
      <c r="C29">
        <v>384</v>
      </c>
      <c r="D29">
        <v>-60</v>
      </c>
      <c r="E29">
        <v>170</v>
      </c>
      <c r="F29" t="s">
        <v>807</v>
      </c>
    </row>
    <row r="30" spans="1:6" x14ac:dyDescent="0.25">
      <c r="A30" t="s">
        <v>211</v>
      </c>
      <c r="B30">
        <v>29</v>
      </c>
      <c r="C30">
        <v>0</v>
      </c>
      <c r="D30">
        <v>-120</v>
      </c>
      <c r="E30">
        <v>170</v>
      </c>
      <c r="F30" t="s">
        <v>806</v>
      </c>
    </row>
    <row r="31" spans="1:6" x14ac:dyDescent="0.25">
      <c r="A31" t="s">
        <v>212</v>
      </c>
      <c r="B31">
        <v>30</v>
      </c>
      <c r="C31">
        <v>126</v>
      </c>
      <c r="D31">
        <v>-120</v>
      </c>
      <c r="E31">
        <v>170</v>
      </c>
      <c r="F31" t="s">
        <v>806</v>
      </c>
    </row>
    <row r="32" spans="1:6" x14ac:dyDescent="0.25">
      <c r="A32" t="s">
        <v>213</v>
      </c>
      <c r="B32">
        <v>31</v>
      </c>
      <c r="C32">
        <v>258</v>
      </c>
      <c r="D32">
        <v>-120</v>
      </c>
      <c r="E32">
        <v>170</v>
      </c>
      <c r="F32" t="s">
        <v>806</v>
      </c>
    </row>
    <row r="33" spans="1:6" x14ac:dyDescent="0.25">
      <c r="A33" t="s">
        <v>214</v>
      </c>
      <c r="B33">
        <v>32</v>
      </c>
      <c r="C33">
        <v>384</v>
      </c>
      <c r="D33">
        <v>-120</v>
      </c>
      <c r="E33">
        <v>170</v>
      </c>
      <c r="F33" t="s">
        <v>806</v>
      </c>
    </row>
    <row r="34" spans="1:6" x14ac:dyDescent="0.25">
      <c r="A34" t="s">
        <v>215</v>
      </c>
      <c r="B34">
        <v>33</v>
      </c>
      <c r="C34">
        <v>126</v>
      </c>
      <c r="D34">
        <v>-216</v>
      </c>
      <c r="E34">
        <v>170</v>
      </c>
      <c r="F34" t="s">
        <v>806</v>
      </c>
    </row>
    <row r="35" spans="1:6" x14ac:dyDescent="0.25">
      <c r="A35" t="s">
        <v>216</v>
      </c>
      <c r="B35">
        <v>34</v>
      </c>
      <c r="C35">
        <v>258</v>
      </c>
      <c r="D35">
        <v>-216</v>
      </c>
      <c r="E35">
        <v>170</v>
      </c>
      <c r="F35" t="s">
        <v>806</v>
      </c>
    </row>
    <row r="36" spans="1:6" x14ac:dyDescent="0.25">
      <c r="A36" t="s">
        <v>217</v>
      </c>
      <c r="B36">
        <v>35</v>
      </c>
      <c r="C36">
        <v>192</v>
      </c>
      <c r="D36">
        <v>-216</v>
      </c>
      <c r="E36">
        <v>170</v>
      </c>
      <c r="F36" t="s">
        <v>807</v>
      </c>
    </row>
    <row r="37" spans="1:6" x14ac:dyDescent="0.25">
      <c r="A37" t="s">
        <v>218</v>
      </c>
      <c r="B37">
        <v>36</v>
      </c>
      <c r="C37">
        <v>126</v>
      </c>
      <c r="D37">
        <v>-241.625</v>
      </c>
      <c r="E37">
        <v>170</v>
      </c>
      <c r="F37" t="s">
        <v>794</v>
      </c>
    </row>
    <row r="38" spans="1:6" x14ac:dyDescent="0.25">
      <c r="A38" t="s">
        <v>219</v>
      </c>
      <c r="B38">
        <v>37</v>
      </c>
      <c r="C38">
        <v>258</v>
      </c>
      <c r="D38">
        <v>-241.625</v>
      </c>
      <c r="E38">
        <v>170</v>
      </c>
      <c r="F38" t="s">
        <v>794</v>
      </c>
    </row>
    <row r="39" spans="1:6" x14ac:dyDescent="0.25">
      <c r="A39" t="s">
        <v>220</v>
      </c>
      <c r="B39">
        <v>38</v>
      </c>
      <c r="C39">
        <v>0</v>
      </c>
      <c r="D39">
        <v>-270</v>
      </c>
      <c r="E39">
        <v>170</v>
      </c>
      <c r="F39" t="s">
        <v>806</v>
      </c>
    </row>
    <row r="40" spans="1:6" x14ac:dyDescent="0.25">
      <c r="A40" t="s">
        <v>221</v>
      </c>
      <c r="B40">
        <v>39</v>
      </c>
      <c r="C40">
        <v>126</v>
      </c>
      <c r="D40">
        <v>-270</v>
      </c>
      <c r="E40">
        <v>170</v>
      </c>
      <c r="F40" t="s">
        <v>806</v>
      </c>
    </row>
    <row r="41" spans="1:6" x14ac:dyDescent="0.25">
      <c r="A41" t="s">
        <v>222</v>
      </c>
      <c r="B41">
        <v>40</v>
      </c>
      <c r="C41">
        <v>258</v>
      </c>
      <c r="D41">
        <v>-270</v>
      </c>
      <c r="E41">
        <v>170</v>
      </c>
      <c r="F41" t="s">
        <v>806</v>
      </c>
    </row>
    <row r="42" spans="1:6" x14ac:dyDescent="0.25">
      <c r="A42" t="s">
        <v>223</v>
      </c>
      <c r="B42">
        <v>41</v>
      </c>
      <c r="C42">
        <v>384</v>
      </c>
      <c r="D42">
        <v>-270</v>
      </c>
      <c r="E42">
        <v>170</v>
      </c>
      <c r="F42" t="s">
        <v>806</v>
      </c>
    </row>
    <row r="43" spans="1:6" x14ac:dyDescent="0.25">
      <c r="A43" t="s">
        <v>224</v>
      </c>
      <c r="B43">
        <v>42</v>
      </c>
      <c r="C43">
        <v>194.3</v>
      </c>
      <c r="D43">
        <v>-123.9</v>
      </c>
      <c r="E43">
        <v>302</v>
      </c>
      <c r="F43" t="s">
        <v>793</v>
      </c>
    </row>
    <row r="44" spans="1:6" x14ac:dyDescent="0.25">
      <c r="A44" t="s">
        <v>225</v>
      </c>
      <c r="B44">
        <v>43</v>
      </c>
      <c r="C44">
        <v>0</v>
      </c>
      <c r="D44">
        <v>0</v>
      </c>
      <c r="E44">
        <v>302</v>
      </c>
      <c r="F44" t="s">
        <v>808</v>
      </c>
    </row>
    <row r="45" spans="1:6" x14ac:dyDescent="0.25">
      <c r="A45" t="s">
        <v>226</v>
      </c>
      <c r="B45">
        <v>44</v>
      </c>
      <c r="C45">
        <v>126</v>
      </c>
      <c r="D45">
        <v>0</v>
      </c>
      <c r="E45">
        <v>302</v>
      </c>
      <c r="F45" t="s">
        <v>808</v>
      </c>
    </row>
    <row r="46" spans="1:6" x14ac:dyDescent="0.25">
      <c r="A46" t="s">
        <v>227</v>
      </c>
      <c r="B46">
        <v>45</v>
      </c>
      <c r="C46">
        <v>258</v>
      </c>
      <c r="D46">
        <v>0</v>
      </c>
      <c r="E46">
        <v>302</v>
      </c>
      <c r="F46" t="s">
        <v>808</v>
      </c>
    </row>
    <row r="47" spans="1:6" x14ac:dyDescent="0.25">
      <c r="A47" t="s">
        <v>228</v>
      </c>
      <c r="B47">
        <v>46</v>
      </c>
      <c r="C47">
        <v>384</v>
      </c>
      <c r="D47">
        <v>0</v>
      </c>
      <c r="E47">
        <v>302</v>
      </c>
      <c r="F47" t="s">
        <v>808</v>
      </c>
    </row>
    <row r="48" spans="1:6" x14ac:dyDescent="0.25">
      <c r="A48" t="s">
        <v>229</v>
      </c>
      <c r="B48">
        <v>47</v>
      </c>
      <c r="C48">
        <v>192</v>
      </c>
      <c r="D48">
        <v>0</v>
      </c>
      <c r="E48">
        <v>302</v>
      </c>
      <c r="F48" t="s">
        <v>809</v>
      </c>
    </row>
    <row r="49" spans="1:6" x14ac:dyDescent="0.25">
      <c r="A49" t="s">
        <v>230</v>
      </c>
      <c r="B49">
        <v>48</v>
      </c>
      <c r="C49">
        <v>126</v>
      </c>
      <c r="D49">
        <v>-25.625</v>
      </c>
      <c r="E49">
        <v>302</v>
      </c>
      <c r="F49" t="s">
        <v>795</v>
      </c>
    </row>
    <row r="50" spans="1:6" x14ac:dyDescent="0.25">
      <c r="A50" t="s">
        <v>231</v>
      </c>
      <c r="B50">
        <v>49</v>
      </c>
      <c r="C50">
        <v>258</v>
      </c>
      <c r="D50">
        <v>-25.625</v>
      </c>
      <c r="E50">
        <v>302</v>
      </c>
      <c r="F50" t="s">
        <v>795</v>
      </c>
    </row>
    <row r="51" spans="1:6" x14ac:dyDescent="0.25">
      <c r="A51" t="s">
        <v>232</v>
      </c>
      <c r="B51">
        <v>50</v>
      </c>
      <c r="C51">
        <v>0</v>
      </c>
      <c r="D51">
        <v>-60</v>
      </c>
      <c r="E51">
        <v>302</v>
      </c>
      <c r="F51" t="s">
        <v>809</v>
      </c>
    </row>
    <row r="52" spans="1:6" x14ac:dyDescent="0.25">
      <c r="A52" t="s">
        <v>233</v>
      </c>
      <c r="B52">
        <v>51</v>
      </c>
      <c r="C52">
        <v>384</v>
      </c>
      <c r="D52">
        <v>-60</v>
      </c>
      <c r="E52">
        <v>302</v>
      </c>
      <c r="F52" t="s">
        <v>809</v>
      </c>
    </row>
    <row r="53" spans="1:6" x14ac:dyDescent="0.25">
      <c r="A53" t="s">
        <v>234</v>
      </c>
      <c r="B53">
        <v>52</v>
      </c>
      <c r="C53">
        <v>0</v>
      </c>
      <c r="D53">
        <v>-120</v>
      </c>
      <c r="E53">
        <v>302</v>
      </c>
      <c r="F53" t="s">
        <v>808</v>
      </c>
    </row>
    <row r="54" spans="1:6" x14ac:dyDescent="0.25">
      <c r="A54" t="s">
        <v>235</v>
      </c>
      <c r="B54">
        <v>53</v>
      </c>
      <c r="C54">
        <v>126</v>
      </c>
      <c r="D54">
        <v>-120</v>
      </c>
      <c r="E54">
        <v>302</v>
      </c>
      <c r="F54" t="s">
        <v>808</v>
      </c>
    </row>
    <row r="55" spans="1:6" x14ac:dyDescent="0.25">
      <c r="A55" t="s">
        <v>236</v>
      </c>
      <c r="B55">
        <v>54</v>
      </c>
      <c r="C55">
        <v>258</v>
      </c>
      <c r="D55">
        <v>-120</v>
      </c>
      <c r="E55">
        <v>302</v>
      </c>
      <c r="F55" t="s">
        <v>808</v>
      </c>
    </row>
    <row r="56" spans="1:6" x14ac:dyDescent="0.25">
      <c r="A56" t="s">
        <v>237</v>
      </c>
      <c r="B56">
        <v>55</v>
      </c>
      <c r="C56">
        <v>384</v>
      </c>
      <c r="D56">
        <v>-120</v>
      </c>
      <c r="E56">
        <v>302</v>
      </c>
      <c r="F56" t="s">
        <v>808</v>
      </c>
    </row>
    <row r="57" spans="1:6" x14ac:dyDescent="0.25">
      <c r="A57" t="s">
        <v>238</v>
      </c>
      <c r="B57">
        <v>56</v>
      </c>
      <c r="C57">
        <v>126</v>
      </c>
      <c r="D57">
        <v>-216</v>
      </c>
      <c r="E57">
        <v>302</v>
      </c>
      <c r="F57" t="s">
        <v>808</v>
      </c>
    </row>
    <row r="58" spans="1:6" x14ac:dyDescent="0.25">
      <c r="A58" t="s">
        <v>239</v>
      </c>
      <c r="B58">
        <v>57</v>
      </c>
      <c r="C58">
        <v>258</v>
      </c>
      <c r="D58">
        <v>-216</v>
      </c>
      <c r="E58">
        <v>302</v>
      </c>
      <c r="F58" t="s">
        <v>808</v>
      </c>
    </row>
    <row r="59" spans="1:6" x14ac:dyDescent="0.25">
      <c r="A59" t="s">
        <v>240</v>
      </c>
      <c r="B59">
        <v>58</v>
      </c>
      <c r="C59">
        <v>192</v>
      </c>
      <c r="D59">
        <v>-216</v>
      </c>
      <c r="E59">
        <v>302</v>
      </c>
      <c r="F59" t="s">
        <v>809</v>
      </c>
    </row>
    <row r="60" spans="1:6" x14ac:dyDescent="0.25">
      <c r="A60" t="s">
        <v>241</v>
      </c>
      <c r="B60">
        <v>59</v>
      </c>
      <c r="C60">
        <v>126</v>
      </c>
      <c r="D60">
        <v>-241.625</v>
      </c>
      <c r="E60">
        <v>302</v>
      </c>
      <c r="F60" t="s">
        <v>795</v>
      </c>
    </row>
    <row r="61" spans="1:6" x14ac:dyDescent="0.25">
      <c r="A61" t="s">
        <v>242</v>
      </c>
      <c r="B61">
        <v>60</v>
      </c>
      <c r="C61">
        <v>258</v>
      </c>
      <c r="D61">
        <v>-241.625</v>
      </c>
      <c r="E61">
        <v>302</v>
      </c>
      <c r="F61" t="s">
        <v>795</v>
      </c>
    </row>
    <row r="62" spans="1:6" x14ac:dyDescent="0.25">
      <c r="A62" t="s">
        <v>243</v>
      </c>
      <c r="B62">
        <v>61</v>
      </c>
      <c r="C62">
        <v>0</v>
      </c>
      <c r="D62">
        <v>-270</v>
      </c>
      <c r="E62">
        <v>302</v>
      </c>
      <c r="F62" t="s">
        <v>808</v>
      </c>
    </row>
    <row r="63" spans="1:6" x14ac:dyDescent="0.25">
      <c r="A63" t="s">
        <v>244</v>
      </c>
      <c r="B63">
        <v>62</v>
      </c>
      <c r="C63">
        <v>126</v>
      </c>
      <c r="D63">
        <v>-270</v>
      </c>
      <c r="E63">
        <v>302</v>
      </c>
      <c r="F63" t="s">
        <v>808</v>
      </c>
    </row>
    <row r="64" spans="1:6" x14ac:dyDescent="0.25">
      <c r="A64" t="s">
        <v>245</v>
      </c>
      <c r="B64">
        <v>63</v>
      </c>
      <c r="C64">
        <v>258</v>
      </c>
      <c r="D64">
        <v>-270</v>
      </c>
      <c r="E64">
        <v>302</v>
      </c>
      <c r="F64" t="s">
        <v>808</v>
      </c>
    </row>
    <row r="65" spans="1:6" x14ac:dyDescent="0.25">
      <c r="A65" t="s">
        <v>246</v>
      </c>
      <c r="B65">
        <v>64</v>
      </c>
      <c r="C65">
        <v>384</v>
      </c>
      <c r="D65">
        <v>-270</v>
      </c>
      <c r="E65">
        <v>302</v>
      </c>
      <c r="F65" t="s">
        <v>808</v>
      </c>
    </row>
    <row r="66" spans="1:6" x14ac:dyDescent="0.25">
      <c r="A66" t="s">
        <v>247</v>
      </c>
      <c r="B66">
        <v>65</v>
      </c>
      <c r="C66">
        <v>197.3</v>
      </c>
      <c r="D66">
        <v>-128.1</v>
      </c>
      <c r="E66">
        <v>434</v>
      </c>
      <c r="F66" t="s">
        <v>793</v>
      </c>
    </row>
    <row r="67" spans="1:6" x14ac:dyDescent="0.25">
      <c r="A67" t="s">
        <v>248</v>
      </c>
      <c r="B67">
        <v>66</v>
      </c>
      <c r="C67">
        <v>0</v>
      </c>
      <c r="D67">
        <v>0</v>
      </c>
      <c r="E67">
        <v>434</v>
      </c>
      <c r="F67" t="s">
        <v>810</v>
      </c>
    </row>
    <row r="68" spans="1:6" x14ac:dyDescent="0.25">
      <c r="A68" t="s">
        <v>249</v>
      </c>
      <c r="B68">
        <v>67</v>
      </c>
      <c r="C68">
        <v>126</v>
      </c>
      <c r="D68">
        <v>0</v>
      </c>
      <c r="E68">
        <v>434</v>
      </c>
      <c r="F68" t="s">
        <v>810</v>
      </c>
    </row>
    <row r="69" spans="1:6" x14ac:dyDescent="0.25">
      <c r="A69" t="s">
        <v>250</v>
      </c>
      <c r="B69">
        <v>68</v>
      </c>
      <c r="C69">
        <v>258</v>
      </c>
      <c r="D69">
        <v>0</v>
      </c>
      <c r="E69">
        <v>434</v>
      </c>
      <c r="F69" t="s">
        <v>810</v>
      </c>
    </row>
    <row r="70" spans="1:6" x14ac:dyDescent="0.25">
      <c r="A70" t="s">
        <v>251</v>
      </c>
      <c r="B70">
        <v>69</v>
      </c>
      <c r="C70">
        <v>384</v>
      </c>
      <c r="D70">
        <v>0</v>
      </c>
      <c r="E70">
        <v>434</v>
      </c>
      <c r="F70" t="s">
        <v>810</v>
      </c>
    </row>
    <row r="71" spans="1:6" x14ac:dyDescent="0.25">
      <c r="A71" t="s">
        <v>252</v>
      </c>
      <c r="B71">
        <v>70</v>
      </c>
      <c r="C71">
        <v>192</v>
      </c>
      <c r="D71">
        <v>0</v>
      </c>
      <c r="E71">
        <v>434</v>
      </c>
      <c r="F71" t="s">
        <v>811</v>
      </c>
    </row>
    <row r="72" spans="1:6" x14ac:dyDescent="0.25">
      <c r="A72" t="s">
        <v>253</v>
      </c>
      <c r="B72">
        <v>71</v>
      </c>
      <c r="C72">
        <v>126</v>
      </c>
      <c r="D72">
        <v>-25.625</v>
      </c>
      <c r="E72">
        <v>434</v>
      </c>
      <c r="F72" t="s">
        <v>796</v>
      </c>
    </row>
    <row r="73" spans="1:6" x14ac:dyDescent="0.25">
      <c r="A73" t="s">
        <v>254</v>
      </c>
      <c r="B73">
        <v>72</v>
      </c>
      <c r="C73">
        <v>258</v>
      </c>
      <c r="D73">
        <v>-25.625</v>
      </c>
      <c r="E73">
        <v>434</v>
      </c>
      <c r="F73" t="s">
        <v>796</v>
      </c>
    </row>
    <row r="74" spans="1:6" x14ac:dyDescent="0.25">
      <c r="A74" t="s">
        <v>255</v>
      </c>
      <c r="B74">
        <v>73</v>
      </c>
      <c r="C74">
        <v>0</v>
      </c>
      <c r="D74">
        <v>-60</v>
      </c>
      <c r="E74">
        <v>434</v>
      </c>
      <c r="F74" t="s">
        <v>811</v>
      </c>
    </row>
    <row r="75" spans="1:6" x14ac:dyDescent="0.25">
      <c r="A75" t="s">
        <v>256</v>
      </c>
      <c r="B75">
        <v>74</v>
      </c>
      <c r="C75">
        <v>384</v>
      </c>
      <c r="D75">
        <v>-60</v>
      </c>
      <c r="E75">
        <v>434</v>
      </c>
      <c r="F75" t="s">
        <v>811</v>
      </c>
    </row>
    <row r="76" spans="1:6" x14ac:dyDescent="0.25">
      <c r="A76" t="s">
        <v>257</v>
      </c>
      <c r="B76">
        <v>75</v>
      </c>
      <c r="C76">
        <v>0</v>
      </c>
      <c r="D76">
        <v>-120</v>
      </c>
      <c r="E76">
        <v>434</v>
      </c>
      <c r="F76" t="s">
        <v>810</v>
      </c>
    </row>
    <row r="77" spans="1:6" x14ac:dyDescent="0.25">
      <c r="A77" t="s">
        <v>258</v>
      </c>
      <c r="B77">
        <v>76</v>
      </c>
      <c r="C77">
        <v>126</v>
      </c>
      <c r="D77">
        <v>-120</v>
      </c>
      <c r="E77">
        <v>434</v>
      </c>
      <c r="F77" t="s">
        <v>810</v>
      </c>
    </row>
    <row r="78" spans="1:6" x14ac:dyDescent="0.25">
      <c r="A78" t="s">
        <v>259</v>
      </c>
      <c r="B78">
        <v>77</v>
      </c>
      <c r="C78">
        <v>258</v>
      </c>
      <c r="D78">
        <v>-120</v>
      </c>
      <c r="E78">
        <v>434</v>
      </c>
      <c r="F78" t="s">
        <v>810</v>
      </c>
    </row>
    <row r="79" spans="1:6" x14ac:dyDescent="0.25">
      <c r="A79" t="s">
        <v>260</v>
      </c>
      <c r="B79">
        <v>78</v>
      </c>
      <c r="C79">
        <v>384</v>
      </c>
      <c r="D79">
        <v>-120</v>
      </c>
      <c r="E79">
        <v>434</v>
      </c>
      <c r="F79" t="s">
        <v>810</v>
      </c>
    </row>
    <row r="80" spans="1:6" x14ac:dyDescent="0.25">
      <c r="A80" t="s">
        <v>261</v>
      </c>
      <c r="B80">
        <v>79</v>
      </c>
      <c r="C80">
        <v>126</v>
      </c>
      <c r="D80">
        <v>-216</v>
      </c>
      <c r="E80">
        <v>434</v>
      </c>
      <c r="F80" t="s">
        <v>810</v>
      </c>
    </row>
    <row r="81" spans="1:6" x14ac:dyDescent="0.25">
      <c r="A81" t="s">
        <v>262</v>
      </c>
      <c r="B81">
        <v>80</v>
      </c>
      <c r="C81">
        <v>258</v>
      </c>
      <c r="D81">
        <v>-216</v>
      </c>
      <c r="E81">
        <v>434</v>
      </c>
      <c r="F81" t="s">
        <v>810</v>
      </c>
    </row>
    <row r="82" spans="1:6" x14ac:dyDescent="0.25">
      <c r="A82" t="s">
        <v>263</v>
      </c>
      <c r="B82">
        <v>81</v>
      </c>
      <c r="C82">
        <v>192</v>
      </c>
      <c r="D82">
        <v>-216</v>
      </c>
      <c r="E82">
        <v>434</v>
      </c>
      <c r="F82" t="s">
        <v>811</v>
      </c>
    </row>
    <row r="83" spans="1:6" x14ac:dyDescent="0.25">
      <c r="A83" t="s">
        <v>264</v>
      </c>
      <c r="B83">
        <v>82</v>
      </c>
      <c r="C83">
        <v>126</v>
      </c>
      <c r="D83">
        <v>-241.625</v>
      </c>
      <c r="E83">
        <v>434</v>
      </c>
      <c r="F83" t="s">
        <v>796</v>
      </c>
    </row>
    <row r="84" spans="1:6" x14ac:dyDescent="0.25">
      <c r="A84" t="s">
        <v>265</v>
      </c>
      <c r="B84">
        <v>83</v>
      </c>
      <c r="C84">
        <v>258</v>
      </c>
      <c r="D84">
        <v>-241.625</v>
      </c>
      <c r="E84">
        <v>434</v>
      </c>
      <c r="F84" t="s">
        <v>796</v>
      </c>
    </row>
    <row r="85" spans="1:6" x14ac:dyDescent="0.25">
      <c r="A85" t="s">
        <v>266</v>
      </c>
      <c r="B85">
        <v>84</v>
      </c>
      <c r="C85">
        <v>0</v>
      </c>
      <c r="D85">
        <v>-270</v>
      </c>
      <c r="E85">
        <v>434</v>
      </c>
      <c r="F85" t="s">
        <v>810</v>
      </c>
    </row>
    <row r="86" spans="1:6" x14ac:dyDescent="0.25">
      <c r="A86" t="s">
        <v>267</v>
      </c>
      <c r="B86">
        <v>85</v>
      </c>
      <c r="C86">
        <v>126</v>
      </c>
      <c r="D86">
        <v>-270</v>
      </c>
      <c r="E86">
        <v>434</v>
      </c>
      <c r="F86" t="s">
        <v>810</v>
      </c>
    </row>
    <row r="87" spans="1:6" x14ac:dyDescent="0.25">
      <c r="A87" t="s">
        <v>268</v>
      </c>
      <c r="B87">
        <v>86</v>
      </c>
      <c r="C87">
        <v>258</v>
      </c>
      <c r="D87">
        <v>-270</v>
      </c>
      <c r="E87">
        <v>434</v>
      </c>
      <c r="F87" t="s">
        <v>810</v>
      </c>
    </row>
    <row r="88" spans="1:6" x14ac:dyDescent="0.25">
      <c r="A88" t="s">
        <v>269</v>
      </c>
      <c r="B88">
        <v>87</v>
      </c>
      <c r="C88">
        <v>384</v>
      </c>
      <c r="D88">
        <v>-270</v>
      </c>
      <c r="E88">
        <v>434</v>
      </c>
      <c r="F88" t="s">
        <v>810</v>
      </c>
    </row>
    <row r="89" spans="1:6" x14ac:dyDescent="0.25">
      <c r="A89" t="s">
        <v>270</v>
      </c>
      <c r="B89">
        <v>88</v>
      </c>
      <c r="C89">
        <v>191.7</v>
      </c>
      <c r="D89">
        <v>-124.3</v>
      </c>
      <c r="E89">
        <v>566</v>
      </c>
      <c r="F89" t="s">
        <v>793</v>
      </c>
    </row>
    <row r="90" spans="1:6" x14ac:dyDescent="0.25">
      <c r="A90" t="s">
        <v>271</v>
      </c>
      <c r="B90">
        <v>89</v>
      </c>
      <c r="C90">
        <v>0</v>
      </c>
      <c r="D90">
        <v>0</v>
      </c>
      <c r="E90">
        <v>566</v>
      </c>
      <c r="F90" t="s">
        <v>812</v>
      </c>
    </row>
    <row r="91" spans="1:6" x14ac:dyDescent="0.25">
      <c r="A91" t="s">
        <v>272</v>
      </c>
      <c r="B91">
        <v>90</v>
      </c>
      <c r="C91">
        <v>126</v>
      </c>
      <c r="D91">
        <v>0</v>
      </c>
      <c r="E91">
        <v>566</v>
      </c>
      <c r="F91" t="s">
        <v>812</v>
      </c>
    </row>
    <row r="92" spans="1:6" x14ac:dyDescent="0.25">
      <c r="A92" t="s">
        <v>273</v>
      </c>
      <c r="B92">
        <v>91</v>
      </c>
      <c r="C92">
        <v>258</v>
      </c>
      <c r="D92">
        <v>0</v>
      </c>
      <c r="E92">
        <v>566</v>
      </c>
      <c r="F92" t="s">
        <v>812</v>
      </c>
    </row>
    <row r="93" spans="1:6" x14ac:dyDescent="0.25">
      <c r="A93" t="s">
        <v>274</v>
      </c>
      <c r="B93">
        <v>92</v>
      </c>
      <c r="C93">
        <v>384</v>
      </c>
      <c r="D93">
        <v>0</v>
      </c>
      <c r="E93">
        <v>566</v>
      </c>
      <c r="F93" t="s">
        <v>812</v>
      </c>
    </row>
    <row r="94" spans="1:6" x14ac:dyDescent="0.25">
      <c r="A94" t="s">
        <v>275</v>
      </c>
      <c r="B94">
        <v>93</v>
      </c>
      <c r="C94">
        <v>192</v>
      </c>
      <c r="D94">
        <v>0</v>
      </c>
      <c r="E94">
        <v>566</v>
      </c>
      <c r="F94" t="s">
        <v>813</v>
      </c>
    </row>
    <row r="95" spans="1:6" x14ac:dyDescent="0.25">
      <c r="A95" t="s">
        <v>276</v>
      </c>
      <c r="B95">
        <v>94</v>
      </c>
      <c r="C95">
        <v>126</v>
      </c>
      <c r="D95">
        <v>-25.625</v>
      </c>
      <c r="E95">
        <v>566</v>
      </c>
      <c r="F95" t="s">
        <v>797</v>
      </c>
    </row>
    <row r="96" spans="1:6" x14ac:dyDescent="0.25">
      <c r="A96" t="s">
        <v>277</v>
      </c>
      <c r="B96">
        <v>95</v>
      </c>
      <c r="C96">
        <v>258</v>
      </c>
      <c r="D96">
        <v>-25.625</v>
      </c>
      <c r="E96">
        <v>566</v>
      </c>
      <c r="F96" t="s">
        <v>797</v>
      </c>
    </row>
    <row r="97" spans="1:6" x14ac:dyDescent="0.25">
      <c r="A97" t="s">
        <v>278</v>
      </c>
      <c r="B97">
        <v>96</v>
      </c>
      <c r="C97">
        <v>0</v>
      </c>
      <c r="D97">
        <v>-60</v>
      </c>
      <c r="E97">
        <v>566</v>
      </c>
      <c r="F97" t="s">
        <v>813</v>
      </c>
    </row>
    <row r="98" spans="1:6" x14ac:dyDescent="0.25">
      <c r="A98" t="s">
        <v>279</v>
      </c>
      <c r="B98">
        <v>97</v>
      </c>
      <c r="C98">
        <v>384</v>
      </c>
      <c r="D98">
        <v>-60</v>
      </c>
      <c r="E98">
        <v>566</v>
      </c>
      <c r="F98" t="s">
        <v>813</v>
      </c>
    </row>
    <row r="99" spans="1:6" x14ac:dyDescent="0.25">
      <c r="A99" t="s">
        <v>280</v>
      </c>
      <c r="B99">
        <v>98</v>
      </c>
      <c r="C99">
        <v>0</v>
      </c>
      <c r="D99">
        <v>-120</v>
      </c>
      <c r="E99">
        <v>566</v>
      </c>
      <c r="F99" t="s">
        <v>812</v>
      </c>
    </row>
    <row r="100" spans="1:6" x14ac:dyDescent="0.25">
      <c r="A100" t="s">
        <v>281</v>
      </c>
      <c r="B100">
        <v>99</v>
      </c>
      <c r="C100">
        <v>126</v>
      </c>
      <c r="D100">
        <v>-120</v>
      </c>
      <c r="E100">
        <v>566</v>
      </c>
      <c r="F100" t="s">
        <v>812</v>
      </c>
    </row>
    <row r="101" spans="1:6" x14ac:dyDescent="0.25">
      <c r="A101" t="s">
        <v>282</v>
      </c>
      <c r="B101">
        <v>100</v>
      </c>
      <c r="C101">
        <v>258</v>
      </c>
      <c r="D101">
        <v>-120</v>
      </c>
      <c r="E101">
        <v>566</v>
      </c>
      <c r="F101" t="s">
        <v>812</v>
      </c>
    </row>
    <row r="102" spans="1:6" x14ac:dyDescent="0.25">
      <c r="A102" t="s">
        <v>283</v>
      </c>
      <c r="B102">
        <v>101</v>
      </c>
      <c r="C102">
        <v>384</v>
      </c>
      <c r="D102">
        <v>-120</v>
      </c>
      <c r="E102">
        <v>566</v>
      </c>
      <c r="F102" t="s">
        <v>812</v>
      </c>
    </row>
    <row r="103" spans="1:6" x14ac:dyDescent="0.25">
      <c r="A103" t="s">
        <v>284</v>
      </c>
      <c r="B103">
        <v>102</v>
      </c>
      <c r="C103">
        <v>126</v>
      </c>
      <c r="D103">
        <v>-216</v>
      </c>
      <c r="E103">
        <v>566</v>
      </c>
      <c r="F103" t="s">
        <v>812</v>
      </c>
    </row>
    <row r="104" spans="1:6" x14ac:dyDescent="0.25">
      <c r="A104" t="s">
        <v>285</v>
      </c>
      <c r="B104">
        <v>103</v>
      </c>
      <c r="C104">
        <v>258</v>
      </c>
      <c r="D104">
        <v>-216</v>
      </c>
      <c r="E104">
        <v>566</v>
      </c>
      <c r="F104" t="s">
        <v>812</v>
      </c>
    </row>
    <row r="105" spans="1:6" x14ac:dyDescent="0.25">
      <c r="A105" t="s">
        <v>286</v>
      </c>
      <c r="B105">
        <v>104</v>
      </c>
      <c r="C105">
        <v>192</v>
      </c>
      <c r="D105">
        <v>-216</v>
      </c>
      <c r="E105">
        <v>566</v>
      </c>
      <c r="F105" t="s">
        <v>813</v>
      </c>
    </row>
    <row r="106" spans="1:6" x14ac:dyDescent="0.25">
      <c r="A106" t="s">
        <v>287</v>
      </c>
      <c r="B106">
        <v>105</v>
      </c>
      <c r="C106">
        <v>126</v>
      </c>
      <c r="D106">
        <v>-241.625</v>
      </c>
      <c r="E106">
        <v>566</v>
      </c>
      <c r="F106" t="s">
        <v>797</v>
      </c>
    </row>
    <row r="107" spans="1:6" x14ac:dyDescent="0.25">
      <c r="A107" t="s">
        <v>288</v>
      </c>
      <c r="B107">
        <v>106</v>
      </c>
      <c r="C107">
        <v>258</v>
      </c>
      <c r="D107">
        <v>-241.625</v>
      </c>
      <c r="E107">
        <v>566</v>
      </c>
      <c r="F107" t="s">
        <v>797</v>
      </c>
    </row>
    <row r="108" spans="1:6" x14ac:dyDescent="0.25">
      <c r="A108" t="s">
        <v>289</v>
      </c>
      <c r="B108">
        <v>107</v>
      </c>
      <c r="C108">
        <v>0</v>
      </c>
      <c r="D108">
        <v>-270</v>
      </c>
      <c r="E108">
        <v>566</v>
      </c>
      <c r="F108" t="s">
        <v>812</v>
      </c>
    </row>
    <row r="109" spans="1:6" x14ac:dyDescent="0.25">
      <c r="A109" t="s">
        <v>290</v>
      </c>
      <c r="B109">
        <v>108</v>
      </c>
      <c r="C109">
        <v>126</v>
      </c>
      <c r="D109">
        <v>-270</v>
      </c>
      <c r="E109">
        <v>566</v>
      </c>
      <c r="F109" t="s">
        <v>812</v>
      </c>
    </row>
    <row r="110" spans="1:6" x14ac:dyDescent="0.25">
      <c r="A110" t="s">
        <v>291</v>
      </c>
      <c r="B110">
        <v>109</v>
      </c>
      <c r="C110">
        <v>258</v>
      </c>
      <c r="D110">
        <v>-270</v>
      </c>
      <c r="E110">
        <v>566</v>
      </c>
      <c r="F110" t="s">
        <v>812</v>
      </c>
    </row>
    <row r="111" spans="1:6" x14ac:dyDescent="0.25">
      <c r="A111" t="s">
        <v>292</v>
      </c>
      <c r="B111">
        <v>110</v>
      </c>
      <c r="C111">
        <v>384</v>
      </c>
      <c r="D111">
        <v>-270</v>
      </c>
      <c r="E111">
        <v>566</v>
      </c>
      <c r="F111" t="s">
        <v>812</v>
      </c>
    </row>
    <row r="112" spans="1:6" x14ac:dyDescent="0.25">
      <c r="A112" t="s">
        <v>293</v>
      </c>
      <c r="B112">
        <v>111</v>
      </c>
      <c r="C112">
        <v>191.8</v>
      </c>
      <c r="D112">
        <v>-129.1</v>
      </c>
      <c r="E112">
        <v>698</v>
      </c>
      <c r="F112" t="s">
        <v>793</v>
      </c>
    </row>
    <row r="113" spans="1:6" x14ac:dyDescent="0.25">
      <c r="A113" t="s">
        <v>294</v>
      </c>
      <c r="B113">
        <v>112</v>
      </c>
      <c r="C113">
        <v>0</v>
      </c>
      <c r="D113">
        <v>0</v>
      </c>
      <c r="E113">
        <v>698</v>
      </c>
      <c r="F113" t="s">
        <v>814</v>
      </c>
    </row>
    <row r="114" spans="1:6" x14ac:dyDescent="0.25">
      <c r="A114" t="s">
        <v>295</v>
      </c>
      <c r="B114">
        <v>113</v>
      </c>
      <c r="C114">
        <v>126</v>
      </c>
      <c r="D114">
        <v>0</v>
      </c>
      <c r="E114">
        <v>698</v>
      </c>
      <c r="F114" t="s">
        <v>814</v>
      </c>
    </row>
    <row r="115" spans="1:6" x14ac:dyDescent="0.25">
      <c r="A115" t="s">
        <v>296</v>
      </c>
      <c r="B115">
        <v>114</v>
      </c>
      <c r="C115">
        <v>258</v>
      </c>
      <c r="D115">
        <v>0</v>
      </c>
      <c r="E115">
        <v>698</v>
      </c>
      <c r="F115" t="s">
        <v>814</v>
      </c>
    </row>
    <row r="116" spans="1:6" x14ac:dyDescent="0.25">
      <c r="A116" t="s">
        <v>297</v>
      </c>
      <c r="B116">
        <v>115</v>
      </c>
      <c r="C116">
        <v>384</v>
      </c>
      <c r="D116">
        <v>0</v>
      </c>
      <c r="E116">
        <v>698</v>
      </c>
      <c r="F116" t="s">
        <v>814</v>
      </c>
    </row>
    <row r="117" spans="1:6" x14ac:dyDescent="0.25">
      <c r="A117" t="s">
        <v>298</v>
      </c>
      <c r="B117">
        <v>116</v>
      </c>
      <c r="C117">
        <v>192</v>
      </c>
      <c r="D117">
        <v>0</v>
      </c>
      <c r="E117">
        <v>698</v>
      </c>
      <c r="F117" t="s">
        <v>815</v>
      </c>
    </row>
    <row r="118" spans="1:6" x14ac:dyDescent="0.25">
      <c r="A118" t="s">
        <v>299</v>
      </c>
      <c r="B118">
        <v>117</v>
      </c>
      <c r="C118">
        <v>126</v>
      </c>
      <c r="D118">
        <v>-25.625</v>
      </c>
      <c r="E118">
        <v>698</v>
      </c>
      <c r="F118" t="s">
        <v>798</v>
      </c>
    </row>
    <row r="119" spans="1:6" x14ac:dyDescent="0.25">
      <c r="A119" t="s">
        <v>300</v>
      </c>
      <c r="B119">
        <v>118</v>
      </c>
      <c r="C119">
        <v>258</v>
      </c>
      <c r="D119">
        <v>-25.625</v>
      </c>
      <c r="E119">
        <v>698</v>
      </c>
      <c r="F119" t="s">
        <v>798</v>
      </c>
    </row>
    <row r="120" spans="1:6" x14ac:dyDescent="0.25">
      <c r="A120" t="s">
        <v>301</v>
      </c>
      <c r="B120">
        <v>119</v>
      </c>
      <c r="C120">
        <v>0</v>
      </c>
      <c r="D120">
        <v>-60</v>
      </c>
      <c r="E120">
        <v>698</v>
      </c>
      <c r="F120" t="s">
        <v>815</v>
      </c>
    </row>
    <row r="121" spans="1:6" x14ac:dyDescent="0.25">
      <c r="A121" t="s">
        <v>302</v>
      </c>
      <c r="B121">
        <v>120</v>
      </c>
      <c r="C121">
        <v>384</v>
      </c>
      <c r="D121">
        <v>-60</v>
      </c>
      <c r="E121">
        <v>698</v>
      </c>
      <c r="F121" t="s">
        <v>815</v>
      </c>
    </row>
    <row r="122" spans="1:6" x14ac:dyDescent="0.25">
      <c r="A122" t="s">
        <v>303</v>
      </c>
      <c r="B122">
        <v>121</v>
      </c>
      <c r="C122">
        <v>0</v>
      </c>
      <c r="D122">
        <v>-120</v>
      </c>
      <c r="E122">
        <v>698</v>
      </c>
      <c r="F122" t="s">
        <v>814</v>
      </c>
    </row>
    <row r="123" spans="1:6" x14ac:dyDescent="0.25">
      <c r="A123" t="s">
        <v>304</v>
      </c>
      <c r="B123">
        <v>122</v>
      </c>
      <c r="C123">
        <v>126</v>
      </c>
      <c r="D123">
        <v>-120</v>
      </c>
      <c r="E123">
        <v>698</v>
      </c>
      <c r="F123" t="s">
        <v>814</v>
      </c>
    </row>
    <row r="124" spans="1:6" x14ac:dyDescent="0.25">
      <c r="A124" t="s">
        <v>305</v>
      </c>
      <c r="B124">
        <v>123</v>
      </c>
      <c r="C124">
        <v>258</v>
      </c>
      <c r="D124">
        <v>-120</v>
      </c>
      <c r="E124">
        <v>698</v>
      </c>
      <c r="F124" t="s">
        <v>814</v>
      </c>
    </row>
    <row r="125" spans="1:6" x14ac:dyDescent="0.25">
      <c r="A125" t="s">
        <v>306</v>
      </c>
      <c r="B125">
        <v>124</v>
      </c>
      <c r="C125">
        <v>384</v>
      </c>
      <c r="D125">
        <v>-120</v>
      </c>
      <c r="E125">
        <v>698</v>
      </c>
      <c r="F125" t="s">
        <v>814</v>
      </c>
    </row>
    <row r="126" spans="1:6" x14ac:dyDescent="0.25">
      <c r="A126" t="s">
        <v>307</v>
      </c>
      <c r="B126">
        <v>125</v>
      </c>
      <c r="C126">
        <v>126</v>
      </c>
      <c r="D126">
        <v>-216</v>
      </c>
      <c r="E126">
        <v>698</v>
      </c>
      <c r="F126" t="s">
        <v>814</v>
      </c>
    </row>
    <row r="127" spans="1:6" x14ac:dyDescent="0.25">
      <c r="A127" t="s">
        <v>308</v>
      </c>
      <c r="B127">
        <v>126</v>
      </c>
      <c r="C127">
        <v>258</v>
      </c>
      <c r="D127">
        <v>-216</v>
      </c>
      <c r="E127">
        <v>698</v>
      </c>
      <c r="F127" t="s">
        <v>814</v>
      </c>
    </row>
    <row r="128" spans="1:6" x14ac:dyDescent="0.25">
      <c r="A128" t="s">
        <v>309</v>
      </c>
      <c r="B128">
        <v>127</v>
      </c>
      <c r="C128">
        <v>192</v>
      </c>
      <c r="D128">
        <v>-216</v>
      </c>
      <c r="E128">
        <v>698</v>
      </c>
      <c r="F128" t="s">
        <v>815</v>
      </c>
    </row>
    <row r="129" spans="1:6" x14ac:dyDescent="0.25">
      <c r="A129" t="s">
        <v>310</v>
      </c>
      <c r="B129">
        <v>128</v>
      </c>
      <c r="C129">
        <v>126</v>
      </c>
      <c r="D129">
        <v>-241.625</v>
      </c>
      <c r="E129">
        <v>698</v>
      </c>
      <c r="F129" t="s">
        <v>798</v>
      </c>
    </row>
    <row r="130" spans="1:6" x14ac:dyDescent="0.25">
      <c r="A130" t="s">
        <v>311</v>
      </c>
      <c r="B130">
        <v>129</v>
      </c>
      <c r="C130">
        <v>258</v>
      </c>
      <c r="D130">
        <v>-241.625</v>
      </c>
      <c r="E130">
        <v>698</v>
      </c>
      <c r="F130" t="s">
        <v>798</v>
      </c>
    </row>
    <row r="131" spans="1:6" x14ac:dyDescent="0.25">
      <c r="A131" t="s">
        <v>312</v>
      </c>
      <c r="B131">
        <v>130</v>
      </c>
      <c r="C131">
        <v>0</v>
      </c>
      <c r="D131">
        <v>-270</v>
      </c>
      <c r="E131">
        <v>698</v>
      </c>
      <c r="F131" t="s">
        <v>814</v>
      </c>
    </row>
    <row r="132" spans="1:6" x14ac:dyDescent="0.25">
      <c r="A132" t="s">
        <v>313</v>
      </c>
      <c r="B132">
        <v>131</v>
      </c>
      <c r="C132">
        <v>126</v>
      </c>
      <c r="D132">
        <v>-270</v>
      </c>
      <c r="E132">
        <v>698</v>
      </c>
      <c r="F132" t="s">
        <v>814</v>
      </c>
    </row>
    <row r="133" spans="1:6" x14ac:dyDescent="0.25">
      <c r="A133" t="s">
        <v>314</v>
      </c>
      <c r="B133">
        <v>132</v>
      </c>
      <c r="C133">
        <v>258</v>
      </c>
      <c r="D133">
        <v>-270</v>
      </c>
      <c r="E133">
        <v>698</v>
      </c>
      <c r="F133" t="s">
        <v>814</v>
      </c>
    </row>
    <row r="134" spans="1:6" x14ac:dyDescent="0.25">
      <c r="A134" t="s">
        <v>315</v>
      </c>
      <c r="B134">
        <v>133</v>
      </c>
      <c r="C134">
        <v>384</v>
      </c>
      <c r="D134">
        <v>-270</v>
      </c>
      <c r="E134">
        <v>698</v>
      </c>
      <c r="F134" t="s">
        <v>814</v>
      </c>
    </row>
    <row r="135" spans="1:6" x14ac:dyDescent="0.25">
      <c r="A135" t="s">
        <v>316</v>
      </c>
      <c r="B135">
        <v>134</v>
      </c>
      <c r="C135">
        <v>191.6</v>
      </c>
      <c r="D135">
        <v>-120.9</v>
      </c>
      <c r="E135">
        <v>830</v>
      </c>
      <c r="F135" t="s">
        <v>793</v>
      </c>
    </row>
    <row r="136" spans="1:6" x14ac:dyDescent="0.25">
      <c r="A136" t="s">
        <v>317</v>
      </c>
      <c r="B136">
        <v>135</v>
      </c>
      <c r="C136">
        <v>0</v>
      </c>
      <c r="D136">
        <v>0</v>
      </c>
      <c r="E136">
        <v>830</v>
      </c>
      <c r="F136" t="s">
        <v>816</v>
      </c>
    </row>
    <row r="137" spans="1:6" x14ac:dyDescent="0.25">
      <c r="A137" t="s">
        <v>318</v>
      </c>
      <c r="B137">
        <v>136</v>
      </c>
      <c r="C137">
        <v>126</v>
      </c>
      <c r="D137">
        <v>0</v>
      </c>
      <c r="E137">
        <v>830</v>
      </c>
      <c r="F137" t="s">
        <v>816</v>
      </c>
    </row>
    <row r="138" spans="1:6" x14ac:dyDescent="0.25">
      <c r="A138" t="s">
        <v>319</v>
      </c>
      <c r="B138">
        <v>137</v>
      </c>
      <c r="C138">
        <v>258</v>
      </c>
      <c r="D138">
        <v>0</v>
      </c>
      <c r="E138">
        <v>830</v>
      </c>
      <c r="F138" t="s">
        <v>816</v>
      </c>
    </row>
    <row r="139" spans="1:6" x14ac:dyDescent="0.25">
      <c r="A139" t="s">
        <v>320</v>
      </c>
      <c r="B139">
        <v>138</v>
      </c>
      <c r="C139">
        <v>384</v>
      </c>
      <c r="D139">
        <v>0</v>
      </c>
      <c r="E139">
        <v>830</v>
      </c>
      <c r="F139" t="s">
        <v>816</v>
      </c>
    </row>
    <row r="140" spans="1:6" x14ac:dyDescent="0.25">
      <c r="A140" t="s">
        <v>321</v>
      </c>
      <c r="B140">
        <v>139</v>
      </c>
      <c r="C140">
        <v>192</v>
      </c>
      <c r="D140">
        <v>0</v>
      </c>
      <c r="E140">
        <v>830</v>
      </c>
      <c r="F140" t="s">
        <v>817</v>
      </c>
    </row>
    <row r="141" spans="1:6" x14ac:dyDescent="0.25">
      <c r="A141" t="s">
        <v>322</v>
      </c>
      <c r="B141">
        <v>140</v>
      </c>
      <c r="C141">
        <v>126</v>
      </c>
      <c r="D141">
        <v>-25.625</v>
      </c>
      <c r="E141">
        <v>830</v>
      </c>
      <c r="F141" t="s">
        <v>799</v>
      </c>
    </row>
    <row r="142" spans="1:6" x14ac:dyDescent="0.25">
      <c r="A142" t="s">
        <v>323</v>
      </c>
      <c r="B142">
        <v>141</v>
      </c>
      <c r="C142">
        <v>258</v>
      </c>
      <c r="D142">
        <v>-25.625</v>
      </c>
      <c r="E142">
        <v>830</v>
      </c>
      <c r="F142" t="s">
        <v>799</v>
      </c>
    </row>
    <row r="143" spans="1:6" x14ac:dyDescent="0.25">
      <c r="A143" t="s">
        <v>324</v>
      </c>
      <c r="B143">
        <v>142</v>
      </c>
      <c r="C143">
        <v>0</v>
      </c>
      <c r="D143">
        <v>-60</v>
      </c>
      <c r="E143">
        <v>830</v>
      </c>
      <c r="F143" t="s">
        <v>817</v>
      </c>
    </row>
    <row r="144" spans="1:6" x14ac:dyDescent="0.25">
      <c r="A144" t="s">
        <v>325</v>
      </c>
      <c r="B144">
        <v>143</v>
      </c>
      <c r="C144">
        <v>384</v>
      </c>
      <c r="D144">
        <v>-60</v>
      </c>
      <c r="E144">
        <v>830</v>
      </c>
      <c r="F144" t="s">
        <v>817</v>
      </c>
    </row>
    <row r="145" spans="1:6" x14ac:dyDescent="0.25">
      <c r="A145" t="s">
        <v>326</v>
      </c>
      <c r="B145">
        <v>144</v>
      </c>
      <c r="C145">
        <v>0</v>
      </c>
      <c r="D145">
        <v>-120</v>
      </c>
      <c r="E145">
        <v>830</v>
      </c>
      <c r="F145" t="s">
        <v>816</v>
      </c>
    </row>
    <row r="146" spans="1:6" x14ac:dyDescent="0.25">
      <c r="A146" t="s">
        <v>327</v>
      </c>
      <c r="B146">
        <v>145</v>
      </c>
      <c r="C146">
        <v>126</v>
      </c>
      <c r="D146">
        <v>-120</v>
      </c>
      <c r="E146">
        <v>830</v>
      </c>
      <c r="F146" t="s">
        <v>816</v>
      </c>
    </row>
    <row r="147" spans="1:6" x14ac:dyDescent="0.25">
      <c r="A147" t="s">
        <v>328</v>
      </c>
      <c r="B147">
        <v>146</v>
      </c>
      <c r="C147">
        <v>258</v>
      </c>
      <c r="D147">
        <v>-120</v>
      </c>
      <c r="E147">
        <v>830</v>
      </c>
      <c r="F147" t="s">
        <v>816</v>
      </c>
    </row>
    <row r="148" spans="1:6" x14ac:dyDescent="0.25">
      <c r="A148" t="s">
        <v>329</v>
      </c>
      <c r="B148">
        <v>147</v>
      </c>
      <c r="C148">
        <v>384</v>
      </c>
      <c r="D148">
        <v>-120</v>
      </c>
      <c r="E148">
        <v>830</v>
      </c>
      <c r="F148" t="s">
        <v>816</v>
      </c>
    </row>
    <row r="149" spans="1:6" x14ac:dyDescent="0.25">
      <c r="A149" t="s">
        <v>330</v>
      </c>
      <c r="B149">
        <v>148</v>
      </c>
      <c r="C149">
        <v>126</v>
      </c>
      <c r="D149">
        <v>-216</v>
      </c>
      <c r="E149">
        <v>830</v>
      </c>
      <c r="F149" t="s">
        <v>816</v>
      </c>
    </row>
    <row r="150" spans="1:6" x14ac:dyDescent="0.25">
      <c r="A150" t="s">
        <v>331</v>
      </c>
      <c r="B150">
        <v>149</v>
      </c>
      <c r="C150">
        <v>258</v>
      </c>
      <c r="D150">
        <v>-216</v>
      </c>
      <c r="E150">
        <v>830</v>
      </c>
      <c r="F150" t="s">
        <v>816</v>
      </c>
    </row>
    <row r="151" spans="1:6" x14ac:dyDescent="0.25">
      <c r="A151" t="s">
        <v>332</v>
      </c>
      <c r="B151">
        <v>150</v>
      </c>
      <c r="C151">
        <v>192</v>
      </c>
      <c r="D151">
        <v>-216</v>
      </c>
      <c r="E151">
        <v>830</v>
      </c>
      <c r="F151" t="s">
        <v>817</v>
      </c>
    </row>
    <row r="152" spans="1:6" x14ac:dyDescent="0.25">
      <c r="A152" t="s">
        <v>333</v>
      </c>
      <c r="B152">
        <v>151</v>
      </c>
      <c r="C152">
        <v>126</v>
      </c>
      <c r="D152">
        <v>-241.625</v>
      </c>
      <c r="E152">
        <v>830</v>
      </c>
      <c r="F152" t="s">
        <v>799</v>
      </c>
    </row>
    <row r="153" spans="1:6" x14ac:dyDescent="0.25">
      <c r="A153" t="s">
        <v>334</v>
      </c>
      <c r="B153">
        <v>152</v>
      </c>
      <c r="C153">
        <v>258</v>
      </c>
      <c r="D153">
        <v>-241.625</v>
      </c>
      <c r="E153">
        <v>830</v>
      </c>
      <c r="F153" t="s">
        <v>799</v>
      </c>
    </row>
    <row r="154" spans="1:6" x14ac:dyDescent="0.25">
      <c r="A154" t="s">
        <v>335</v>
      </c>
      <c r="B154">
        <v>153</v>
      </c>
      <c r="C154">
        <v>0</v>
      </c>
      <c r="D154">
        <v>-270</v>
      </c>
      <c r="E154">
        <v>830</v>
      </c>
      <c r="F154" t="s">
        <v>816</v>
      </c>
    </row>
    <row r="155" spans="1:6" x14ac:dyDescent="0.25">
      <c r="A155" t="s">
        <v>336</v>
      </c>
      <c r="B155">
        <v>154</v>
      </c>
      <c r="C155">
        <v>126</v>
      </c>
      <c r="D155">
        <v>-270</v>
      </c>
      <c r="E155">
        <v>830</v>
      </c>
      <c r="F155" t="s">
        <v>816</v>
      </c>
    </row>
    <row r="156" spans="1:6" x14ac:dyDescent="0.25">
      <c r="A156" t="s">
        <v>337</v>
      </c>
      <c r="B156">
        <v>155</v>
      </c>
      <c r="C156">
        <v>258</v>
      </c>
      <c r="D156">
        <v>-270</v>
      </c>
      <c r="E156">
        <v>830</v>
      </c>
      <c r="F156" t="s">
        <v>816</v>
      </c>
    </row>
    <row r="157" spans="1:6" x14ac:dyDescent="0.25">
      <c r="A157" t="s">
        <v>338</v>
      </c>
      <c r="B157">
        <v>156</v>
      </c>
      <c r="C157">
        <v>384</v>
      </c>
      <c r="D157">
        <v>-270</v>
      </c>
      <c r="E157">
        <v>830</v>
      </c>
      <c r="F157" t="s">
        <v>816</v>
      </c>
    </row>
    <row r="158" spans="1:6" x14ac:dyDescent="0.25">
      <c r="A158" t="s">
        <v>339</v>
      </c>
      <c r="B158">
        <v>157</v>
      </c>
      <c r="C158">
        <v>192.3</v>
      </c>
      <c r="D158">
        <v>-122.1</v>
      </c>
      <c r="E158">
        <v>962</v>
      </c>
      <c r="F158" t="s">
        <v>793</v>
      </c>
    </row>
    <row r="159" spans="1:6" x14ac:dyDescent="0.25">
      <c r="A159" t="s">
        <v>340</v>
      </c>
      <c r="B159">
        <v>158</v>
      </c>
      <c r="C159">
        <v>0</v>
      </c>
      <c r="D159">
        <v>0</v>
      </c>
      <c r="E159">
        <v>962</v>
      </c>
      <c r="F159" t="s">
        <v>818</v>
      </c>
    </row>
    <row r="160" spans="1:6" x14ac:dyDescent="0.25">
      <c r="A160" t="s">
        <v>341</v>
      </c>
      <c r="B160">
        <v>159</v>
      </c>
      <c r="C160">
        <v>126</v>
      </c>
      <c r="D160">
        <v>0</v>
      </c>
      <c r="E160">
        <v>962</v>
      </c>
      <c r="F160" t="s">
        <v>818</v>
      </c>
    </row>
    <row r="161" spans="1:6" x14ac:dyDescent="0.25">
      <c r="A161" t="s">
        <v>342</v>
      </c>
      <c r="B161">
        <v>160</v>
      </c>
      <c r="C161">
        <v>258</v>
      </c>
      <c r="D161">
        <v>0</v>
      </c>
      <c r="E161">
        <v>962</v>
      </c>
      <c r="F161" t="s">
        <v>818</v>
      </c>
    </row>
    <row r="162" spans="1:6" x14ac:dyDescent="0.25">
      <c r="A162" t="s">
        <v>343</v>
      </c>
      <c r="B162">
        <v>161</v>
      </c>
      <c r="C162">
        <v>384</v>
      </c>
      <c r="D162">
        <v>0</v>
      </c>
      <c r="E162">
        <v>962</v>
      </c>
      <c r="F162" t="s">
        <v>818</v>
      </c>
    </row>
    <row r="163" spans="1:6" x14ac:dyDescent="0.25">
      <c r="A163" t="s">
        <v>344</v>
      </c>
      <c r="B163">
        <v>162</v>
      </c>
      <c r="C163">
        <v>192</v>
      </c>
      <c r="D163">
        <v>0</v>
      </c>
      <c r="E163">
        <v>962</v>
      </c>
      <c r="F163" t="s">
        <v>819</v>
      </c>
    </row>
    <row r="164" spans="1:6" x14ac:dyDescent="0.25">
      <c r="A164" t="s">
        <v>345</v>
      </c>
      <c r="B164">
        <v>163</v>
      </c>
      <c r="C164">
        <v>126</v>
      </c>
      <c r="D164">
        <v>-25.625</v>
      </c>
      <c r="E164">
        <v>962</v>
      </c>
      <c r="F164" t="s">
        <v>800</v>
      </c>
    </row>
    <row r="165" spans="1:6" x14ac:dyDescent="0.25">
      <c r="A165" t="s">
        <v>346</v>
      </c>
      <c r="B165">
        <v>164</v>
      </c>
      <c r="C165">
        <v>258</v>
      </c>
      <c r="D165">
        <v>-25.625</v>
      </c>
      <c r="E165">
        <v>962</v>
      </c>
      <c r="F165" t="s">
        <v>800</v>
      </c>
    </row>
    <row r="166" spans="1:6" x14ac:dyDescent="0.25">
      <c r="A166" t="s">
        <v>347</v>
      </c>
      <c r="B166">
        <v>165</v>
      </c>
      <c r="C166">
        <v>0</v>
      </c>
      <c r="D166">
        <v>-60</v>
      </c>
      <c r="E166">
        <v>962</v>
      </c>
      <c r="F166" t="s">
        <v>819</v>
      </c>
    </row>
    <row r="167" spans="1:6" x14ac:dyDescent="0.25">
      <c r="A167" t="s">
        <v>348</v>
      </c>
      <c r="B167">
        <v>166</v>
      </c>
      <c r="C167">
        <v>384</v>
      </c>
      <c r="D167">
        <v>-60</v>
      </c>
      <c r="E167">
        <v>962</v>
      </c>
      <c r="F167" t="s">
        <v>819</v>
      </c>
    </row>
    <row r="168" spans="1:6" x14ac:dyDescent="0.25">
      <c r="A168" t="s">
        <v>349</v>
      </c>
      <c r="B168">
        <v>167</v>
      </c>
      <c r="C168">
        <v>0</v>
      </c>
      <c r="D168">
        <v>-120</v>
      </c>
      <c r="E168">
        <v>962</v>
      </c>
      <c r="F168" t="s">
        <v>818</v>
      </c>
    </row>
    <row r="169" spans="1:6" x14ac:dyDescent="0.25">
      <c r="A169" t="s">
        <v>350</v>
      </c>
      <c r="B169">
        <v>168</v>
      </c>
      <c r="C169">
        <v>126</v>
      </c>
      <c r="D169">
        <v>-120</v>
      </c>
      <c r="E169">
        <v>962</v>
      </c>
      <c r="F169" t="s">
        <v>818</v>
      </c>
    </row>
    <row r="170" spans="1:6" x14ac:dyDescent="0.25">
      <c r="A170" t="s">
        <v>351</v>
      </c>
      <c r="B170">
        <v>169</v>
      </c>
      <c r="C170">
        <v>258</v>
      </c>
      <c r="D170">
        <v>-120</v>
      </c>
      <c r="E170">
        <v>962</v>
      </c>
      <c r="F170" t="s">
        <v>818</v>
      </c>
    </row>
    <row r="171" spans="1:6" x14ac:dyDescent="0.25">
      <c r="A171" t="s">
        <v>352</v>
      </c>
      <c r="B171">
        <v>170</v>
      </c>
      <c r="C171">
        <v>384</v>
      </c>
      <c r="D171">
        <v>-120</v>
      </c>
      <c r="E171">
        <v>962</v>
      </c>
      <c r="F171" t="s">
        <v>818</v>
      </c>
    </row>
    <row r="172" spans="1:6" x14ac:dyDescent="0.25">
      <c r="A172" t="s">
        <v>353</v>
      </c>
      <c r="B172">
        <v>171</v>
      </c>
      <c r="C172">
        <v>126</v>
      </c>
      <c r="D172">
        <v>-216</v>
      </c>
      <c r="E172">
        <v>962</v>
      </c>
      <c r="F172" t="s">
        <v>818</v>
      </c>
    </row>
    <row r="173" spans="1:6" x14ac:dyDescent="0.25">
      <c r="A173" t="s">
        <v>354</v>
      </c>
      <c r="B173">
        <v>172</v>
      </c>
      <c r="C173">
        <v>258</v>
      </c>
      <c r="D173">
        <v>-216</v>
      </c>
      <c r="E173">
        <v>962</v>
      </c>
      <c r="F173" t="s">
        <v>818</v>
      </c>
    </row>
    <row r="174" spans="1:6" x14ac:dyDescent="0.25">
      <c r="A174" t="s">
        <v>355</v>
      </c>
      <c r="B174">
        <v>173</v>
      </c>
      <c r="C174">
        <v>192</v>
      </c>
      <c r="D174">
        <v>-216</v>
      </c>
      <c r="E174">
        <v>962</v>
      </c>
      <c r="F174" t="s">
        <v>819</v>
      </c>
    </row>
    <row r="175" spans="1:6" x14ac:dyDescent="0.25">
      <c r="A175" t="s">
        <v>356</v>
      </c>
      <c r="B175">
        <v>174</v>
      </c>
      <c r="C175">
        <v>126</v>
      </c>
      <c r="D175">
        <v>-241.625</v>
      </c>
      <c r="E175">
        <v>962</v>
      </c>
      <c r="F175" t="s">
        <v>800</v>
      </c>
    </row>
    <row r="176" spans="1:6" x14ac:dyDescent="0.25">
      <c r="A176" t="s">
        <v>357</v>
      </c>
      <c r="B176">
        <v>175</v>
      </c>
      <c r="C176">
        <v>258</v>
      </c>
      <c r="D176">
        <v>-241.625</v>
      </c>
      <c r="E176">
        <v>962</v>
      </c>
      <c r="F176" t="s">
        <v>800</v>
      </c>
    </row>
    <row r="177" spans="1:6" x14ac:dyDescent="0.25">
      <c r="A177" t="s">
        <v>358</v>
      </c>
      <c r="B177">
        <v>176</v>
      </c>
      <c r="C177">
        <v>0</v>
      </c>
      <c r="D177">
        <v>-270</v>
      </c>
      <c r="E177">
        <v>962</v>
      </c>
      <c r="F177" t="s">
        <v>818</v>
      </c>
    </row>
    <row r="178" spans="1:6" x14ac:dyDescent="0.25">
      <c r="A178" t="s">
        <v>359</v>
      </c>
      <c r="B178">
        <v>177</v>
      </c>
      <c r="C178">
        <v>126</v>
      </c>
      <c r="D178">
        <v>-270</v>
      </c>
      <c r="E178">
        <v>962</v>
      </c>
      <c r="F178" t="s">
        <v>818</v>
      </c>
    </row>
    <row r="179" spans="1:6" x14ac:dyDescent="0.25">
      <c r="A179" t="s">
        <v>360</v>
      </c>
      <c r="B179">
        <v>178</v>
      </c>
      <c r="C179">
        <v>258</v>
      </c>
      <c r="D179">
        <v>-270</v>
      </c>
      <c r="E179">
        <v>962</v>
      </c>
      <c r="F179" t="s">
        <v>818</v>
      </c>
    </row>
    <row r="180" spans="1:6" x14ac:dyDescent="0.25">
      <c r="A180" t="s">
        <v>361</v>
      </c>
      <c r="B180">
        <v>179</v>
      </c>
      <c r="C180">
        <v>384</v>
      </c>
      <c r="D180">
        <v>-270</v>
      </c>
      <c r="E180">
        <v>962</v>
      </c>
      <c r="F180" t="s">
        <v>818</v>
      </c>
    </row>
    <row r="181" spans="1:6" x14ac:dyDescent="0.25">
      <c r="A181" t="s">
        <v>362</v>
      </c>
      <c r="B181">
        <v>180</v>
      </c>
      <c r="C181">
        <v>192.3</v>
      </c>
      <c r="D181">
        <v>-120.9</v>
      </c>
      <c r="E181">
        <v>1094</v>
      </c>
      <c r="F181" t="s">
        <v>793</v>
      </c>
    </row>
    <row r="182" spans="1:6" x14ac:dyDescent="0.25">
      <c r="A182" t="s">
        <v>363</v>
      </c>
      <c r="B182">
        <v>181</v>
      </c>
      <c r="C182">
        <v>0</v>
      </c>
      <c r="D182">
        <v>0</v>
      </c>
      <c r="E182">
        <v>1094</v>
      </c>
      <c r="F182" t="s">
        <v>820</v>
      </c>
    </row>
    <row r="183" spans="1:6" x14ac:dyDescent="0.25">
      <c r="A183" t="s">
        <v>364</v>
      </c>
      <c r="B183">
        <v>182</v>
      </c>
      <c r="C183">
        <v>126</v>
      </c>
      <c r="D183">
        <v>0</v>
      </c>
      <c r="E183">
        <v>1094</v>
      </c>
      <c r="F183" t="s">
        <v>820</v>
      </c>
    </row>
    <row r="184" spans="1:6" x14ac:dyDescent="0.25">
      <c r="A184" t="s">
        <v>365</v>
      </c>
      <c r="B184">
        <v>183</v>
      </c>
      <c r="C184">
        <v>258</v>
      </c>
      <c r="D184">
        <v>0</v>
      </c>
      <c r="E184">
        <v>1094</v>
      </c>
      <c r="F184" t="s">
        <v>820</v>
      </c>
    </row>
    <row r="185" spans="1:6" x14ac:dyDescent="0.25">
      <c r="A185" t="s">
        <v>366</v>
      </c>
      <c r="B185">
        <v>184</v>
      </c>
      <c r="C185">
        <v>384</v>
      </c>
      <c r="D185">
        <v>0</v>
      </c>
      <c r="E185">
        <v>1094</v>
      </c>
      <c r="F185" t="s">
        <v>820</v>
      </c>
    </row>
    <row r="186" spans="1:6" x14ac:dyDescent="0.25">
      <c r="A186" t="s">
        <v>367</v>
      </c>
      <c r="B186">
        <v>185</v>
      </c>
      <c r="C186">
        <v>192</v>
      </c>
      <c r="D186">
        <v>0</v>
      </c>
      <c r="E186">
        <v>1094</v>
      </c>
      <c r="F186" t="s">
        <v>821</v>
      </c>
    </row>
    <row r="187" spans="1:6" x14ac:dyDescent="0.25">
      <c r="A187" t="s">
        <v>368</v>
      </c>
      <c r="B187">
        <v>186</v>
      </c>
      <c r="C187">
        <v>126</v>
      </c>
      <c r="D187">
        <v>-25.625</v>
      </c>
      <c r="E187">
        <v>1094</v>
      </c>
      <c r="F187" t="s">
        <v>801</v>
      </c>
    </row>
    <row r="188" spans="1:6" x14ac:dyDescent="0.25">
      <c r="A188" t="s">
        <v>369</v>
      </c>
      <c r="B188">
        <v>187</v>
      </c>
      <c r="C188">
        <v>258</v>
      </c>
      <c r="D188">
        <v>-25.625</v>
      </c>
      <c r="E188">
        <v>1094</v>
      </c>
      <c r="F188" t="s">
        <v>801</v>
      </c>
    </row>
    <row r="189" spans="1:6" x14ac:dyDescent="0.25">
      <c r="A189" t="s">
        <v>370</v>
      </c>
      <c r="B189">
        <v>188</v>
      </c>
      <c r="C189">
        <v>0</v>
      </c>
      <c r="D189">
        <v>-60</v>
      </c>
      <c r="E189">
        <v>1094</v>
      </c>
      <c r="F189" t="s">
        <v>821</v>
      </c>
    </row>
    <row r="190" spans="1:6" x14ac:dyDescent="0.25">
      <c r="A190" t="s">
        <v>371</v>
      </c>
      <c r="B190">
        <v>189</v>
      </c>
      <c r="C190">
        <v>384</v>
      </c>
      <c r="D190">
        <v>-60</v>
      </c>
      <c r="E190">
        <v>1094</v>
      </c>
      <c r="F190" t="s">
        <v>821</v>
      </c>
    </row>
    <row r="191" spans="1:6" x14ac:dyDescent="0.25">
      <c r="A191" t="s">
        <v>372</v>
      </c>
      <c r="B191">
        <v>190</v>
      </c>
      <c r="C191">
        <v>0</v>
      </c>
      <c r="D191">
        <v>-120</v>
      </c>
      <c r="E191">
        <v>1094</v>
      </c>
      <c r="F191" t="s">
        <v>820</v>
      </c>
    </row>
    <row r="192" spans="1:6" x14ac:dyDescent="0.25">
      <c r="A192" t="s">
        <v>373</v>
      </c>
      <c r="B192">
        <v>191</v>
      </c>
      <c r="C192">
        <v>126</v>
      </c>
      <c r="D192">
        <v>-120</v>
      </c>
      <c r="E192">
        <v>1094</v>
      </c>
      <c r="F192" t="s">
        <v>820</v>
      </c>
    </row>
    <row r="193" spans="1:6" x14ac:dyDescent="0.25">
      <c r="A193" t="s">
        <v>374</v>
      </c>
      <c r="B193">
        <v>192</v>
      </c>
      <c r="C193">
        <v>258</v>
      </c>
      <c r="D193">
        <v>-120</v>
      </c>
      <c r="E193">
        <v>1094</v>
      </c>
      <c r="F193" t="s">
        <v>820</v>
      </c>
    </row>
    <row r="194" spans="1:6" x14ac:dyDescent="0.25">
      <c r="A194" t="s">
        <v>375</v>
      </c>
      <c r="B194">
        <v>193</v>
      </c>
      <c r="C194">
        <v>384</v>
      </c>
      <c r="D194">
        <v>-120</v>
      </c>
      <c r="E194">
        <v>1094</v>
      </c>
      <c r="F194" t="s">
        <v>820</v>
      </c>
    </row>
    <row r="195" spans="1:6" x14ac:dyDescent="0.25">
      <c r="A195" t="s">
        <v>376</v>
      </c>
      <c r="B195">
        <v>194</v>
      </c>
      <c r="C195">
        <v>126</v>
      </c>
      <c r="D195">
        <v>-216</v>
      </c>
      <c r="E195">
        <v>1094</v>
      </c>
      <c r="F195" t="s">
        <v>820</v>
      </c>
    </row>
    <row r="196" spans="1:6" x14ac:dyDescent="0.25">
      <c r="A196" t="s">
        <v>377</v>
      </c>
      <c r="B196">
        <v>195</v>
      </c>
      <c r="C196">
        <v>258</v>
      </c>
      <c r="D196">
        <v>-216</v>
      </c>
      <c r="E196">
        <v>1094</v>
      </c>
      <c r="F196" t="s">
        <v>820</v>
      </c>
    </row>
    <row r="197" spans="1:6" x14ac:dyDescent="0.25">
      <c r="A197" t="s">
        <v>378</v>
      </c>
      <c r="B197">
        <v>196</v>
      </c>
      <c r="C197">
        <v>192</v>
      </c>
      <c r="D197">
        <v>-216</v>
      </c>
      <c r="E197">
        <v>1094</v>
      </c>
      <c r="F197" t="s">
        <v>821</v>
      </c>
    </row>
    <row r="198" spans="1:6" x14ac:dyDescent="0.25">
      <c r="A198" t="s">
        <v>379</v>
      </c>
      <c r="B198">
        <v>197</v>
      </c>
      <c r="C198">
        <v>126</v>
      </c>
      <c r="D198">
        <v>-241.625</v>
      </c>
      <c r="E198">
        <v>1094</v>
      </c>
      <c r="F198" t="s">
        <v>801</v>
      </c>
    </row>
    <row r="199" spans="1:6" x14ac:dyDescent="0.25">
      <c r="A199" t="s">
        <v>380</v>
      </c>
      <c r="B199">
        <v>198</v>
      </c>
      <c r="C199">
        <v>258</v>
      </c>
      <c r="D199">
        <v>-241.625</v>
      </c>
      <c r="E199">
        <v>1094</v>
      </c>
      <c r="F199" t="s">
        <v>801</v>
      </c>
    </row>
    <row r="200" spans="1:6" x14ac:dyDescent="0.25">
      <c r="A200" t="s">
        <v>381</v>
      </c>
      <c r="B200">
        <v>199</v>
      </c>
      <c r="C200">
        <v>0</v>
      </c>
      <c r="D200">
        <v>-270</v>
      </c>
      <c r="E200">
        <v>1094</v>
      </c>
      <c r="F200" t="s">
        <v>820</v>
      </c>
    </row>
    <row r="201" spans="1:6" x14ac:dyDescent="0.25">
      <c r="A201" t="s">
        <v>382</v>
      </c>
      <c r="B201">
        <v>200</v>
      </c>
      <c r="C201">
        <v>126</v>
      </c>
      <c r="D201">
        <v>-270</v>
      </c>
      <c r="E201">
        <v>1094</v>
      </c>
      <c r="F201" t="s">
        <v>820</v>
      </c>
    </row>
    <row r="202" spans="1:6" x14ac:dyDescent="0.25">
      <c r="A202" t="s">
        <v>383</v>
      </c>
      <c r="B202">
        <v>201</v>
      </c>
      <c r="C202">
        <v>258</v>
      </c>
      <c r="D202">
        <v>-270</v>
      </c>
      <c r="E202">
        <v>1094</v>
      </c>
      <c r="F202" t="s">
        <v>820</v>
      </c>
    </row>
    <row r="203" spans="1:6" x14ac:dyDescent="0.25">
      <c r="A203" t="s">
        <v>384</v>
      </c>
      <c r="B203">
        <v>202</v>
      </c>
      <c r="C203">
        <v>384</v>
      </c>
      <c r="D203">
        <v>-270</v>
      </c>
      <c r="E203">
        <v>1094</v>
      </c>
      <c r="F203" t="s">
        <v>820</v>
      </c>
    </row>
    <row r="204" spans="1:6" x14ac:dyDescent="0.25">
      <c r="A204" t="s">
        <v>385</v>
      </c>
      <c r="B204">
        <v>203</v>
      </c>
      <c r="C204">
        <v>192.3</v>
      </c>
      <c r="D204">
        <v>-122.3</v>
      </c>
      <c r="E204">
        <v>1226</v>
      </c>
      <c r="F204" t="s">
        <v>793</v>
      </c>
    </row>
    <row r="205" spans="1:6" x14ac:dyDescent="0.25">
      <c r="A205" t="s">
        <v>386</v>
      </c>
      <c r="B205">
        <v>204</v>
      </c>
      <c r="C205">
        <v>0</v>
      </c>
      <c r="D205">
        <v>0</v>
      </c>
      <c r="E205">
        <v>1226</v>
      </c>
      <c r="F205" t="s">
        <v>822</v>
      </c>
    </row>
    <row r="206" spans="1:6" x14ac:dyDescent="0.25">
      <c r="A206" t="s">
        <v>387</v>
      </c>
      <c r="B206">
        <v>205</v>
      </c>
      <c r="C206">
        <v>126</v>
      </c>
      <c r="D206">
        <v>0</v>
      </c>
      <c r="E206">
        <v>1226</v>
      </c>
      <c r="F206" t="s">
        <v>822</v>
      </c>
    </row>
    <row r="207" spans="1:6" x14ac:dyDescent="0.25">
      <c r="A207" t="s">
        <v>388</v>
      </c>
      <c r="B207">
        <v>206</v>
      </c>
      <c r="C207">
        <v>258</v>
      </c>
      <c r="D207">
        <v>0</v>
      </c>
      <c r="E207">
        <v>1226</v>
      </c>
      <c r="F207" t="s">
        <v>822</v>
      </c>
    </row>
    <row r="208" spans="1:6" x14ac:dyDescent="0.25">
      <c r="A208" t="s">
        <v>389</v>
      </c>
      <c r="B208">
        <v>207</v>
      </c>
      <c r="C208">
        <v>384</v>
      </c>
      <c r="D208">
        <v>0</v>
      </c>
      <c r="E208">
        <v>1226</v>
      </c>
      <c r="F208" t="s">
        <v>822</v>
      </c>
    </row>
    <row r="209" spans="1:6" x14ac:dyDescent="0.25">
      <c r="A209" t="s">
        <v>390</v>
      </c>
      <c r="B209">
        <v>208</v>
      </c>
      <c r="C209">
        <v>192</v>
      </c>
      <c r="D209">
        <v>0</v>
      </c>
      <c r="E209">
        <v>1226</v>
      </c>
      <c r="F209" t="s">
        <v>823</v>
      </c>
    </row>
    <row r="210" spans="1:6" x14ac:dyDescent="0.25">
      <c r="A210" t="s">
        <v>391</v>
      </c>
      <c r="B210">
        <v>209</v>
      </c>
      <c r="C210">
        <v>126</v>
      </c>
      <c r="D210">
        <v>-25.625</v>
      </c>
      <c r="E210">
        <v>1226</v>
      </c>
      <c r="F210" t="s">
        <v>802</v>
      </c>
    </row>
    <row r="211" spans="1:6" x14ac:dyDescent="0.25">
      <c r="A211" t="s">
        <v>392</v>
      </c>
      <c r="B211">
        <v>210</v>
      </c>
      <c r="C211">
        <v>258</v>
      </c>
      <c r="D211">
        <v>-25.625</v>
      </c>
      <c r="E211">
        <v>1226</v>
      </c>
      <c r="F211" t="s">
        <v>802</v>
      </c>
    </row>
    <row r="212" spans="1:6" x14ac:dyDescent="0.25">
      <c r="A212" t="s">
        <v>393</v>
      </c>
      <c r="B212">
        <v>211</v>
      </c>
      <c r="C212">
        <v>0</v>
      </c>
      <c r="D212">
        <v>-60</v>
      </c>
      <c r="E212">
        <v>1226</v>
      </c>
      <c r="F212" t="s">
        <v>823</v>
      </c>
    </row>
    <row r="213" spans="1:6" x14ac:dyDescent="0.25">
      <c r="A213" t="s">
        <v>394</v>
      </c>
      <c r="B213">
        <v>212</v>
      </c>
      <c r="C213">
        <v>384</v>
      </c>
      <c r="D213">
        <v>-60</v>
      </c>
      <c r="E213">
        <v>1226</v>
      </c>
      <c r="F213" t="s">
        <v>823</v>
      </c>
    </row>
    <row r="214" spans="1:6" x14ac:dyDescent="0.25">
      <c r="A214" t="s">
        <v>395</v>
      </c>
      <c r="B214">
        <v>213</v>
      </c>
      <c r="C214">
        <v>0</v>
      </c>
      <c r="D214">
        <v>-120</v>
      </c>
      <c r="E214">
        <v>1226</v>
      </c>
      <c r="F214" t="s">
        <v>822</v>
      </c>
    </row>
    <row r="215" spans="1:6" x14ac:dyDescent="0.25">
      <c r="A215" t="s">
        <v>396</v>
      </c>
      <c r="B215">
        <v>214</v>
      </c>
      <c r="C215">
        <v>126</v>
      </c>
      <c r="D215">
        <v>-120</v>
      </c>
      <c r="E215">
        <v>1226</v>
      </c>
      <c r="F215" t="s">
        <v>822</v>
      </c>
    </row>
    <row r="216" spans="1:6" x14ac:dyDescent="0.25">
      <c r="A216" t="s">
        <v>397</v>
      </c>
      <c r="B216">
        <v>215</v>
      </c>
      <c r="C216">
        <v>258</v>
      </c>
      <c r="D216">
        <v>-120</v>
      </c>
      <c r="E216">
        <v>1226</v>
      </c>
      <c r="F216" t="s">
        <v>822</v>
      </c>
    </row>
    <row r="217" spans="1:6" x14ac:dyDescent="0.25">
      <c r="A217" t="s">
        <v>398</v>
      </c>
      <c r="B217">
        <v>216</v>
      </c>
      <c r="C217">
        <v>384</v>
      </c>
      <c r="D217">
        <v>-120</v>
      </c>
      <c r="E217">
        <v>1226</v>
      </c>
      <c r="F217" t="s">
        <v>822</v>
      </c>
    </row>
    <row r="218" spans="1:6" x14ac:dyDescent="0.25">
      <c r="A218" t="s">
        <v>399</v>
      </c>
      <c r="B218">
        <v>217</v>
      </c>
      <c r="C218">
        <v>126</v>
      </c>
      <c r="D218">
        <v>-216</v>
      </c>
      <c r="E218">
        <v>1226</v>
      </c>
      <c r="F218" t="s">
        <v>822</v>
      </c>
    </row>
    <row r="219" spans="1:6" x14ac:dyDescent="0.25">
      <c r="A219" t="s">
        <v>400</v>
      </c>
      <c r="B219">
        <v>218</v>
      </c>
      <c r="C219">
        <v>258</v>
      </c>
      <c r="D219">
        <v>-216</v>
      </c>
      <c r="E219">
        <v>1226</v>
      </c>
      <c r="F219" t="s">
        <v>822</v>
      </c>
    </row>
    <row r="220" spans="1:6" x14ac:dyDescent="0.25">
      <c r="A220" t="s">
        <v>401</v>
      </c>
      <c r="B220">
        <v>219</v>
      </c>
      <c r="C220">
        <v>192</v>
      </c>
      <c r="D220">
        <v>-216</v>
      </c>
      <c r="E220">
        <v>1226</v>
      </c>
      <c r="F220" t="s">
        <v>823</v>
      </c>
    </row>
    <row r="221" spans="1:6" x14ac:dyDescent="0.25">
      <c r="A221" t="s">
        <v>402</v>
      </c>
      <c r="B221">
        <v>220</v>
      </c>
      <c r="C221">
        <v>126</v>
      </c>
      <c r="D221">
        <v>-241.625</v>
      </c>
      <c r="E221">
        <v>1226</v>
      </c>
      <c r="F221" t="s">
        <v>802</v>
      </c>
    </row>
    <row r="222" spans="1:6" x14ac:dyDescent="0.25">
      <c r="A222" t="s">
        <v>403</v>
      </c>
      <c r="B222">
        <v>221</v>
      </c>
      <c r="C222">
        <v>258</v>
      </c>
      <c r="D222">
        <v>-241.625</v>
      </c>
      <c r="E222">
        <v>1226</v>
      </c>
      <c r="F222" t="s">
        <v>802</v>
      </c>
    </row>
    <row r="223" spans="1:6" x14ac:dyDescent="0.25">
      <c r="A223" t="s">
        <v>404</v>
      </c>
      <c r="B223">
        <v>222</v>
      </c>
      <c r="C223">
        <v>0</v>
      </c>
      <c r="D223">
        <v>-270</v>
      </c>
      <c r="E223">
        <v>1226</v>
      </c>
      <c r="F223" t="s">
        <v>822</v>
      </c>
    </row>
    <row r="224" spans="1:6" x14ac:dyDescent="0.25">
      <c r="A224" t="s">
        <v>405</v>
      </c>
      <c r="B224">
        <v>223</v>
      </c>
      <c r="C224">
        <v>126</v>
      </c>
      <c r="D224">
        <v>-270</v>
      </c>
      <c r="E224">
        <v>1226</v>
      </c>
      <c r="F224" t="s">
        <v>822</v>
      </c>
    </row>
    <row r="225" spans="1:6" x14ac:dyDescent="0.25">
      <c r="A225" t="s">
        <v>406</v>
      </c>
      <c r="B225">
        <v>224</v>
      </c>
      <c r="C225">
        <v>258</v>
      </c>
      <c r="D225">
        <v>-270</v>
      </c>
      <c r="E225">
        <v>1226</v>
      </c>
      <c r="F225" t="s">
        <v>822</v>
      </c>
    </row>
    <row r="226" spans="1:6" x14ac:dyDescent="0.25">
      <c r="A226" t="s">
        <v>407</v>
      </c>
      <c r="B226">
        <v>225</v>
      </c>
      <c r="C226">
        <v>384</v>
      </c>
      <c r="D226">
        <v>-270</v>
      </c>
      <c r="E226">
        <v>1226</v>
      </c>
      <c r="F226" t="s">
        <v>822</v>
      </c>
    </row>
    <row r="227" spans="1:6" x14ac:dyDescent="0.25">
      <c r="A227" t="s">
        <v>408</v>
      </c>
      <c r="B227">
        <v>226</v>
      </c>
      <c r="C227">
        <v>192.2</v>
      </c>
      <c r="D227">
        <v>-123.4</v>
      </c>
      <c r="E227">
        <v>1358</v>
      </c>
      <c r="F227" t="s">
        <v>793</v>
      </c>
    </row>
    <row r="228" spans="1:6" x14ac:dyDescent="0.25">
      <c r="A228" t="s">
        <v>409</v>
      </c>
      <c r="B228">
        <v>227</v>
      </c>
      <c r="C228">
        <v>0</v>
      </c>
      <c r="D228">
        <v>0</v>
      </c>
      <c r="E228">
        <v>1358</v>
      </c>
      <c r="F228" t="s">
        <v>824</v>
      </c>
    </row>
    <row r="229" spans="1:6" x14ac:dyDescent="0.25">
      <c r="A229" t="s">
        <v>410</v>
      </c>
      <c r="B229">
        <v>228</v>
      </c>
      <c r="C229">
        <v>126</v>
      </c>
      <c r="D229">
        <v>0</v>
      </c>
      <c r="E229">
        <v>1358</v>
      </c>
      <c r="F229" t="s">
        <v>824</v>
      </c>
    </row>
    <row r="230" spans="1:6" x14ac:dyDescent="0.25">
      <c r="A230" t="s">
        <v>411</v>
      </c>
      <c r="B230">
        <v>229</v>
      </c>
      <c r="C230">
        <v>258</v>
      </c>
      <c r="D230">
        <v>0</v>
      </c>
      <c r="E230">
        <v>1358</v>
      </c>
      <c r="F230" t="s">
        <v>824</v>
      </c>
    </row>
    <row r="231" spans="1:6" x14ac:dyDescent="0.25">
      <c r="A231" t="s">
        <v>412</v>
      </c>
      <c r="B231">
        <v>230</v>
      </c>
      <c r="C231">
        <v>384</v>
      </c>
      <c r="D231">
        <v>0</v>
      </c>
      <c r="E231">
        <v>1358</v>
      </c>
      <c r="F231" t="s">
        <v>824</v>
      </c>
    </row>
    <row r="232" spans="1:6" x14ac:dyDescent="0.25">
      <c r="A232" t="s">
        <v>413</v>
      </c>
      <c r="B232">
        <v>231</v>
      </c>
      <c r="C232">
        <v>192</v>
      </c>
      <c r="D232">
        <v>0</v>
      </c>
      <c r="E232">
        <v>1358</v>
      </c>
      <c r="F232" t="s">
        <v>825</v>
      </c>
    </row>
    <row r="233" spans="1:6" x14ac:dyDescent="0.25">
      <c r="A233" t="s">
        <v>414</v>
      </c>
      <c r="B233">
        <v>232</v>
      </c>
      <c r="C233">
        <v>126</v>
      </c>
      <c r="D233">
        <v>-25.625</v>
      </c>
      <c r="E233">
        <v>1358</v>
      </c>
      <c r="F233" t="s">
        <v>803</v>
      </c>
    </row>
    <row r="234" spans="1:6" x14ac:dyDescent="0.25">
      <c r="A234" t="s">
        <v>415</v>
      </c>
      <c r="B234">
        <v>233</v>
      </c>
      <c r="C234">
        <v>258</v>
      </c>
      <c r="D234">
        <v>-25.625</v>
      </c>
      <c r="E234">
        <v>1358</v>
      </c>
      <c r="F234" t="s">
        <v>803</v>
      </c>
    </row>
    <row r="235" spans="1:6" x14ac:dyDescent="0.25">
      <c r="A235" t="s">
        <v>416</v>
      </c>
      <c r="B235">
        <v>234</v>
      </c>
      <c r="C235">
        <v>0</v>
      </c>
      <c r="D235">
        <v>-60</v>
      </c>
      <c r="E235">
        <v>1358</v>
      </c>
      <c r="F235" t="s">
        <v>825</v>
      </c>
    </row>
    <row r="236" spans="1:6" x14ac:dyDescent="0.25">
      <c r="A236" t="s">
        <v>417</v>
      </c>
      <c r="B236">
        <v>235</v>
      </c>
      <c r="C236">
        <v>384</v>
      </c>
      <c r="D236">
        <v>-60</v>
      </c>
      <c r="E236">
        <v>1358</v>
      </c>
      <c r="F236" t="s">
        <v>825</v>
      </c>
    </row>
    <row r="237" spans="1:6" x14ac:dyDescent="0.25">
      <c r="A237" t="s">
        <v>418</v>
      </c>
      <c r="B237">
        <v>236</v>
      </c>
      <c r="C237">
        <v>0</v>
      </c>
      <c r="D237">
        <v>-120</v>
      </c>
      <c r="E237">
        <v>1358</v>
      </c>
      <c r="F237" t="s">
        <v>824</v>
      </c>
    </row>
    <row r="238" spans="1:6" x14ac:dyDescent="0.25">
      <c r="A238" t="s">
        <v>419</v>
      </c>
      <c r="B238">
        <v>237</v>
      </c>
      <c r="C238">
        <v>126</v>
      </c>
      <c r="D238">
        <v>-120</v>
      </c>
      <c r="E238">
        <v>1358</v>
      </c>
      <c r="F238" t="s">
        <v>824</v>
      </c>
    </row>
    <row r="239" spans="1:6" x14ac:dyDescent="0.25">
      <c r="A239" t="s">
        <v>420</v>
      </c>
      <c r="B239">
        <v>238</v>
      </c>
      <c r="C239">
        <v>258</v>
      </c>
      <c r="D239">
        <v>-120</v>
      </c>
      <c r="E239">
        <v>1358</v>
      </c>
      <c r="F239" t="s">
        <v>824</v>
      </c>
    </row>
    <row r="240" spans="1:6" x14ac:dyDescent="0.25">
      <c r="A240" t="s">
        <v>421</v>
      </c>
      <c r="B240">
        <v>239</v>
      </c>
      <c r="C240">
        <v>384</v>
      </c>
      <c r="D240">
        <v>-120</v>
      </c>
      <c r="E240">
        <v>1358</v>
      </c>
      <c r="F240" t="s">
        <v>824</v>
      </c>
    </row>
    <row r="241" spans="1:6" x14ac:dyDescent="0.25">
      <c r="A241" t="s">
        <v>422</v>
      </c>
      <c r="B241">
        <v>240</v>
      </c>
      <c r="C241">
        <v>126</v>
      </c>
      <c r="D241">
        <v>-216</v>
      </c>
      <c r="E241">
        <v>1358</v>
      </c>
      <c r="F241" t="s">
        <v>824</v>
      </c>
    </row>
    <row r="242" spans="1:6" x14ac:dyDescent="0.25">
      <c r="A242" t="s">
        <v>423</v>
      </c>
      <c r="B242">
        <v>241</v>
      </c>
      <c r="C242">
        <v>258</v>
      </c>
      <c r="D242">
        <v>-216</v>
      </c>
      <c r="E242">
        <v>1358</v>
      </c>
      <c r="F242" t="s">
        <v>824</v>
      </c>
    </row>
    <row r="243" spans="1:6" x14ac:dyDescent="0.25">
      <c r="A243" t="s">
        <v>424</v>
      </c>
      <c r="B243">
        <v>242</v>
      </c>
      <c r="C243">
        <v>192</v>
      </c>
      <c r="D243">
        <v>-216</v>
      </c>
      <c r="E243">
        <v>1358</v>
      </c>
      <c r="F243" t="s">
        <v>825</v>
      </c>
    </row>
    <row r="244" spans="1:6" x14ac:dyDescent="0.25">
      <c r="A244" t="s">
        <v>425</v>
      </c>
      <c r="B244">
        <v>243</v>
      </c>
      <c r="C244">
        <v>126</v>
      </c>
      <c r="D244">
        <v>-241.625</v>
      </c>
      <c r="E244">
        <v>1358</v>
      </c>
      <c r="F244" t="s">
        <v>803</v>
      </c>
    </row>
    <row r="245" spans="1:6" x14ac:dyDescent="0.25">
      <c r="A245" t="s">
        <v>426</v>
      </c>
      <c r="B245">
        <v>244</v>
      </c>
      <c r="C245">
        <v>258</v>
      </c>
      <c r="D245">
        <v>-241.625</v>
      </c>
      <c r="E245">
        <v>1358</v>
      </c>
      <c r="F245" t="s">
        <v>803</v>
      </c>
    </row>
    <row r="246" spans="1:6" x14ac:dyDescent="0.25">
      <c r="A246" t="s">
        <v>427</v>
      </c>
      <c r="B246">
        <v>245</v>
      </c>
      <c r="C246">
        <v>0</v>
      </c>
      <c r="D246">
        <v>-270</v>
      </c>
      <c r="E246">
        <v>1358</v>
      </c>
      <c r="F246" t="s">
        <v>824</v>
      </c>
    </row>
    <row r="247" spans="1:6" x14ac:dyDescent="0.25">
      <c r="A247" t="s">
        <v>428</v>
      </c>
      <c r="B247">
        <v>246</v>
      </c>
      <c r="C247">
        <v>126</v>
      </c>
      <c r="D247">
        <v>-270</v>
      </c>
      <c r="E247">
        <v>1358</v>
      </c>
      <c r="F247" t="s">
        <v>824</v>
      </c>
    </row>
    <row r="248" spans="1:6" x14ac:dyDescent="0.25">
      <c r="A248" t="s">
        <v>429</v>
      </c>
      <c r="B248">
        <v>247</v>
      </c>
      <c r="C248">
        <v>258</v>
      </c>
      <c r="D248">
        <v>-270</v>
      </c>
      <c r="E248">
        <v>1358</v>
      </c>
      <c r="F248" t="s">
        <v>824</v>
      </c>
    </row>
    <row r="249" spans="1:6" x14ac:dyDescent="0.25">
      <c r="A249" t="s">
        <v>430</v>
      </c>
      <c r="B249">
        <v>248</v>
      </c>
      <c r="C249">
        <v>384</v>
      </c>
      <c r="D249">
        <v>-270</v>
      </c>
      <c r="E249">
        <v>1358</v>
      </c>
      <c r="F249" t="s">
        <v>824</v>
      </c>
    </row>
    <row r="250" spans="1:6" x14ac:dyDescent="0.25">
      <c r="A250" t="s">
        <v>1007</v>
      </c>
      <c r="B250">
        <v>249</v>
      </c>
      <c r="C250">
        <v>192</v>
      </c>
      <c r="D250">
        <v>0</v>
      </c>
      <c r="E250">
        <v>1388</v>
      </c>
      <c r="F250" t="s">
        <v>1014</v>
      </c>
    </row>
    <row r="251" spans="1:6" x14ac:dyDescent="0.25">
      <c r="A251" t="s">
        <v>1009</v>
      </c>
      <c r="B251">
        <v>250</v>
      </c>
      <c r="C251">
        <v>192</v>
      </c>
      <c r="D251">
        <v>-216</v>
      </c>
      <c r="E251">
        <v>1388</v>
      </c>
      <c r="F251" t="s">
        <v>1014</v>
      </c>
    </row>
    <row r="252" spans="1:6" x14ac:dyDescent="0.25">
      <c r="A252" t="s">
        <v>1011</v>
      </c>
      <c r="B252">
        <v>251</v>
      </c>
      <c r="C252">
        <v>0</v>
      </c>
      <c r="D252">
        <v>-60</v>
      </c>
      <c r="E252">
        <v>1388</v>
      </c>
      <c r="F252" t="s">
        <v>1014</v>
      </c>
    </row>
    <row r="253" spans="1:6" x14ac:dyDescent="0.25">
      <c r="A253" t="s">
        <v>1013</v>
      </c>
      <c r="B253">
        <v>252</v>
      </c>
      <c r="C253">
        <v>384</v>
      </c>
      <c r="D253">
        <v>-60</v>
      </c>
      <c r="E253">
        <v>1388</v>
      </c>
      <c r="F253" t="s">
        <v>1014</v>
      </c>
    </row>
    <row r="254" spans="1:6" x14ac:dyDescent="0.25">
      <c r="A254" t="s">
        <v>884</v>
      </c>
      <c r="B254">
        <v>253</v>
      </c>
      <c r="C254">
        <v>192</v>
      </c>
      <c r="D254">
        <v>0</v>
      </c>
      <c r="E254">
        <v>118.75</v>
      </c>
      <c r="F254" t="s">
        <v>885</v>
      </c>
    </row>
    <row r="255" spans="1:6" x14ac:dyDescent="0.25">
      <c r="A255" t="s">
        <v>886</v>
      </c>
      <c r="B255">
        <v>254</v>
      </c>
      <c r="C255">
        <v>126</v>
      </c>
      <c r="D255">
        <v>0</v>
      </c>
      <c r="E255">
        <v>118.75</v>
      </c>
      <c r="F255" t="s">
        <v>885</v>
      </c>
    </row>
    <row r="256" spans="1:6" x14ac:dyDescent="0.25">
      <c r="A256" t="s">
        <v>887</v>
      </c>
      <c r="B256">
        <v>255</v>
      </c>
      <c r="C256">
        <v>258</v>
      </c>
      <c r="D256">
        <v>0</v>
      </c>
      <c r="E256">
        <v>118.75</v>
      </c>
      <c r="F256" t="s">
        <v>885</v>
      </c>
    </row>
    <row r="257" spans="1:6" x14ac:dyDescent="0.25">
      <c r="A257" t="s">
        <v>1059</v>
      </c>
      <c r="B257">
        <v>256</v>
      </c>
      <c r="C257">
        <v>136.3125</v>
      </c>
      <c r="D257">
        <v>0</v>
      </c>
      <c r="E257">
        <v>118.75</v>
      </c>
      <c r="F257" t="s">
        <v>885</v>
      </c>
    </row>
    <row r="258" spans="1:6" x14ac:dyDescent="0.25">
      <c r="A258" t="s">
        <v>1060</v>
      </c>
      <c r="B258">
        <v>257</v>
      </c>
      <c r="C258">
        <v>136.3125</v>
      </c>
      <c r="D258">
        <v>0</v>
      </c>
      <c r="E258">
        <v>118.75</v>
      </c>
      <c r="F258" t="s">
        <v>885</v>
      </c>
    </row>
    <row r="259" spans="1:6" x14ac:dyDescent="0.25">
      <c r="A259" t="s">
        <v>1064</v>
      </c>
      <c r="B259">
        <v>258</v>
      </c>
      <c r="C259">
        <v>247.6875</v>
      </c>
      <c r="D259">
        <v>0</v>
      </c>
      <c r="E259">
        <v>118.75</v>
      </c>
      <c r="F259" t="s">
        <v>885</v>
      </c>
    </row>
    <row r="260" spans="1:6" x14ac:dyDescent="0.25">
      <c r="A260" t="s">
        <v>1065</v>
      </c>
      <c r="B260">
        <v>259</v>
      </c>
      <c r="C260">
        <v>247.6875</v>
      </c>
      <c r="D260">
        <v>0</v>
      </c>
      <c r="E260">
        <v>118.75</v>
      </c>
      <c r="F260" t="s">
        <v>885</v>
      </c>
    </row>
    <row r="261" spans="1:6" x14ac:dyDescent="0.25">
      <c r="A261" t="s">
        <v>888</v>
      </c>
      <c r="B261">
        <v>260</v>
      </c>
      <c r="C261">
        <v>192</v>
      </c>
      <c r="D261">
        <v>0</v>
      </c>
      <c r="E261">
        <v>250.75</v>
      </c>
      <c r="F261" t="s">
        <v>885</v>
      </c>
    </row>
    <row r="262" spans="1:6" x14ac:dyDescent="0.25">
      <c r="A262" t="s">
        <v>889</v>
      </c>
      <c r="B262">
        <v>261</v>
      </c>
      <c r="C262">
        <v>126</v>
      </c>
      <c r="D262">
        <v>0</v>
      </c>
      <c r="E262">
        <v>250.75</v>
      </c>
      <c r="F262" t="s">
        <v>885</v>
      </c>
    </row>
    <row r="263" spans="1:6" x14ac:dyDescent="0.25">
      <c r="A263" t="s">
        <v>890</v>
      </c>
      <c r="B263">
        <v>262</v>
      </c>
      <c r="C263">
        <v>258</v>
      </c>
      <c r="D263">
        <v>0</v>
      </c>
      <c r="E263">
        <v>250.75</v>
      </c>
      <c r="F263" t="s">
        <v>885</v>
      </c>
    </row>
    <row r="264" spans="1:6" x14ac:dyDescent="0.25">
      <c r="A264" t="s">
        <v>1069</v>
      </c>
      <c r="B264">
        <v>263</v>
      </c>
      <c r="C264">
        <v>136.3125</v>
      </c>
      <c r="D264">
        <v>0</v>
      </c>
      <c r="E264">
        <v>250.75</v>
      </c>
      <c r="F264" t="s">
        <v>885</v>
      </c>
    </row>
    <row r="265" spans="1:6" x14ac:dyDescent="0.25">
      <c r="A265" t="s">
        <v>1070</v>
      </c>
      <c r="B265">
        <v>264</v>
      </c>
      <c r="C265">
        <v>136.3125</v>
      </c>
      <c r="D265">
        <v>0</v>
      </c>
      <c r="E265">
        <v>250.75</v>
      </c>
      <c r="F265" t="s">
        <v>885</v>
      </c>
    </row>
    <row r="266" spans="1:6" x14ac:dyDescent="0.25">
      <c r="A266" t="s">
        <v>1074</v>
      </c>
      <c r="B266">
        <v>265</v>
      </c>
      <c r="C266">
        <v>247.6875</v>
      </c>
      <c r="D266">
        <v>0</v>
      </c>
      <c r="E266">
        <v>250.75</v>
      </c>
      <c r="F266" t="s">
        <v>885</v>
      </c>
    </row>
    <row r="267" spans="1:6" x14ac:dyDescent="0.25">
      <c r="A267" t="s">
        <v>1075</v>
      </c>
      <c r="B267">
        <v>266</v>
      </c>
      <c r="C267">
        <v>247.6875</v>
      </c>
      <c r="D267">
        <v>0</v>
      </c>
      <c r="E267">
        <v>250.75</v>
      </c>
      <c r="F267" t="s">
        <v>885</v>
      </c>
    </row>
    <row r="268" spans="1:6" x14ac:dyDescent="0.25">
      <c r="A268" t="s">
        <v>891</v>
      </c>
      <c r="B268">
        <v>267</v>
      </c>
      <c r="C268">
        <v>192</v>
      </c>
      <c r="D268">
        <v>0</v>
      </c>
      <c r="E268">
        <v>382.75</v>
      </c>
      <c r="F268" t="s">
        <v>885</v>
      </c>
    </row>
    <row r="269" spans="1:6" x14ac:dyDescent="0.25">
      <c r="A269" t="s">
        <v>892</v>
      </c>
      <c r="B269">
        <v>268</v>
      </c>
      <c r="C269">
        <v>126</v>
      </c>
      <c r="D269">
        <v>0</v>
      </c>
      <c r="E269">
        <v>382.75</v>
      </c>
      <c r="F269" t="s">
        <v>885</v>
      </c>
    </row>
    <row r="270" spans="1:6" x14ac:dyDescent="0.25">
      <c r="A270" t="s">
        <v>893</v>
      </c>
      <c r="B270">
        <v>269</v>
      </c>
      <c r="C270">
        <v>258</v>
      </c>
      <c r="D270">
        <v>0</v>
      </c>
      <c r="E270">
        <v>382.75</v>
      </c>
      <c r="F270" t="s">
        <v>885</v>
      </c>
    </row>
    <row r="271" spans="1:6" x14ac:dyDescent="0.25">
      <c r="A271" t="s">
        <v>1079</v>
      </c>
      <c r="B271">
        <v>270</v>
      </c>
      <c r="C271">
        <v>136.3125</v>
      </c>
      <c r="D271">
        <v>0</v>
      </c>
      <c r="E271">
        <v>382.75</v>
      </c>
      <c r="F271" t="s">
        <v>885</v>
      </c>
    </row>
    <row r="272" spans="1:6" x14ac:dyDescent="0.25">
      <c r="A272" t="s">
        <v>1080</v>
      </c>
      <c r="B272">
        <v>271</v>
      </c>
      <c r="C272">
        <v>136.3125</v>
      </c>
      <c r="D272">
        <v>0</v>
      </c>
      <c r="E272">
        <v>382.75</v>
      </c>
      <c r="F272" t="s">
        <v>885</v>
      </c>
    </row>
    <row r="273" spans="1:6" x14ac:dyDescent="0.25">
      <c r="A273" t="s">
        <v>1084</v>
      </c>
      <c r="B273">
        <v>272</v>
      </c>
      <c r="C273">
        <v>247.6875</v>
      </c>
      <c r="D273">
        <v>0</v>
      </c>
      <c r="E273">
        <v>382.75</v>
      </c>
      <c r="F273" t="s">
        <v>885</v>
      </c>
    </row>
    <row r="274" spans="1:6" x14ac:dyDescent="0.25">
      <c r="A274" t="s">
        <v>1085</v>
      </c>
      <c r="B274">
        <v>273</v>
      </c>
      <c r="C274">
        <v>247.6875</v>
      </c>
      <c r="D274">
        <v>0</v>
      </c>
      <c r="E274">
        <v>382.75</v>
      </c>
      <c r="F274" t="s">
        <v>885</v>
      </c>
    </row>
    <row r="275" spans="1:6" x14ac:dyDescent="0.25">
      <c r="A275" t="s">
        <v>894</v>
      </c>
      <c r="B275">
        <v>274</v>
      </c>
      <c r="C275">
        <v>192</v>
      </c>
      <c r="D275">
        <v>0</v>
      </c>
      <c r="E275">
        <v>514.75</v>
      </c>
      <c r="F275" t="s">
        <v>885</v>
      </c>
    </row>
    <row r="276" spans="1:6" x14ac:dyDescent="0.25">
      <c r="A276" t="s">
        <v>895</v>
      </c>
      <c r="B276">
        <v>275</v>
      </c>
      <c r="C276">
        <v>126</v>
      </c>
      <c r="D276">
        <v>0</v>
      </c>
      <c r="E276">
        <v>514.75</v>
      </c>
      <c r="F276" t="s">
        <v>885</v>
      </c>
    </row>
    <row r="277" spans="1:6" x14ac:dyDescent="0.25">
      <c r="A277" t="s">
        <v>896</v>
      </c>
      <c r="B277">
        <v>276</v>
      </c>
      <c r="C277">
        <v>258</v>
      </c>
      <c r="D277">
        <v>0</v>
      </c>
      <c r="E277">
        <v>514.75</v>
      </c>
      <c r="F277" t="s">
        <v>885</v>
      </c>
    </row>
    <row r="278" spans="1:6" x14ac:dyDescent="0.25">
      <c r="A278" t="s">
        <v>1089</v>
      </c>
      <c r="B278">
        <v>277</v>
      </c>
      <c r="C278">
        <v>136.3125</v>
      </c>
      <c r="D278">
        <v>0</v>
      </c>
      <c r="E278">
        <v>514.75</v>
      </c>
      <c r="F278" t="s">
        <v>885</v>
      </c>
    </row>
    <row r="279" spans="1:6" x14ac:dyDescent="0.25">
      <c r="A279" t="s">
        <v>1090</v>
      </c>
      <c r="B279">
        <v>278</v>
      </c>
      <c r="C279">
        <v>136.3125</v>
      </c>
      <c r="D279">
        <v>0</v>
      </c>
      <c r="E279">
        <v>514.75</v>
      </c>
      <c r="F279" t="s">
        <v>885</v>
      </c>
    </row>
    <row r="280" spans="1:6" x14ac:dyDescent="0.25">
      <c r="A280" t="s">
        <v>1094</v>
      </c>
      <c r="B280">
        <v>279</v>
      </c>
      <c r="C280">
        <v>247.6875</v>
      </c>
      <c r="D280">
        <v>0</v>
      </c>
      <c r="E280">
        <v>514.75</v>
      </c>
      <c r="F280" t="s">
        <v>885</v>
      </c>
    </row>
    <row r="281" spans="1:6" x14ac:dyDescent="0.25">
      <c r="A281" t="s">
        <v>1095</v>
      </c>
      <c r="B281">
        <v>280</v>
      </c>
      <c r="C281">
        <v>247.6875</v>
      </c>
      <c r="D281">
        <v>0</v>
      </c>
      <c r="E281">
        <v>514.75</v>
      </c>
      <c r="F281" t="s">
        <v>885</v>
      </c>
    </row>
    <row r="282" spans="1:6" x14ac:dyDescent="0.25">
      <c r="A282" t="s">
        <v>897</v>
      </c>
      <c r="B282">
        <v>281</v>
      </c>
      <c r="C282">
        <v>192</v>
      </c>
      <c r="D282">
        <v>0</v>
      </c>
      <c r="E282">
        <v>646.75</v>
      </c>
      <c r="F282" t="s">
        <v>885</v>
      </c>
    </row>
    <row r="283" spans="1:6" x14ac:dyDescent="0.25">
      <c r="A283" t="s">
        <v>898</v>
      </c>
      <c r="B283">
        <v>282</v>
      </c>
      <c r="C283">
        <v>126</v>
      </c>
      <c r="D283">
        <v>0</v>
      </c>
      <c r="E283">
        <v>646.75</v>
      </c>
      <c r="F283" t="s">
        <v>885</v>
      </c>
    </row>
    <row r="284" spans="1:6" x14ac:dyDescent="0.25">
      <c r="A284" t="s">
        <v>899</v>
      </c>
      <c r="B284">
        <v>283</v>
      </c>
      <c r="C284">
        <v>258</v>
      </c>
      <c r="D284">
        <v>0</v>
      </c>
      <c r="E284">
        <v>646.75</v>
      </c>
      <c r="F284" t="s">
        <v>885</v>
      </c>
    </row>
    <row r="285" spans="1:6" x14ac:dyDescent="0.25">
      <c r="A285" t="s">
        <v>1099</v>
      </c>
      <c r="B285">
        <v>284</v>
      </c>
      <c r="C285">
        <v>136.3125</v>
      </c>
      <c r="D285">
        <v>0</v>
      </c>
      <c r="E285">
        <v>646.75</v>
      </c>
      <c r="F285" t="s">
        <v>885</v>
      </c>
    </row>
    <row r="286" spans="1:6" x14ac:dyDescent="0.25">
      <c r="A286" t="s">
        <v>1100</v>
      </c>
      <c r="B286">
        <v>285</v>
      </c>
      <c r="C286">
        <v>136.3125</v>
      </c>
      <c r="D286">
        <v>0</v>
      </c>
      <c r="E286">
        <v>646.75</v>
      </c>
      <c r="F286" t="s">
        <v>885</v>
      </c>
    </row>
    <row r="287" spans="1:6" x14ac:dyDescent="0.25">
      <c r="A287" t="s">
        <v>1104</v>
      </c>
      <c r="B287">
        <v>286</v>
      </c>
      <c r="C287">
        <v>247.6875</v>
      </c>
      <c r="D287">
        <v>0</v>
      </c>
      <c r="E287">
        <v>646.75</v>
      </c>
      <c r="F287" t="s">
        <v>885</v>
      </c>
    </row>
    <row r="288" spans="1:6" x14ac:dyDescent="0.25">
      <c r="A288" t="s">
        <v>1105</v>
      </c>
      <c r="B288">
        <v>287</v>
      </c>
      <c r="C288">
        <v>247.6875</v>
      </c>
      <c r="D288">
        <v>0</v>
      </c>
      <c r="E288">
        <v>646.75</v>
      </c>
      <c r="F288" t="s">
        <v>885</v>
      </c>
    </row>
    <row r="289" spans="1:6" x14ac:dyDescent="0.25">
      <c r="A289" t="s">
        <v>900</v>
      </c>
      <c r="B289">
        <v>288</v>
      </c>
      <c r="C289">
        <v>192</v>
      </c>
      <c r="D289">
        <v>0</v>
      </c>
      <c r="E289">
        <v>778.75</v>
      </c>
      <c r="F289" t="s">
        <v>885</v>
      </c>
    </row>
    <row r="290" spans="1:6" x14ac:dyDescent="0.25">
      <c r="A290" t="s">
        <v>901</v>
      </c>
      <c r="B290">
        <v>289</v>
      </c>
      <c r="C290">
        <v>126</v>
      </c>
      <c r="D290">
        <v>0</v>
      </c>
      <c r="E290">
        <v>778.75</v>
      </c>
      <c r="F290" t="s">
        <v>885</v>
      </c>
    </row>
    <row r="291" spans="1:6" x14ac:dyDescent="0.25">
      <c r="A291" t="s">
        <v>902</v>
      </c>
      <c r="B291">
        <v>290</v>
      </c>
      <c r="C291">
        <v>258</v>
      </c>
      <c r="D291">
        <v>0</v>
      </c>
      <c r="E291">
        <v>778.75</v>
      </c>
      <c r="F291" t="s">
        <v>885</v>
      </c>
    </row>
    <row r="292" spans="1:6" x14ac:dyDescent="0.25">
      <c r="A292" t="s">
        <v>1109</v>
      </c>
      <c r="B292">
        <v>291</v>
      </c>
      <c r="C292">
        <v>136.3125</v>
      </c>
      <c r="D292">
        <v>0</v>
      </c>
      <c r="E292">
        <v>778.75</v>
      </c>
      <c r="F292" t="s">
        <v>885</v>
      </c>
    </row>
    <row r="293" spans="1:6" x14ac:dyDescent="0.25">
      <c r="A293" t="s">
        <v>1110</v>
      </c>
      <c r="B293">
        <v>292</v>
      </c>
      <c r="C293">
        <v>136.3125</v>
      </c>
      <c r="D293">
        <v>0</v>
      </c>
      <c r="E293">
        <v>778.75</v>
      </c>
      <c r="F293" t="s">
        <v>885</v>
      </c>
    </row>
    <row r="294" spans="1:6" x14ac:dyDescent="0.25">
      <c r="A294" t="s">
        <v>1114</v>
      </c>
      <c r="B294">
        <v>293</v>
      </c>
      <c r="C294">
        <v>247.6875</v>
      </c>
      <c r="D294">
        <v>0</v>
      </c>
      <c r="E294">
        <v>778.75</v>
      </c>
      <c r="F294" t="s">
        <v>885</v>
      </c>
    </row>
    <row r="295" spans="1:6" x14ac:dyDescent="0.25">
      <c r="A295" t="s">
        <v>1115</v>
      </c>
      <c r="B295">
        <v>294</v>
      </c>
      <c r="C295">
        <v>247.6875</v>
      </c>
      <c r="D295">
        <v>0</v>
      </c>
      <c r="E295">
        <v>778.75</v>
      </c>
      <c r="F295" t="s">
        <v>885</v>
      </c>
    </row>
    <row r="296" spans="1:6" x14ac:dyDescent="0.25">
      <c r="A296" t="s">
        <v>903</v>
      </c>
      <c r="B296">
        <v>295</v>
      </c>
      <c r="C296">
        <v>192</v>
      </c>
      <c r="D296">
        <v>0</v>
      </c>
      <c r="E296">
        <v>910.75</v>
      </c>
      <c r="F296" t="s">
        <v>885</v>
      </c>
    </row>
    <row r="297" spans="1:6" x14ac:dyDescent="0.25">
      <c r="A297" t="s">
        <v>904</v>
      </c>
      <c r="B297">
        <v>296</v>
      </c>
      <c r="C297">
        <v>126</v>
      </c>
      <c r="D297">
        <v>0</v>
      </c>
      <c r="E297">
        <v>910.75</v>
      </c>
      <c r="F297" t="s">
        <v>885</v>
      </c>
    </row>
    <row r="298" spans="1:6" x14ac:dyDescent="0.25">
      <c r="A298" t="s">
        <v>905</v>
      </c>
      <c r="B298">
        <v>297</v>
      </c>
      <c r="C298">
        <v>258</v>
      </c>
      <c r="D298">
        <v>0</v>
      </c>
      <c r="E298">
        <v>910.75</v>
      </c>
      <c r="F298" t="s">
        <v>885</v>
      </c>
    </row>
    <row r="299" spans="1:6" x14ac:dyDescent="0.25">
      <c r="A299" t="s">
        <v>1119</v>
      </c>
      <c r="B299">
        <v>298</v>
      </c>
      <c r="C299">
        <v>136.3125</v>
      </c>
      <c r="D299">
        <v>0</v>
      </c>
      <c r="E299">
        <v>910.75</v>
      </c>
      <c r="F299" t="s">
        <v>885</v>
      </c>
    </row>
    <row r="300" spans="1:6" x14ac:dyDescent="0.25">
      <c r="A300" t="s">
        <v>1120</v>
      </c>
      <c r="B300">
        <v>299</v>
      </c>
      <c r="C300">
        <v>136.3125</v>
      </c>
      <c r="D300">
        <v>0</v>
      </c>
      <c r="E300">
        <v>910.75</v>
      </c>
      <c r="F300" t="s">
        <v>885</v>
      </c>
    </row>
    <row r="301" spans="1:6" x14ac:dyDescent="0.25">
      <c r="A301" t="s">
        <v>1124</v>
      </c>
      <c r="B301">
        <v>300</v>
      </c>
      <c r="C301">
        <v>247.6875</v>
      </c>
      <c r="D301">
        <v>0</v>
      </c>
      <c r="E301">
        <v>910.75</v>
      </c>
      <c r="F301" t="s">
        <v>885</v>
      </c>
    </row>
    <row r="302" spans="1:6" x14ac:dyDescent="0.25">
      <c r="A302" t="s">
        <v>1125</v>
      </c>
      <c r="B302">
        <v>301</v>
      </c>
      <c r="C302">
        <v>247.6875</v>
      </c>
      <c r="D302">
        <v>0</v>
      </c>
      <c r="E302">
        <v>910.75</v>
      </c>
      <c r="F302" t="s">
        <v>885</v>
      </c>
    </row>
    <row r="303" spans="1:6" x14ac:dyDescent="0.25">
      <c r="A303" t="s">
        <v>906</v>
      </c>
      <c r="B303">
        <v>302</v>
      </c>
      <c r="C303">
        <v>192</v>
      </c>
      <c r="D303">
        <v>0</v>
      </c>
      <c r="E303">
        <v>1024.75</v>
      </c>
      <c r="F303" t="s">
        <v>885</v>
      </c>
    </row>
    <row r="304" spans="1:6" x14ac:dyDescent="0.25">
      <c r="A304" t="s">
        <v>907</v>
      </c>
      <c r="B304">
        <v>303</v>
      </c>
      <c r="C304">
        <v>126</v>
      </c>
      <c r="D304">
        <v>0</v>
      </c>
      <c r="E304">
        <v>1024.75</v>
      </c>
      <c r="F304" t="s">
        <v>885</v>
      </c>
    </row>
    <row r="305" spans="1:6" x14ac:dyDescent="0.25">
      <c r="A305" t="s">
        <v>908</v>
      </c>
      <c r="B305">
        <v>304</v>
      </c>
      <c r="C305">
        <v>258</v>
      </c>
      <c r="D305">
        <v>0</v>
      </c>
      <c r="E305">
        <v>1024.75</v>
      </c>
      <c r="F305" t="s">
        <v>885</v>
      </c>
    </row>
    <row r="306" spans="1:6" x14ac:dyDescent="0.25">
      <c r="A306" t="s">
        <v>1129</v>
      </c>
      <c r="B306">
        <v>305</v>
      </c>
      <c r="C306">
        <v>136.3125</v>
      </c>
      <c r="D306">
        <v>0</v>
      </c>
      <c r="E306">
        <v>1024.75</v>
      </c>
      <c r="F306" t="s">
        <v>885</v>
      </c>
    </row>
    <row r="307" spans="1:6" x14ac:dyDescent="0.25">
      <c r="A307" t="s">
        <v>1130</v>
      </c>
      <c r="B307">
        <v>306</v>
      </c>
      <c r="C307">
        <v>136.3125</v>
      </c>
      <c r="D307">
        <v>0</v>
      </c>
      <c r="E307">
        <v>1024.75</v>
      </c>
      <c r="F307" t="s">
        <v>885</v>
      </c>
    </row>
    <row r="308" spans="1:6" x14ac:dyDescent="0.25">
      <c r="A308" t="s">
        <v>1134</v>
      </c>
      <c r="B308">
        <v>307</v>
      </c>
      <c r="C308">
        <v>247.6875</v>
      </c>
      <c r="D308">
        <v>0</v>
      </c>
      <c r="E308">
        <v>1024.75</v>
      </c>
      <c r="F308" t="s">
        <v>885</v>
      </c>
    </row>
    <row r="309" spans="1:6" x14ac:dyDescent="0.25">
      <c r="A309" t="s">
        <v>1135</v>
      </c>
      <c r="B309">
        <v>308</v>
      </c>
      <c r="C309">
        <v>247.6875</v>
      </c>
      <c r="D309">
        <v>0</v>
      </c>
      <c r="E309">
        <v>1024.75</v>
      </c>
      <c r="F309" t="s">
        <v>885</v>
      </c>
    </row>
    <row r="310" spans="1:6" x14ac:dyDescent="0.25">
      <c r="A310" t="s">
        <v>909</v>
      </c>
      <c r="B310">
        <v>309</v>
      </c>
      <c r="C310">
        <v>192</v>
      </c>
      <c r="D310">
        <v>0</v>
      </c>
      <c r="E310">
        <v>1156.75</v>
      </c>
      <c r="F310" t="s">
        <v>885</v>
      </c>
    </row>
    <row r="311" spans="1:6" x14ac:dyDescent="0.25">
      <c r="A311" t="s">
        <v>910</v>
      </c>
      <c r="B311">
        <v>310</v>
      </c>
      <c r="C311">
        <v>126</v>
      </c>
      <c r="D311">
        <v>0</v>
      </c>
      <c r="E311">
        <v>1156.75</v>
      </c>
      <c r="F311" t="s">
        <v>885</v>
      </c>
    </row>
    <row r="312" spans="1:6" x14ac:dyDescent="0.25">
      <c r="A312" t="s">
        <v>911</v>
      </c>
      <c r="B312">
        <v>311</v>
      </c>
      <c r="C312">
        <v>258</v>
      </c>
      <c r="D312">
        <v>0</v>
      </c>
      <c r="E312">
        <v>1156.75</v>
      </c>
      <c r="F312" t="s">
        <v>885</v>
      </c>
    </row>
    <row r="313" spans="1:6" x14ac:dyDescent="0.25">
      <c r="A313" t="s">
        <v>1139</v>
      </c>
      <c r="B313">
        <v>312</v>
      </c>
      <c r="C313">
        <v>136.3125</v>
      </c>
      <c r="D313">
        <v>0</v>
      </c>
      <c r="E313">
        <v>1156.75</v>
      </c>
      <c r="F313" t="s">
        <v>885</v>
      </c>
    </row>
    <row r="314" spans="1:6" x14ac:dyDescent="0.25">
      <c r="A314" t="s">
        <v>1140</v>
      </c>
      <c r="B314">
        <v>313</v>
      </c>
      <c r="C314">
        <v>136.3125</v>
      </c>
      <c r="D314">
        <v>0</v>
      </c>
      <c r="E314">
        <v>1156.75</v>
      </c>
      <c r="F314" t="s">
        <v>885</v>
      </c>
    </row>
    <row r="315" spans="1:6" x14ac:dyDescent="0.25">
      <c r="A315" t="s">
        <v>1144</v>
      </c>
      <c r="B315">
        <v>314</v>
      </c>
      <c r="C315">
        <v>247.6875</v>
      </c>
      <c r="D315">
        <v>0</v>
      </c>
      <c r="E315">
        <v>1156.75</v>
      </c>
      <c r="F315" t="s">
        <v>885</v>
      </c>
    </row>
    <row r="316" spans="1:6" x14ac:dyDescent="0.25">
      <c r="A316" t="s">
        <v>1145</v>
      </c>
      <c r="B316">
        <v>315</v>
      </c>
      <c r="C316">
        <v>247.6875</v>
      </c>
      <c r="D316">
        <v>0</v>
      </c>
      <c r="E316">
        <v>1156.75</v>
      </c>
      <c r="F316" t="s">
        <v>885</v>
      </c>
    </row>
    <row r="317" spans="1:6" x14ac:dyDescent="0.25">
      <c r="A317" t="s">
        <v>912</v>
      </c>
      <c r="B317">
        <v>316</v>
      </c>
      <c r="C317">
        <v>192</v>
      </c>
      <c r="D317">
        <v>0</v>
      </c>
      <c r="E317">
        <v>1288.75</v>
      </c>
      <c r="F317" t="s">
        <v>885</v>
      </c>
    </row>
    <row r="318" spans="1:6" x14ac:dyDescent="0.25">
      <c r="A318" t="s">
        <v>913</v>
      </c>
      <c r="B318">
        <v>317</v>
      </c>
      <c r="C318">
        <v>126</v>
      </c>
      <c r="D318">
        <v>0</v>
      </c>
      <c r="E318">
        <v>1288.75</v>
      </c>
      <c r="F318" t="s">
        <v>885</v>
      </c>
    </row>
    <row r="319" spans="1:6" x14ac:dyDescent="0.25">
      <c r="A319" t="s">
        <v>914</v>
      </c>
      <c r="B319">
        <v>318</v>
      </c>
      <c r="C319">
        <v>258</v>
      </c>
      <c r="D319">
        <v>0</v>
      </c>
      <c r="E319">
        <v>1288.75</v>
      </c>
      <c r="F319" t="s">
        <v>885</v>
      </c>
    </row>
    <row r="320" spans="1:6" x14ac:dyDescent="0.25">
      <c r="A320" t="s">
        <v>1149</v>
      </c>
      <c r="B320">
        <v>319</v>
      </c>
      <c r="C320">
        <v>136.3125</v>
      </c>
      <c r="D320">
        <v>0</v>
      </c>
      <c r="E320">
        <v>1288.75</v>
      </c>
      <c r="F320" t="s">
        <v>885</v>
      </c>
    </row>
    <row r="321" spans="1:6" x14ac:dyDescent="0.25">
      <c r="A321" t="s">
        <v>1150</v>
      </c>
      <c r="B321">
        <v>320</v>
      </c>
      <c r="C321">
        <v>136.3125</v>
      </c>
      <c r="D321">
        <v>0</v>
      </c>
      <c r="E321">
        <v>1288.75</v>
      </c>
      <c r="F321" t="s">
        <v>885</v>
      </c>
    </row>
    <row r="322" spans="1:6" x14ac:dyDescent="0.25">
      <c r="A322" t="s">
        <v>1154</v>
      </c>
      <c r="B322">
        <v>321</v>
      </c>
      <c r="C322">
        <v>247.6875</v>
      </c>
      <c r="D322">
        <v>0</v>
      </c>
      <c r="E322">
        <v>1288.75</v>
      </c>
      <c r="F322" t="s">
        <v>885</v>
      </c>
    </row>
    <row r="323" spans="1:6" x14ac:dyDescent="0.25">
      <c r="A323" t="s">
        <v>1155</v>
      </c>
      <c r="B323">
        <v>322</v>
      </c>
      <c r="C323">
        <v>247.6875</v>
      </c>
      <c r="D323">
        <v>0</v>
      </c>
      <c r="E323">
        <v>1288.75</v>
      </c>
      <c r="F323" t="s">
        <v>885</v>
      </c>
    </row>
    <row r="324" spans="1:6" x14ac:dyDescent="0.25">
      <c r="A324" t="s">
        <v>915</v>
      </c>
      <c r="B324">
        <v>323</v>
      </c>
      <c r="C324">
        <v>192</v>
      </c>
      <c r="D324">
        <v>-216</v>
      </c>
      <c r="E324">
        <v>118.75</v>
      </c>
      <c r="F324" t="s">
        <v>885</v>
      </c>
    </row>
    <row r="325" spans="1:6" x14ac:dyDescent="0.25">
      <c r="A325" t="s">
        <v>916</v>
      </c>
      <c r="B325">
        <v>324</v>
      </c>
      <c r="C325">
        <v>126</v>
      </c>
      <c r="D325">
        <v>-216</v>
      </c>
      <c r="E325">
        <v>118.75</v>
      </c>
      <c r="F325" t="s">
        <v>885</v>
      </c>
    </row>
    <row r="326" spans="1:6" x14ac:dyDescent="0.25">
      <c r="A326" t="s">
        <v>917</v>
      </c>
      <c r="B326">
        <v>325</v>
      </c>
      <c r="C326">
        <v>258</v>
      </c>
      <c r="D326">
        <v>-216</v>
      </c>
      <c r="E326">
        <v>118.75</v>
      </c>
      <c r="F326" t="s">
        <v>885</v>
      </c>
    </row>
    <row r="327" spans="1:6" x14ac:dyDescent="0.25">
      <c r="A327" t="s">
        <v>1159</v>
      </c>
      <c r="B327">
        <v>326</v>
      </c>
      <c r="C327">
        <v>136.3125</v>
      </c>
      <c r="D327">
        <v>-216</v>
      </c>
      <c r="E327">
        <v>118.75</v>
      </c>
      <c r="F327" t="s">
        <v>885</v>
      </c>
    </row>
    <row r="328" spans="1:6" x14ac:dyDescent="0.25">
      <c r="A328" t="s">
        <v>1160</v>
      </c>
      <c r="B328">
        <v>327</v>
      </c>
      <c r="C328">
        <v>136.3125</v>
      </c>
      <c r="D328">
        <v>-216</v>
      </c>
      <c r="E328">
        <v>118.75</v>
      </c>
      <c r="F328" t="s">
        <v>885</v>
      </c>
    </row>
    <row r="329" spans="1:6" x14ac:dyDescent="0.25">
      <c r="A329" t="s">
        <v>1164</v>
      </c>
      <c r="B329">
        <v>328</v>
      </c>
      <c r="C329">
        <v>247.6875</v>
      </c>
      <c r="D329">
        <v>-216</v>
      </c>
      <c r="E329">
        <v>118.75</v>
      </c>
      <c r="F329" t="s">
        <v>885</v>
      </c>
    </row>
    <row r="330" spans="1:6" x14ac:dyDescent="0.25">
      <c r="A330" t="s">
        <v>1165</v>
      </c>
      <c r="B330">
        <v>329</v>
      </c>
      <c r="C330">
        <v>247.6875</v>
      </c>
      <c r="D330">
        <v>-216</v>
      </c>
      <c r="E330">
        <v>118.75</v>
      </c>
      <c r="F330" t="s">
        <v>885</v>
      </c>
    </row>
    <row r="331" spans="1:6" x14ac:dyDescent="0.25">
      <c r="A331" t="s">
        <v>918</v>
      </c>
      <c r="B331">
        <v>330</v>
      </c>
      <c r="C331">
        <v>192</v>
      </c>
      <c r="D331">
        <v>-216</v>
      </c>
      <c r="E331">
        <v>250.75</v>
      </c>
      <c r="F331" t="s">
        <v>885</v>
      </c>
    </row>
    <row r="332" spans="1:6" x14ac:dyDescent="0.25">
      <c r="A332" t="s">
        <v>919</v>
      </c>
      <c r="B332">
        <v>331</v>
      </c>
      <c r="C332">
        <v>126</v>
      </c>
      <c r="D332">
        <v>-216</v>
      </c>
      <c r="E332">
        <v>250.75</v>
      </c>
      <c r="F332" t="s">
        <v>885</v>
      </c>
    </row>
    <row r="333" spans="1:6" x14ac:dyDescent="0.25">
      <c r="A333" t="s">
        <v>920</v>
      </c>
      <c r="B333">
        <v>332</v>
      </c>
      <c r="C333">
        <v>258</v>
      </c>
      <c r="D333">
        <v>-216</v>
      </c>
      <c r="E333">
        <v>250.75</v>
      </c>
      <c r="F333" t="s">
        <v>885</v>
      </c>
    </row>
    <row r="334" spans="1:6" x14ac:dyDescent="0.25">
      <c r="A334" t="s">
        <v>1169</v>
      </c>
      <c r="B334">
        <v>333</v>
      </c>
      <c r="C334">
        <v>136.3125</v>
      </c>
      <c r="D334">
        <v>-216</v>
      </c>
      <c r="E334">
        <v>250.75</v>
      </c>
      <c r="F334" t="s">
        <v>885</v>
      </c>
    </row>
    <row r="335" spans="1:6" x14ac:dyDescent="0.25">
      <c r="A335" t="s">
        <v>1170</v>
      </c>
      <c r="B335">
        <v>334</v>
      </c>
      <c r="C335">
        <v>136.3125</v>
      </c>
      <c r="D335">
        <v>-216</v>
      </c>
      <c r="E335">
        <v>250.75</v>
      </c>
      <c r="F335" t="s">
        <v>885</v>
      </c>
    </row>
    <row r="336" spans="1:6" x14ac:dyDescent="0.25">
      <c r="A336" t="s">
        <v>1174</v>
      </c>
      <c r="B336">
        <v>335</v>
      </c>
      <c r="C336">
        <v>247.6875</v>
      </c>
      <c r="D336">
        <v>-216</v>
      </c>
      <c r="E336">
        <v>250.75</v>
      </c>
      <c r="F336" t="s">
        <v>885</v>
      </c>
    </row>
    <row r="337" spans="1:6" x14ac:dyDescent="0.25">
      <c r="A337" t="s">
        <v>1175</v>
      </c>
      <c r="B337">
        <v>336</v>
      </c>
      <c r="C337">
        <v>247.6875</v>
      </c>
      <c r="D337">
        <v>-216</v>
      </c>
      <c r="E337">
        <v>250.75</v>
      </c>
      <c r="F337" t="s">
        <v>885</v>
      </c>
    </row>
    <row r="338" spans="1:6" x14ac:dyDescent="0.25">
      <c r="A338" t="s">
        <v>921</v>
      </c>
      <c r="B338">
        <v>337</v>
      </c>
      <c r="C338">
        <v>192</v>
      </c>
      <c r="D338">
        <v>-216</v>
      </c>
      <c r="E338">
        <v>382.75</v>
      </c>
      <c r="F338" t="s">
        <v>885</v>
      </c>
    </row>
    <row r="339" spans="1:6" x14ac:dyDescent="0.25">
      <c r="A339" t="s">
        <v>922</v>
      </c>
      <c r="B339">
        <v>338</v>
      </c>
      <c r="C339">
        <v>126</v>
      </c>
      <c r="D339">
        <v>-216</v>
      </c>
      <c r="E339">
        <v>382.75</v>
      </c>
      <c r="F339" t="s">
        <v>885</v>
      </c>
    </row>
    <row r="340" spans="1:6" x14ac:dyDescent="0.25">
      <c r="A340" t="s">
        <v>923</v>
      </c>
      <c r="B340">
        <v>339</v>
      </c>
      <c r="C340">
        <v>258</v>
      </c>
      <c r="D340">
        <v>-216</v>
      </c>
      <c r="E340">
        <v>382.75</v>
      </c>
      <c r="F340" t="s">
        <v>885</v>
      </c>
    </row>
    <row r="341" spans="1:6" x14ac:dyDescent="0.25">
      <c r="A341" t="s">
        <v>1179</v>
      </c>
      <c r="B341">
        <v>340</v>
      </c>
      <c r="C341">
        <v>136.3125</v>
      </c>
      <c r="D341">
        <v>-216</v>
      </c>
      <c r="E341">
        <v>382.75</v>
      </c>
      <c r="F341" t="s">
        <v>885</v>
      </c>
    </row>
    <row r="342" spans="1:6" x14ac:dyDescent="0.25">
      <c r="A342" t="s">
        <v>1180</v>
      </c>
      <c r="B342">
        <v>341</v>
      </c>
      <c r="C342">
        <v>136.3125</v>
      </c>
      <c r="D342">
        <v>-216</v>
      </c>
      <c r="E342">
        <v>382.75</v>
      </c>
      <c r="F342" t="s">
        <v>885</v>
      </c>
    </row>
    <row r="343" spans="1:6" x14ac:dyDescent="0.25">
      <c r="A343" t="s">
        <v>1184</v>
      </c>
      <c r="B343">
        <v>342</v>
      </c>
      <c r="C343">
        <v>247.6875</v>
      </c>
      <c r="D343">
        <v>-216</v>
      </c>
      <c r="E343">
        <v>382.75</v>
      </c>
      <c r="F343" t="s">
        <v>885</v>
      </c>
    </row>
    <row r="344" spans="1:6" x14ac:dyDescent="0.25">
      <c r="A344" t="s">
        <v>1185</v>
      </c>
      <c r="B344">
        <v>343</v>
      </c>
      <c r="C344">
        <v>247.6875</v>
      </c>
      <c r="D344">
        <v>-216</v>
      </c>
      <c r="E344">
        <v>382.75</v>
      </c>
      <c r="F344" t="s">
        <v>885</v>
      </c>
    </row>
    <row r="345" spans="1:6" x14ac:dyDescent="0.25">
      <c r="A345" t="s">
        <v>924</v>
      </c>
      <c r="B345">
        <v>344</v>
      </c>
      <c r="C345">
        <v>192</v>
      </c>
      <c r="D345">
        <v>-216</v>
      </c>
      <c r="E345">
        <v>514.75</v>
      </c>
      <c r="F345" t="s">
        <v>885</v>
      </c>
    </row>
    <row r="346" spans="1:6" x14ac:dyDescent="0.25">
      <c r="A346" t="s">
        <v>925</v>
      </c>
      <c r="B346">
        <v>345</v>
      </c>
      <c r="C346">
        <v>126</v>
      </c>
      <c r="D346">
        <v>-216</v>
      </c>
      <c r="E346">
        <v>514.75</v>
      </c>
      <c r="F346" t="s">
        <v>885</v>
      </c>
    </row>
    <row r="347" spans="1:6" x14ac:dyDescent="0.25">
      <c r="A347" t="s">
        <v>926</v>
      </c>
      <c r="B347">
        <v>346</v>
      </c>
      <c r="C347">
        <v>258</v>
      </c>
      <c r="D347">
        <v>-216</v>
      </c>
      <c r="E347">
        <v>514.75</v>
      </c>
      <c r="F347" t="s">
        <v>885</v>
      </c>
    </row>
    <row r="348" spans="1:6" x14ac:dyDescent="0.25">
      <c r="A348" t="s">
        <v>1189</v>
      </c>
      <c r="B348">
        <v>347</v>
      </c>
      <c r="C348">
        <v>136.3125</v>
      </c>
      <c r="D348">
        <v>-216</v>
      </c>
      <c r="E348">
        <v>514.75</v>
      </c>
      <c r="F348" t="s">
        <v>885</v>
      </c>
    </row>
    <row r="349" spans="1:6" x14ac:dyDescent="0.25">
      <c r="A349" t="s">
        <v>1190</v>
      </c>
      <c r="B349">
        <v>348</v>
      </c>
      <c r="C349">
        <v>136.3125</v>
      </c>
      <c r="D349">
        <v>-216</v>
      </c>
      <c r="E349">
        <v>514.75</v>
      </c>
      <c r="F349" t="s">
        <v>885</v>
      </c>
    </row>
    <row r="350" spans="1:6" x14ac:dyDescent="0.25">
      <c r="A350" t="s">
        <v>1194</v>
      </c>
      <c r="B350">
        <v>349</v>
      </c>
      <c r="C350">
        <v>247.6875</v>
      </c>
      <c r="D350">
        <v>-216</v>
      </c>
      <c r="E350">
        <v>514.75</v>
      </c>
      <c r="F350" t="s">
        <v>885</v>
      </c>
    </row>
    <row r="351" spans="1:6" x14ac:dyDescent="0.25">
      <c r="A351" t="s">
        <v>1195</v>
      </c>
      <c r="B351">
        <v>350</v>
      </c>
      <c r="C351">
        <v>247.6875</v>
      </c>
      <c r="D351">
        <v>-216</v>
      </c>
      <c r="E351">
        <v>514.75</v>
      </c>
      <c r="F351" t="s">
        <v>885</v>
      </c>
    </row>
    <row r="352" spans="1:6" x14ac:dyDescent="0.25">
      <c r="A352" t="s">
        <v>927</v>
      </c>
      <c r="B352">
        <v>351</v>
      </c>
      <c r="C352">
        <v>192</v>
      </c>
      <c r="D352">
        <v>-216</v>
      </c>
      <c r="E352">
        <v>646.75</v>
      </c>
      <c r="F352" t="s">
        <v>885</v>
      </c>
    </row>
    <row r="353" spans="1:6" x14ac:dyDescent="0.25">
      <c r="A353" t="s">
        <v>928</v>
      </c>
      <c r="B353">
        <v>352</v>
      </c>
      <c r="C353">
        <v>126</v>
      </c>
      <c r="D353">
        <v>-216</v>
      </c>
      <c r="E353">
        <v>646.75</v>
      </c>
      <c r="F353" t="s">
        <v>885</v>
      </c>
    </row>
    <row r="354" spans="1:6" x14ac:dyDescent="0.25">
      <c r="A354" t="s">
        <v>929</v>
      </c>
      <c r="B354">
        <v>353</v>
      </c>
      <c r="C354">
        <v>258</v>
      </c>
      <c r="D354">
        <v>-216</v>
      </c>
      <c r="E354">
        <v>646.75</v>
      </c>
      <c r="F354" t="s">
        <v>885</v>
      </c>
    </row>
    <row r="355" spans="1:6" x14ac:dyDescent="0.25">
      <c r="A355" t="s">
        <v>1199</v>
      </c>
      <c r="B355">
        <v>354</v>
      </c>
      <c r="C355">
        <v>136.3125</v>
      </c>
      <c r="D355">
        <v>-216</v>
      </c>
      <c r="E355">
        <v>646.75</v>
      </c>
      <c r="F355" t="s">
        <v>885</v>
      </c>
    </row>
    <row r="356" spans="1:6" x14ac:dyDescent="0.25">
      <c r="A356" t="s">
        <v>1200</v>
      </c>
      <c r="B356">
        <v>355</v>
      </c>
      <c r="C356">
        <v>136.3125</v>
      </c>
      <c r="D356">
        <v>-216</v>
      </c>
      <c r="E356">
        <v>646.75</v>
      </c>
      <c r="F356" t="s">
        <v>885</v>
      </c>
    </row>
    <row r="357" spans="1:6" x14ac:dyDescent="0.25">
      <c r="A357" t="s">
        <v>1204</v>
      </c>
      <c r="B357">
        <v>356</v>
      </c>
      <c r="C357">
        <v>247.6875</v>
      </c>
      <c r="D357">
        <v>-216</v>
      </c>
      <c r="E357">
        <v>646.75</v>
      </c>
      <c r="F357" t="s">
        <v>885</v>
      </c>
    </row>
    <row r="358" spans="1:6" x14ac:dyDescent="0.25">
      <c r="A358" t="s">
        <v>1205</v>
      </c>
      <c r="B358">
        <v>357</v>
      </c>
      <c r="C358">
        <v>247.6875</v>
      </c>
      <c r="D358">
        <v>-216</v>
      </c>
      <c r="E358">
        <v>646.75</v>
      </c>
      <c r="F358" t="s">
        <v>885</v>
      </c>
    </row>
    <row r="359" spans="1:6" x14ac:dyDescent="0.25">
      <c r="A359" t="s">
        <v>930</v>
      </c>
      <c r="B359">
        <v>358</v>
      </c>
      <c r="C359">
        <v>192</v>
      </c>
      <c r="D359">
        <v>-216</v>
      </c>
      <c r="E359">
        <v>778.75</v>
      </c>
      <c r="F359" t="s">
        <v>885</v>
      </c>
    </row>
    <row r="360" spans="1:6" x14ac:dyDescent="0.25">
      <c r="A360" t="s">
        <v>931</v>
      </c>
      <c r="B360">
        <v>359</v>
      </c>
      <c r="C360">
        <v>126</v>
      </c>
      <c r="D360">
        <v>-216</v>
      </c>
      <c r="E360">
        <v>778.75</v>
      </c>
      <c r="F360" t="s">
        <v>885</v>
      </c>
    </row>
    <row r="361" spans="1:6" x14ac:dyDescent="0.25">
      <c r="A361" t="s">
        <v>932</v>
      </c>
      <c r="B361">
        <v>360</v>
      </c>
      <c r="C361">
        <v>258</v>
      </c>
      <c r="D361">
        <v>-216</v>
      </c>
      <c r="E361">
        <v>778.75</v>
      </c>
      <c r="F361" t="s">
        <v>885</v>
      </c>
    </row>
    <row r="362" spans="1:6" x14ac:dyDescent="0.25">
      <c r="A362" t="s">
        <v>1209</v>
      </c>
      <c r="B362">
        <v>361</v>
      </c>
      <c r="C362">
        <v>136.3125</v>
      </c>
      <c r="D362">
        <v>-216</v>
      </c>
      <c r="E362">
        <v>778.75</v>
      </c>
      <c r="F362" t="s">
        <v>885</v>
      </c>
    </row>
    <row r="363" spans="1:6" x14ac:dyDescent="0.25">
      <c r="A363" t="s">
        <v>1210</v>
      </c>
      <c r="B363">
        <v>362</v>
      </c>
      <c r="C363">
        <v>136.3125</v>
      </c>
      <c r="D363">
        <v>-216</v>
      </c>
      <c r="E363">
        <v>778.75</v>
      </c>
      <c r="F363" t="s">
        <v>885</v>
      </c>
    </row>
    <row r="364" spans="1:6" x14ac:dyDescent="0.25">
      <c r="A364" t="s">
        <v>1214</v>
      </c>
      <c r="B364">
        <v>363</v>
      </c>
      <c r="C364">
        <v>247.6875</v>
      </c>
      <c r="D364">
        <v>-216</v>
      </c>
      <c r="E364">
        <v>778.75</v>
      </c>
      <c r="F364" t="s">
        <v>885</v>
      </c>
    </row>
    <row r="365" spans="1:6" x14ac:dyDescent="0.25">
      <c r="A365" t="s">
        <v>1215</v>
      </c>
      <c r="B365">
        <v>364</v>
      </c>
      <c r="C365">
        <v>247.6875</v>
      </c>
      <c r="D365">
        <v>-216</v>
      </c>
      <c r="E365">
        <v>778.75</v>
      </c>
      <c r="F365" t="s">
        <v>885</v>
      </c>
    </row>
    <row r="366" spans="1:6" x14ac:dyDescent="0.25">
      <c r="A366" t="s">
        <v>933</v>
      </c>
      <c r="B366">
        <v>365</v>
      </c>
      <c r="C366">
        <v>192</v>
      </c>
      <c r="D366">
        <v>-216</v>
      </c>
      <c r="E366">
        <v>910.75</v>
      </c>
      <c r="F366" t="s">
        <v>885</v>
      </c>
    </row>
    <row r="367" spans="1:6" x14ac:dyDescent="0.25">
      <c r="A367" t="s">
        <v>934</v>
      </c>
      <c r="B367">
        <v>366</v>
      </c>
      <c r="C367">
        <v>126</v>
      </c>
      <c r="D367">
        <v>-216</v>
      </c>
      <c r="E367">
        <v>910.75</v>
      </c>
      <c r="F367" t="s">
        <v>885</v>
      </c>
    </row>
    <row r="368" spans="1:6" x14ac:dyDescent="0.25">
      <c r="A368" t="s">
        <v>935</v>
      </c>
      <c r="B368">
        <v>367</v>
      </c>
      <c r="C368">
        <v>258</v>
      </c>
      <c r="D368">
        <v>-216</v>
      </c>
      <c r="E368">
        <v>910.75</v>
      </c>
      <c r="F368" t="s">
        <v>885</v>
      </c>
    </row>
    <row r="369" spans="1:6" x14ac:dyDescent="0.25">
      <c r="A369" t="s">
        <v>1219</v>
      </c>
      <c r="B369">
        <v>368</v>
      </c>
      <c r="C369">
        <v>136.3125</v>
      </c>
      <c r="D369">
        <v>-216</v>
      </c>
      <c r="E369">
        <v>910.75</v>
      </c>
      <c r="F369" t="s">
        <v>885</v>
      </c>
    </row>
    <row r="370" spans="1:6" x14ac:dyDescent="0.25">
      <c r="A370" t="s">
        <v>1220</v>
      </c>
      <c r="B370">
        <v>369</v>
      </c>
      <c r="C370">
        <v>136.3125</v>
      </c>
      <c r="D370">
        <v>-216</v>
      </c>
      <c r="E370">
        <v>910.75</v>
      </c>
      <c r="F370" t="s">
        <v>885</v>
      </c>
    </row>
    <row r="371" spans="1:6" x14ac:dyDescent="0.25">
      <c r="A371" t="s">
        <v>1224</v>
      </c>
      <c r="B371">
        <v>370</v>
      </c>
      <c r="C371">
        <v>247.6875</v>
      </c>
      <c r="D371">
        <v>-216</v>
      </c>
      <c r="E371">
        <v>910.75</v>
      </c>
      <c r="F371" t="s">
        <v>885</v>
      </c>
    </row>
    <row r="372" spans="1:6" x14ac:dyDescent="0.25">
      <c r="A372" t="s">
        <v>1225</v>
      </c>
      <c r="B372">
        <v>371</v>
      </c>
      <c r="C372">
        <v>247.6875</v>
      </c>
      <c r="D372">
        <v>-216</v>
      </c>
      <c r="E372">
        <v>910.75</v>
      </c>
      <c r="F372" t="s">
        <v>885</v>
      </c>
    </row>
    <row r="373" spans="1:6" x14ac:dyDescent="0.25">
      <c r="A373" t="s">
        <v>936</v>
      </c>
      <c r="B373">
        <v>372</v>
      </c>
      <c r="C373">
        <v>192</v>
      </c>
      <c r="D373">
        <v>-216</v>
      </c>
      <c r="E373">
        <v>1024.75</v>
      </c>
      <c r="F373" t="s">
        <v>885</v>
      </c>
    </row>
    <row r="374" spans="1:6" x14ac:dyDescent="0.25">
      <c r="A374" t="s">
        <v>937</v>
      </c>
      <c r="B374">
        <v>373</v>
      </c>
      <c r="C374">
        <v>126</v>
      </c>
      <c r="D374">
        <v>-216</v>
      </c>
      <c r="E374">
        <v>1024.75</v>
      </c>
      <c r="F374" t="s">
        <v>885</v>
      </c>
    </row>
    <row r="375" spans="1:6" x14ac:dyDescent="0.25">
      <c r="A375" t="s">
        <v>938</v>
      </c>
      <c r="B375">
        <v>374</v>
      </c>
      <c r="C375">
        <v>258</v>
      </c>
      <c r="D375">
        <v>-216</v>
      </c>
      <c r="E375">
        <v>1024.75</v>
      </c>
      <c r="F375" t="s">
        <v>885</v>
      </c>
    </row>
    <row r="376" spans="1:6" x14ac:dyDescent="0.25">
      <c r="A376" t="s">
        <v>1229</v>
      </c>
      <c r="B376">
        <v>375</v>
      </c>
      <c r="C376">
        <v>136.3125</v>
      </c>
      <c r="D376">
        <v>-216</v>
      </c>
      <c r="E376">
        <v>1024.75</v>
      </c>
      <c r="F376" t="s">
        <v>885</v>
      </c>
    </row>
    <row r="377" spans="1:6" x14ac:dyDescent="0.25">
      <c r="A377" t="s">
        <v>1230</v>
      </c>
      <c r="B377">
        <v>376</v>
      </c>
      <c r="C377">
        <v>136.3125</v>
      </c>
      <c r="D377">
        <v>-216</v>
      </c>
      <c r="E377">
        <v>1024.75</v>
      </c>
      <c r="F377" t="s">
        <v>885</v>
      </c>
    </row>
    <row r="378" spans="1:6" x14ac:dyDescent="0.25">
      <c r="A378" t="s">
        <v>1234</v>
      </c>
      <c r="B378">
        <v>377</v>
      </c>
      <c r="C378">
        <v>247.6875</v>
      </c>
      <c r="D378">
        <v>-216</v>
      </c>
      <c r="E378">
        <v>1024.75</v>
      </c>
      <c r="F378" t="s">
        <v>885</v>
      </c>
    </row>
    <row r="379" spans="1:6" x14ac:dyDescent="0.25">
      <c r="A379" t="s">
        <v>1235</v>
      </c>
      <c r="B379">
        <v>378</v>
      </c>
      <c r="C379">
        <v>247.6875</v>
      </c>
      <c r="D379">
        <v>-216</v>
      </c>
      <c r="E379">
        <v>1024.75</v>
      </c>
      <c r="F379" t="s">
        <v>885</v>
      </c>
    </row>
    <row r="380" spans="1:6" x14ac:dyDescent="0.25">
      <c r="A380" t="s">
        <v>939</v>
      </c>
      <c r="B380">
        <v>379</v>
      </c>
      <c r="C380">
        <v>192</v>
      </c>
      <c r="D380">
        <v>-216</v>
      </c>
      <c r="E380">
        <v>1156.75</v>
      </c>
      <c r="F380" t="s">
        <v>885</v>
      </c>
    </row>
    <row r="381" spans="1:6" x14ac:dyDescent="0.25">
      <c r="A381" t="s">
        <v>940</v>
      </c>
      <c r="B381">
        <v>380</v>
      </c>
      <c r="C381">
        <v>126</v>
      </c>
      <c r="D381">
        <v>-216</v>
      </c>
      <c r="E381">
        <v>1156.75</v>
      </c>
      <c r="F381" t="s">
        <v>885</v>
      </c>
    </row>
    <row r="382" spans="1:6" x14ac:dyDescent="0.25">
      <c r="A382" t="s">
        <v>941</v>
      </c>
      <c r="B382">
        <v>381</v>
      </c>
      <c r="C382">
        <v>258</v>
      </c>
      <c r="D382">
        <v>-216</v>
      </c>
      <c r="E382">
        <v>1156.75</v>
      </c>
      <c r="F382" t="s">
        <v>885</v>
      </c>
    </row>
    <row r="383" spans="1:6" x14ac:dyDescent="0.25">
      <c r="A383" t="s">
        <v>1239</v>
      </c>
      <c r="B383">
        <v>382</v>
      </c>
      <c r="C383">
        <v>136.3125</v>
      </c>
      <c r="D383">
        <v>-216</v>
      </c>
      <c r="E383">
        <v>1156.75</v>
      </c>
      <c r="F383" t="s">
        <v>885</v>
      </c>
    </row>
    <row r="384" spans="1:6" x14ac:dyDescent="0.25">
      <c r="A384" t="s">
        <v>1240</v>
      </c>
      <c r="B384">
        <v>383</v>
      </c>
      <c r="C384">
        <v>136.3125</v>
      </c>
      <c r="D384">
        <v>-216</v>
      </c>
      <c r="E384">
        <v>1156.75</v>
      </c>
      <c r="F384" t="s">
        <v>885</v>
      </c>
    </row>
    <row r="385" spans="1:6" x14ac:dyDescent="0.25">
      <c r="A385" t="s">
        <v>1244</v>
      </c>
      <c r="B385">
        <v>384</v>
      </c>
      <c r="C385">
        <v>247.6875</v>
      </c>
      <c r="D385">
        <v>-216</v>
      </c>
      <c r="E385">
        <v>1156.75</v>
      </c>
      <c r="F385" t="s">
        <v>885</v>
      </c>
    </row>
    <row r="386" spans="1:6" x14ac:dyDescent="0.25">
      <c r="A386" t="s">
        <v>1245</v>
      </c>
      <c r="B386">
        <v>385</v>
      </c>
      <c r="C386">
        <v>247.6875</v>
      </c>
      <c r="D386">
        <v>-216</v>
      </c>
      <c r="E386">
        <v>1156.75</v>
      </c>
      <c r="F386" t="s">
        <v>885</v>
      </c>
    </row>
    <row r="387" spans="1:6" x14ac:dyDescent="0.25">
      <c r="A387" t="s">
        <v>942</v>
      </c>
      <c r="B387">
        <v>386</v>
      </c>
      <c r="C387">
        <v>192</v>
      </c>
      <c r="D387">
        <v>-216</v>
      </c>
      <c r="E387">
        <v>1288.75</v>
      </c>
      <c r="F387" t="s">
        <v>885</v>
      </c>
    </row>
    <row r="388" spans="1:6" x14ac:dyDescent="0.25">
      <c r="A388" t="s">
        <v>943</v>
      </c>
      <c r="B388">
        <v>387</v>
      </c>
      <c r="C388">
        <v>126</v>
      </c>
      <c r="D388">
        <v>-216</v>
      </c>
      <c r="E388">
        <v>1288.75</v>
      </c>
      <c r="F388" t="s">
        <v>885</v>
      </c>
    </row>
    <row r="389" spans="1:6" x14ac:dyDescent="0.25">
      <c r="A389" t="s">
        <v>944</v>
      </c>
      <c r="B389">
        <v>388</v>
      </c>
      <c r="C389">
        <v>258</v>
      </c>
      <c r="D389">
        <v>-216</v>
      </c>
      <c r="E389">
        <v>1288.75</v>
      </c>
      <c r="F389" t="s">
        <v>885</v>
      </c>
    </row>
    <row r="390" spans="1:6" x14ac:dyDescent="0.25">
      <c r="A390" t="s">
        <v>1249</v>
      </c>
      <c r="B390">
        <v>389</v>
      </c>
      <c r="C390">
        <v>136.3125</v>
      </c>
      <c r="D390">
        <v>-216</v>
      </c>
      <c r="E390">
        <v>1288.75</v>
      </c>
      <c r="F390" t="s">
        <v>885</v>
      </c>
    </row>
    <row r="391" spans="1:6" x14ac:dyDescent="0.25">
      <c r="A391" t="s">
        <v>1250</v>
      </c>
      <c r="B391">
        <v>390</v>
      </c>
      <c r="C391">
        <v>136.3125</v>
      </c>
      <c r="D391">
        <v>-216</v>
      </c>
      <c r="E391">
        <v>1288.75</v>
      </c>
      <c r="F391" t="s">
        <v>885</v>
      </c>
    </row>
    <row r="392" spans="1:6" x14ac:dyDescent="0.25">
      <c r="A392" t="s">
        <v>1254</v>
      </c>
      <c r="B392">
        <v>391</v>
      </c>
      <c r="C392">
        <v>247.6875</v>
      </c>
      <c r="D392">
        <v>-216</v>
      </c>
      <c r="E392">
        <v>1288.75</v>
      </c>
      <c r="F392" t="s">
        <v>885</v>
      </c>
    </row>
    <row r="393" spans="1:6" x14ac:dyDescent="0.25">
      <c r="A393" t="s">
        <v>1255</v>
      </c>
      <c r="B393">
        <v>392</v>
      </c>
      <c r="C393">
        <v>247.6875</v>
      </c>
      <c r="D393">
        <v>-216</v>
      </c>
      <c r="E393">
        <v>1288.75</v>
      </c>
      <c r="F393" t="s">
        <v>885</v>
      </c>
    </row>
    <row r="394" spans="1:6" x14ac:dyDescent="0.25">
      <c r="A394" t="s">
        <v>945</v>
      </c>
      <c r="B394">
        <v>393</v>
      </c>
      <c r="C394">
        <v>0</v>
      </c>
      <c r="D394">
        <v>-60</v>
      </c>
      <c r="E394">
        <v>118.75</v>
      </c>
      <c r="F394" t="s">
        <v>885</v>
      </c>
    </row>
    <row r="395" spans="1:6" x14ac:dyDescent="0.25">
      <c r="A395" t="s">
        <v>946</v>
      </c>
      <c r="B395">
        <v>394</v>
      </c>
      <c r="C395">
        <v>0</v>
      </c>
      <c r="D395">
        <v>0</v>
      </c>
      <c r="E395">
        <v>118.75</v>
      </c>
      <c r="F395" t="s">
        <v>885</v>
      </c>
    </row>
    <row r="396" spans="1:6" x14ac:dyDescent="0.25">
      <c r="A396" t="s">
        <v>947</v>
      </c>
      <c r="B396">
        <v>395</v>
      </c>
      <c r="C396">
        <v>0</v>
      </c>
      <c r="D396">
        <v>-120</v>
      </c>
      <c r="E396">
        <v>118.75</v>
      </c>
      <c r="F396" t="s">
        <v>885</v>
      </c>
    </row>
    <row r="397" spans="1:6" x14ac:dyDescent="0.25">
      <c r="A397" t="s">
        <v>1259</v>
      </c>
      <c r="B397">
        <v>396</v>
      </c>
      <c r="C397">
        <v>0</v>
      </c>
      <c r="D397">
        <v>-10.3125</v>
      </c>
      <c r="E397">
        <v>118.75</v>
      </c>
      <c r="F397" t="s">
        <v>885</v>
      </c>
    </row>
    <row r="398" spans="1:6" x14ac:dyDescent="0.25">
      <c r="A398" t="s">
        <v>1260</v>
      </c>
      <c r="B398">
        <v>397</v>
      </c>
      <c r="C398">
        <v>0</v>
      </c>
      <c r="D398">
        <v>-10.3125</v>
      </c>
      <c r="E398">
        <v>118.75</v>
      </c>
      <c r="F398" t="s">
        <v>885</v>
      </c>
    </row>
    <row r="399" spans="1:6" x14ac:dyDescent="0.25">
      <c r="A399" t="s">
        <v>1264</v>
      </c>
      <c r="B399">
        <v>398</v>
      </c>
      <c r="C399">
        <v>0</v>
      </c>
      <c r="D399">
        <v>-109.6875</v>
      </c>
      <c r="E399">
        <v>118.75</v>
      </c>
      <c r="F399" t="s">
        <v>885</v>
      </c>
    </row>
    <row r="400" spans="1:6" x14ac:dyDescent="0.25">
      <c r="A400" t="s">
        <v>1265</v>
      </c>
      <c r="B400">
        <v>399</v>
      </c>
      <c r="C400">
        <v>0</v>
      </c>
      <c r="D400">
        <v>-109.6875</v>
      </c>
      <c r="E400">
        <v>118.75</v>
      </c>
      <c r="F400" t="s">
        <v>885</v>
      </c>
    </row>
    <row r="401" spans="1:6" x14ac:dyDescent="0.25">
      <c r="A401" t="s">
        <v>948</v>
      </c>
      <c r="B401">
        <v>400</v>
      </c>
      <c r="C401">
        <v>0</v>
      </c>
      <c r="D401">
        <v>-60</v>
      </c>
      <c r="E401">
        <v>250.75</v>
      </c>
      <c r="F401" t="s">
        <v>885</v>
      </c>
    </row>
    <row r="402" spans="1:6" x14ac:dyDescent="0.25">
      <c r="A402" t="s">
        <v>949</v>
      </c>
      <c r="B402">
        <v>401</v>
      </c>
      <c r="C402">
        <v>0</v>
      </c>
      <c r="D402">
        <v>0</v>
      </c>
      <c r="E402">
        <v>250.75</v>
      </c>
      <c r="F402" t="s">
        <v>885</v>
      </c>
    </row>
    <row r="403" spans="1:6" x14ac:dyDescent="0.25">
      <c r="A403" t="s">
        <v>950</v>
      </c>
      <c r="B403">
        <v>402</v>
      </c>
      <c r="C403">
        <v>0</v>
      </c>
      <c r="D403">
        <v>-120</v>
      </c>
      <c r="E403">
        <v>250.75</v>
      </c>
      <c r="F403" t="s">
        <v>885</v>
      </c>
    </row>
    <row r="404" spans="1:6" x14ac:dyDescent="0.25">
      <c r="A404" t="s">
        <v>1269</v>
      </c>
      <c r="B404">
        <v>403</v>
      </c>
      <c r="C404">
        <v>0</v>
      </c>
      <c r="D404">
        <v>-10.3125</v>
      </c>
      <c r="E404">
        <v>250.75</v>
      </c>
      <c r="F404" t="s">
        <v>885</v>
      </c>
    </row>
    <row r="405" spans="1:6" x14ac:dyDescent="0.25">
      <c r="A405" t="s">
        <v>1270</v>
      </c>
      <c r="B405">
        <v>404</v>
      </c>
      <c r="C405">
        <v>0</v>
      </c>
      <c r="D405">
        <v>-10.3125</v>
      </c>
      <c r="E405">
        <v>250.75</v>
      </c>
      <c r="F405" t="s">
        <v>885</v>
      </c>
    </row>
    <row r="406" spans="1:6" x14ac:dyDescent="0.25">
      <c r="A406" t="s">
        <v>1274</v>
      </c>
      <c r="B406">
        <v>405</v>
      </c>
      <c r="C406">
        <v>0</v>
      </c>
      <c r="D406">
        <v>-109.6875</v>
      </c>
      <c r="E406">
        <v>250.75</v>
      </c>
      <c r="F406" t="s">
        <v>885</v>
      </c>
    </row>
    <row r="407" spans="1:6" x14ac:dyDescent="0.25">
      <c r="A407" t="s">
        <v>1275</v>
      </c>
      <c r="B407">
        <v>406</v>
      </c>
      <c r="C407">
        <v>0</v>
      </c>
      <c r="D407">
        <v>-109.6875</v>
      </c>
      <c r="E407">
        <v>250.75</v>
      </c>
      <c r="F407" t="s">
        <v>885</v>
      </c>
    </row>
    <row r="408" spans="1:6" x14ac:dyDescent="0.25">
      <c r="A408" t="s">
        <v>951</v>
      </c>
      <c r="B408">
        <v>407</v>
      </c>
      <c r="C408">
        <v>0</v>
      </c>
      <c r="D408">
        <v>-60</v>
      </c>
      <c r="E408">
        <v>382.75</v>
      </c>
      <c r="F408" t="s">
        <v>885</v>
      </c>
    </row>
    <row r="409" spans="1:6" x14ac:dyDescent="0.25">
      <c r="A409" t="s">
        <v>952</v>
      </c>
      <c r="B409">
        <v>408</v>
      </c>
      <c r="C409">
        <v>0</v>
      </c>
      <c r="D409">
        <v>0</v>
      </c>
      <c r="E409">
        <v>382.75</v>
      </c>
      <c r="F409" t="s">
        <v>885</v>
      </c>
    </row>
    <row r="410" spans="1:6" x14ac:dyDescent="0.25">
      <c r="A410" t="s">
        <v>953</v>
      </c>
      <c r="B410">
        <v>409</v>
      </c>
      <c r="C410">
        <v>0</v>
      </c>
      <c r="D410">
        <v>-120</v>
      </c>
      <c r="E410">
        <v>382.75</v>
      </c>
      <c r="F410" t="s">
        <v>885</v>
      </c>
    </row>
    <row r="411" spans="1:6" x14ac:dyDescent="0.25">
      <c r="A411" t="s">
        <v>1279</v>
      </c>
      <c r="B411">
        <v>410</v>
      </c>
      <c r="C411">
        <v>0</v>
      </c>
      <c r="D411">
        <v>-10.3125</v>
      </c>
      <c r="E411">
        <v>382.75</v>
      </c>
      <c r="F411" t="s">
        <v>885</v>
      </c>
    </row>
    <row r="412" spans="1:6" x14ac:dyDescent="0.25">
      <c r="A412" t="s">
        <v>1280</v>
      </c>
      <c r="B412">
        <v>411</v>
      </c>
      <c r="C412">
        <v>0</v>
      </c>
      <c r="D412">
        <v>-10.3125</v>
      </c>
      <c r="E412">
        <v>382.75</v>
      </c>
      <c r="F412" t="s">
        <v>885</v>
      </c>
    </row>
    <row r="413" spans="1:6" x14ac:dyDescent="0.25">
      <c r="A413" t="s">
        <v>1284</v>
      </c>
      <c r="B413">
        <v>412</v>
      </c>
      <c r="C413">
        <v>0</v>
      </c>
      <c r="D413">
        <v>-109.6875</v>
      </c>
      <c r="E413">
        <v>382.75</v>
      </c>
      <c r="F413" t="s">
        <v>885</v>
      </c>
    </row>
    <row r="414" spans="1:6" x14ac:dyDescent="0.25">
      <c r="A414" t="s">
        <v>1285</v>
      </c>
      <c r="B414">
        <v>413</v>
      </c>
      <c r="C414">
        <v>0</v>
      </c>
      <c r="D414">
        <v>-109.6875</v>
      </c>
      <c r="E414">
        <v>382.75</v>
      </c>
      <c r="F414" t="s">
        <v>885</v>
      </c>
    </row>
    <row r="415" spans="1:6" x14ac:dyDescent="0.25">
      <c r="A415" t="s">
        <v>954</v>
      </c>
      <c r="B415">
        <v>414</v>
      </c>
      <c r="C415">
        <v>0</v>
      </c>
      <c r="D415">
        <v>-60</v>
      </c>
      <c r="E415">
        <v>514.75</v>
      </c>
      <c r="F415" t="s">
        <v>885</v>
      </c>
    </row>
    <row r="416" spans="1:6" x14ac:dyDescent="0.25">
      <c r="A416" t="s">
        <v>955</v>
      </c>
      <c r="B416">
        <v>415</v>
      </c>
      <c r="C416">
        <v>0</v>
      </c>
      <c r="D416">
        <v>0</v>
      </c>
      <c r="E416">
        <v>514.75</v>
      </c>
      <c r="F416" t="s">
        <v>885</v>
      </c>
    </row>
    <row r="417" spans="1:6" x14ac:dyDescent="0.25">
      <c r="A417" t="s">
        <v>956</v>
      </c>
      <c r="B417">
        <v>416</v>
      </c>
      <c r="C417">
        <v>0</v>
      </c>
      <c r="D417">
        <v>-120</v>
      </c>
      <c r="E417">
        <v>514.75</v>
      </c>
      <c r="F417" t="s">
        <v>885</v>
      </c>
    </row>
    <row r="418" spans="1:6" x14ac:dyDescent="0.25">
      <c r="A418" t="s">
        <v>1289</v>
      </c>
      <c r="B418">
        <v>417</v>
      </c>
      <c r="C418">
        <v>0</v>
      </c>
      <c r="D418">
        <v>-10.3125</v>
      </c>
      <c r="E418">
        <v>514.75</v>
      </c>
      <c r="F418" t="s">
        <v>885</v>
      </c>
    </row>
    <row r="419" spans="1:6" x14ac:dyDescent="0.25">
      <c r="A419" t="s">
        <v>1290</v>
      </c>
      <c r="B419">
        <v>418</v>
      </c>
      <c r="C419">
        <v>0</v>
      </c>
      <c r="D419">
        <v>-10.3125</v>
      </c>
      <c r="E419">
        <v>514.75</v>
      </c>
      <c r="F419" t="s">
        <v>885</v>
      </c>
    </row>
    <row r="420" spans="1:6" x14ac:dyDescent="0.25">
      <c r="A420" t="s">
        <v>1294</v>
      </c>
      <c r="B420">
        <v>419</v>
      </c>
      <c r="C420">
        <v>0</v>
      </c>
      <c r="D420">
        <v>-109.6875</v>
      </c>
      <c r="E420">
        <v>514.75</v>
      </c>
      <c r="F420" t="s">
        <v>885</v>
      </c>
    </row>
    <row r="421" spans="1:6" x14ac:dyDescent="0.25">
      <c r="A421" t="s">
        <v>1295</v>
      </c>
      <c r="B421">
        <v>420</v>
      </c>
      <c r="C421">
        <v>0</v>
      </c>
      <c r="D421">
        <v>-109.6875</v>
      </c>
      <c r="E421">
        <v>514.75</v>
      </c>
      <c r="F421" t="s">
        <v>885</v>
      </c>
    </row>
    <row r="422" spans="1:6" x14ac:dyDescent="0.25">
      <c r="A422" t="s">
        <v>957</v>
      </c>
      <c r="B422">
        <v>421</v>
      </c>
      <c r="C422">
        <v>0</v>
      </c>
      <c r="D422">
        <v>-60</v>
      </c>
      <c r="E422">
        <v>646.75</v>
      </c>
      <c r="F422" t="s">
        <v>885</v>
      </c>
    </row>
    <row r="423" spans="1:6" x14ac:dyDescent="0.25">
      <c r="A423" t="s">
        <v>958</v>
      </c>
      <c r="B423">
        <v>422</v>
      </c>
      <c r="C423">
        <v>0</v>
      </c>
      <c r="D423">
        <v>0</v>
      </c>
      <c r="E423">
        <v>646.75</v>
      </c>
      <c r="F423" t="s">
        <v>885</v>
      </c>
    </row>
    <row r="424" spans="1:6" x14ac:dyDescent="0.25">
      <c r="A424" t="s">
        <v>959</v>
      </c>
      <c r="B424">
        <v>423</v>
      </c>
      <c r="C424">
        <v>0</v>
      </c>
      <c r="D424">
        <v>-120</v>
      </c>
      <c r="E424">
        <v>646.75</v>
      </c>
      <c r="F424" t="s">
        <v>885</v>
      </c>
    </row>
    <row r="425" spans="1:6" x14ac:dyDescent="0.25">
      <c r="A425" t="s">
        <v>1299</v>
      </c>
      <c r="B425">
        <v>424</v>
      </c>
      <c r="C425">
        <v>0</v>
      </c>
      <c r="D425">
        <v>-10.3125</v>
      </c>
      <c r="E425">
        <v>646.75</v>
      </c>
      <c r="F425" t="s">
        <v>885</v>
      </c>
    </row>
    <row r="426" spans="1:6" x14ac:dyDescent="0.25">
      <c r="A426" t="s">
        <v>1300</v>
      </c>
      <c r="B426">
        <v>425</v>
      </c>
      <c r="C426">
        <v>0</v>
      </c>
      <c r="D426">
        <v>-10.3125</v>
      </c>
      <c r="E426">
        <v>646.75</v>
      </c>
      <c r="F426" t="s">
        <v>885</v>
      </c>
    </row>
    <row r="427" spans="1:6" x14ac:dyDescent="0.25">
      <c r="A427" t="s">
        <v>1304</v>
      </c>
      <c r="B427">
        <v>426</v>
      </c>
      <c r="C427">
        <v>0</v>
      </c>
      <c r="D427">
        <v>-109.6875</v>
      </c>
      <c r="E427">
        <v>646.75</v>
      </c>
      <c r="F427" t="s">
        <v>885</v>
      </c>
    </row>
    <row r="428" spans="1:6" x14ac:dyDescent="0.25">
      <c r="A428" t="s">
        <v>1305</v>
      </c>
      <c r="B428">
        <v>427</v>
      </c>
      <c r="C428">
        <v>0</v>
      </c>
      <c r="D428">
        <v>-109.6875</v>
      </c>
      <c r="E428">
        <v>646.75</v>
      </c>
      <c r="F428" t="s">
        <v>885</v>
      </c>
    </row>
    <row r="429" spans="1:6" x14ac:dyDescent="0.25">
      <c r="A429" t="s">
        <v>960</v>
      </c>
      <c r="B429">
        <v>428</v>
      </c>
      <c r="C429">
        <v>0</v>
      </c>
      <c r="D429">
        <v>-60</v>
      </c>
      <c r="E429">
        <v>778.75</v>
      </c>
      <c r="F429" t="s">
        <v>885</v>
      </c>
    </row>
    <row r="430" spans="1:6" x14ac:dyDescent="0.25">
      <c r="A430" t="s">
        <v>961</v>
      </c>
      <c r="B430">
        <v>429</v>
      </c>
      <c r="C430">
        <v>0</v>
      </c>
      <c r="D430">
        <v>0</v>
      </c>
      <c r="E430">
        <v>778.75</v>
      </c>
      <c r="F430" t="s">
        <v>885</v>
      </c>
    </row>
    <row r="431" spans="1:6" x14ac:dyDescent="0.25">
      <c r="A431" t="s">
        <v>962</v>
      </c>
      <c r="B431">
        <v>430</v>
      </c>
      <c r="C431">
        <v>0</v>
      </c>
      <c r="D431">
        <v>-120</v>
      </c>
      <c r="E431">
        <v>778.75</v>
      </c>
      <c r="F431" t="s">
        <v>885</v>
      </c>
    </row>
    <row r="432" spans="1:6" x14ac:dyDescent="0.25">
      <c r="A432" t="s">
        <v>1309</v>
      </c>
      <c r="B432">
        <v>431</v>
      </c>
      <c r="C432">
        <v>0</v>
      </c>
      <c r="D432">
        <v>-10.3125</v>
      </c>
      <c r="E432">
        <v>778.75</v>
      </c>
      <c r="F432" t="s">
        <v>885</v>
      </c>
    </row>
    <row r="433" spans="1:6" x14ac:dyDescent="0.25">
      <c r="A433" t="s">
        <v>1310</v>
      </c>
      <c r="B433">
        <v>432</v>
      </c>
      <c r="C433">
        <v>0</v>
      </c>
      <c r="D433">
        <v>-10.3125</v>
      </c>
      <c r="E433">
        <v>778.75</v>
      </c>
      <c r="F433" t="s">
        <v>885</v>
      </c>
    </row>
    <row r="434" spans="1:6" x14ac:dyDescent="0.25">
      <c r="A434" t="s">
        <v>1314</v>
      </c>
      <c r="B434">
        <v>433</v>
      </c>
      <c r="C434">
        <v>0</v>
      </c>
      <c r="D434">
        <v>-109.6875</v>
      </c>
      <c r="E434">
        <v>778.75</v>
      </c>
      <c r="F434" t="s">
        <v>885</v>
      </c>
    </row>
    <row r="435" spans="1:6" x14ac:dyDescent="0.25">
      <c r="A435" t="s">
        <v>1315</v>
      </c>
      <c r="B435">
        <v>434</v>
      </c>
      <c r="C435">
        <v>0</v>
      </c>
      <c r="D435">
        <v>-109.6875</v>
      </c>
      <c r="E435">
        <v>778.75</v>
      </c>
      <c r="F435" t="s">
        <v>885</v>
      </c>
    </row>
    <row r="436" spans="1:6" x14ac:dyDescent="0.25">
      <c r="A436" t="s">
        <v>963</v>
      </c>
      <c r="B436">
        <v>435</v>
      </c>
      <c r="C436">
        <v>0</v>
      </c>
      <c r="D436">
        <v>-60</v>
      </c>
      <c r="E436">
        <v>910.75</v>
      </c>
      <c r="F436" t="s">
        <v>885</v>
      </c>
    </row>
    <row r="437" spans="1:6" x14ac:dyDescent="0.25">
      <c r="A437" t="s">
        <v>964</v>
      </c>
      <c r="B437">
        <v>436</v>
      </c>
      <c r="C437">
        <v>0</v>
      </c>
      <c r="D437">
        <v>0</v>
      </c>
      <c r="E437">
        <v>910.75</v>
      </c>
      <c r="F437" t="s">
        <v>885</v>
      </c>
    </row>
    <row r="438" spans="1:6" x14ac:dyDescent="0.25">
      <c r="A438" t="s">
        <v>965</v>
      </c>
      <c r="B438">
        <v>437</v>
      </c>
      <c r="C438">
        <v>0</v>
      </c>
      <c r="D438">
        <v>-120</v>
      </c>
      <c r="E438">
        <v>910.75</v>
      </c>
      <c r="F438" t="s">
        <v>885</v>
      </c>
    </row>
    <row r="439" spans="1:6" x14ac:dyDescent="0.25">
      <c r="A439" t="s">
        <v>1319</v>
      </c>
      <c r="B439">
        <v>438</v>
      </c>
      <c r="C439">
        <v>0</v>
      </c>
      <c r="D439">
        <v>-10.3125</v>
      </c>
      <c r="E439">
        <v>910.75</v>
      </c>
      <c r="F439" t="s">
        <v>885</v>
      </c>
    </row>
    <row r="440" spans="1:6" x14ac:dyDescent="0.25">
      <c r="A440" t="s">
        <v>1320</v>
      </c>
      <c r="B440">
        <v>439</v>
      </c>
      <c r="C440">
        <v>0</v>
      </c>
      <c r="D440">
        <v>-10.3125</v>
      </c>
      <c r="E440">
        <v>910.75</v>
      </c>
      <c r="F440" t="s">
        <v>885</v>
      </c>
    </row>
    <row r="441" spans="1:6" x14ac:dyDescent="0.25">
      <c r="A441" t="s">
        <v>1324</v>
      </c>
      <c r="B441">
        <v>440</v>
      </c>
      <c r="C441">
        <v>0</v>
      </c>
      <c r="D441">
        <v>-109.6875</v>
      </c>
      <c r="E441">
        <v>910.75</v>
      </c>
      <c r="F441" t="s">
        <v>885</v>
      </c>
    </row>
    <row r="442" spans="1:6" x14ac:dyDescent="0.25">
      <c r="A442" t="s">
        <v>1325</v>
      </c>
      <c r="B442">
        <v>441</v>
      </c>
      <c r="C442">
        <v>0</v>
      </c>
      <c r="D442">
        <v>-109.6875</v>
      </c>
      <c r="E442">
        <v>910.75</v>
      </c>
      <c r="F442" t="s">
        <v>885</v>
      </c>
    </row>
    <row r="443" spans="1:6" x14ac:dyDescent="0.25">
      <c r="A443" t="s">
        <v>966</v>
      </c>
      <c r="B443">
        <v>442</v>
      </c>
      <c r="C443">
        <v>0</v>
      </c>
      <c r="D443">
        <v>-60</v>
      </c>
      <c r="E443">
        <v>1024.75</v>
      </c>
      <c r="F443" t="s">
        <v>885</v>
      </c>
    </row>
    <row r="444" spans="1:6" x14ac:dyDescent="0.25">
      <c r="A444" t="s">
        <v>967</v>
      </c>
      <c r="B444">
        <v>443</v>
      </c>
      <c r="C444">
        <v>0</v>
      </c>
      <c r="D444">
        <v>0</v>
      </c>
      <c r="E444">
        <v>1024.75</v>
      </c>
      <c r="F444" t="s">
        <v>885</v>
      </c>
    </row>
    <row r="445" spans="1:6" x14ac:dyDescent="0.25">
      <c r="A445" t="s">
        <v>968</v>
      </c>
      <c r="B445">
        <v>444</v>
      </c>
      <c r="C445">
        <v>0</v>
      </c>
      <c r="D445">
        <v>-120</v>
      </c>
      <c r="E445">
        <v>1024.75</v>
      </c>
      <c r="F445" t="s">
        <v>885</v>
      </c>
    </row>
    <row r="446" spans="1:6" x14ac:dyDescent="0.25">
      <c r="A446" t="s">
        <v>1329</v>
      </c>
      <c r="B446">
        <v>445</v>
      </c>
      <c r="C446">
        <v>0</v>
      </c>
      <c r="D446">
        <v>-10.3125</v>
      </c>
      <c r="E446">
        <v>1024.75</v>
      </c>
      <c r="F446" t="s">
        <v>885</v>
      </c>
    </row>
    <row r="447" spans="1:6" x14ac:dyDescent="0.25">
      <c r="A447" t="s">
        <v>1330</v>
      </c>
      <c r="B447">
        <v>446</v>
      </c>
      <c r="C447">
        <v>0</v>
      </c>
      <c r="D447">
        <v>-10.3125</v>
      </c>
      <c r="E447">
        <v>1024.75</v>
      </c>
      <c r="F447" t="s">
        <v>885</v>
      </c>
    </row>
    <row r="448" spans="1:6" x14ac:dyDescent="0.25">
      <c r="A448" t="s">
        <v>1334</v>
      </c>
      <c r="B448">
        <v>447</v>
      </c>
      <c r="C448">
        <v>0</v>
      </c>
      <c r="D448">
        <v>-109.6875</v>
      </c>
      <c r="E448">
        <v>1024.75</v>
      </c>
      <c r="F448" t="s">
        <v>885</v>
      </c>
    </row>
    <row r="449" spans="1:6" x14ac:dyDescent="0.25">
      <c r="A449" t="s">
        <v>1335</v>
      </c>
      <c r="B449">
        <v>448</v>
      </c>
      <c r="C449">
        <v>0</v>
      </c>
      <c r="D449">
        <v>-109.6875</v>
      </c>
      <c r="E449">
        <v>1024.75</v>
      </c>
      <c r="F449" t="s">
        <v>885</v>
      </c>
    </row>
    <row r="450" spans="1:6" x14ac:dyDescent="0.25">
      <c r="A450" t="s">
        <v>969</v>
      </c>
      <c r="B450">
        <v>449</v>
      </c>
      <c r="C450">
        <v>0</v>
      </c>
      <c r="D450">
        <v>-60</v>
      </c>
      <c r="E450">
        <v>1156.75</v>
      </c>
      <c r="F450" t="s">
        <v>885</v>
      </c>
    </row>
    <row r="451" spans="1:6" x14ac:dyDescent="0.25">
      <c r="A451" t="s">
        <v>970</v>
      </c>
      <c r="B451">
        <v>450</v>
      </c>
      <c r="C451">
        <v>0</v>
      </c>
      <c r="D451">
        <v>0</v>
      </c>
      <c r="E451">
        <v>1156.75</v>
      </c>
      <c r="F451" t="s">
        <v>885</v>
      </c>
    </row>
    <row r="452" spans="1:6" x14ac:dyDescent="0.25">
      <c r="A452" t="s">
        <v>971</v>
      </c>
      <c r="B452">
        <v>451</v>
      </c>
      <c r="C452">
        <v>0</v>
      </c>
      <c r="D452">
        <v>-120</v>
      </c>
      <c r="E452">
        <v>1156.75</v>
      </c>
      <c r="F452" t="s">
        <v>885</v>
      </c>
    </row>
    <row r="453" spans="1:6" x14ac:dyDescent="0.25">
      <c r="A453" t="s">
        <v>1339</v>
      </c>
      <c r="B453">
        <v>452</v>
      </c>
      <c r="C453">
        <v>0</v>
      </c>
      <c r="D453">
        <v>-10.3125</v>
      </c>
      <c r="E453">
        <v>1156.75</v>
      </c>
      <c r="F453" t="s">
        <v>885</v>
      </c>
    </row>
    <row r="454" spans="1:6" x14ac:dyDescent="0.25">
      <c r="A454" t="s">
        <v>1340</v>
      </c>
      <c r="B454">
        <v>453</v>
      </c>
      <c r="C454">
        <v>0</v>
      </c>
      <c r="D454">
        <v>-10.3125</v>
      </c>
      <c r="E454">
        <v>1156.75</v>
      </c>
      <c r="F454" t="s">
        <v>885</v>
      </c>
    </row>
    <row r="455" spans="1:6" x14ac:dyDescent="0.25">
      <c r="A455" t="s">
        <v>1344</v>
      </c>
      <c r="B455">
        <v>454</v>
      </c>
      <c r="C455">
        <v>0</v>
      </c>
      <c r="D455">
        <v>-109.6875</v>
      </c>
      <c r="E455">
        <v>1156.75</v>
      </c>
      <c r="F455" t="s">
        <v>885</v>
      </c>
    </row>
    <row r="456" spans="1:6" x14ac:dyDescent="0.25">
      <c r="A456" t="s">
        <v>1345</v>
      </c>
      <c r="B456">
        <v>455</v>
      </c>
      <c r="C456">
        <v>0</v>
      </c>
      <c r="D456">
        <v>-109.6875</v>
      </c>
      <c r="E456">
        <v>1156.75</v>
      </c>
      <c r="F456" t="s">
        <v>885</v>
      </c>
    </row>
    <row r="457" spans="1:6" x14ac:dyDescent="0.25">
      <c r="A457" t="s">
        <v>972</v>
      </c>
      <c r="B457">
        <v>456</v>
      </c>
      <c r="C457">
        <v>0</v>
      </c>
      <c r="D457">
        <v>-60</v>
      </c>
      <c r="E457">
        <v>1288.75</v>
      </c>
      <c r="F457" t="s">
        <v>885</v>
      </c>
    </row>
    <row r="458" spans="1:6" x14ac:dyDescent="0.25">
      <c r="A458" t="s">
        <v>973</v>
      </c>
      <c r="B458">
        <v>457</v>
      </c>
      <c r="C458">
        <v>0</v>
      </c>
      <c r="D458">
        <v>0</v>
      </c>
      <c r="E458">
        <v>1288.75</v>
      </c>
      <c r="F458" t="s">
        <v>885</v>
      </c>
    </row>
    <row r="459" spans="1:6" x14ac:dyDescent="0.25">
      <c r="A459" t="s">
        <v>974</v>
      </c>
      <c r="B459">
        <v>458</v>
      </c>
      <c r="C459">
        <v>0</v>
      </c>
      <c r="D459">
        <v>-120</v>
      </c>
      <c r="E459">
        <v>1288.75</v>
      </c>
      <c r="F459" t="s">
        <v>885</v>
      </c>
    </row>
    <row r="460" spans="1:6" x14ac:dyDescent="0.25">
      <c r="A460" t="s">
        <v>1349</v>
      </c>
      <c r="B460">
        <v>459</v>
      </c>
      <c r="C460">
        <v>0</v>
      </c>
      <c r="D460">
        <v>-10.3125</v>
      </c>
      <c r="E460">
        <v>1288.75</v>
      </c>
      <c r="F460" t="s">
        <v>885</v>
      </c>
    </row>
    <row r="461" spans="1:6" x14ac:dyDescent="0.25">
      <c r="A461" t="s">
        <v>1350</v>
      </c>
      <c r="B461">
        <v>460</v>
      </c>
      <c r="C461">
        <v>0</v>
      </c>
      <c r="D461">
        <v>-10.3125</v>
      </c>
      <c r="E461">
        <v>1288.75</v>
      </c>
      <c r="F461" t="s">
        <v>885</v>
      </c>
    </row>
    <row r="462" spans="1:6" x14ac:dyDescent="0.25">
      <c r="A462" t="s">
        <v>1354</v>
      </c>
      <c r="B462">
        <v>461</v>
      </c>
      <c r="C462">
        <v>0</v>
      </c>
      <c r="D462">
        <v>-109.6875</v>
      </c>
      <c r="E462">
        <v>1288.75</v>
      </c>
      <c r="F462" t="s">
        <v>885</v>
      </c>
    </row>
    <row r="463" spans="1:6" x14ac:dyDescent="0.25">
      <c r="A463" t="s">
        <v>1355</v>
      </c>
      <c r="B463">
        <v>462</v>
      </c>
      <c r="C463">
        <v>0</v>
      </c>
      <c r="D463">
        <v>-109.6875</v>
      </c>
      <c r="E463">
        <v>1288.75</v>
      </c>
      <c r="F463" t="s">
        <v>885</v>
      </c>
    </row>
    <row r="464" spans="1:6" x14ac:dyDescent="0.25">
      <c r="A464" t="s">
        <v>975</v>
      </c>
      <c r="B464">
        <v>463</v>
      </c>
      <c r="C464">
        <v>384</v>
      </c>
      <c r="D464">
        <v>-60</v>
      </c>
      <c r="E464">
        <v>118.75</v>
      </c>
      <c r="F464" t="s">
        <v>885</v>
      </c>
    </row>
    <row r="465" spans="1:6" x14ac:dyDescent="0.25">
      <c r="A465" t="s">
        <v>976</v>
      </c>
      <c r="B465">
        <v>464</v>
      </c>
      <c r="C465">
        <v>384</v>
      </c>
      <c r="D465">
        <v>0</v>
      </c>
      <c r="E465">
        <v>118.75</v>
      </c>
      <c r="F465" t="s">
        <v>885</v>
      </c>
    </row>
    <row r="466" spans="1:6" x14ac:dyDescent="0.25">
      <c r="A466" t="s">
        <v>977</v>
      </c>
      <c r="B466">
        <v>465</v>
      </c>
      <c r="C466">
        <v>384</v>
      </c>
      <c r="D466">
        <v>-120</v>
      </c>
      <c r="E466">
        <v>118.75</v>
      </c>
      <c r="F466" t="s">
        <v>885</v>
      </c>
    </row>
    <row r="467" spans="1:6" x14ac:dyDescent="0.25">
      <c r="A467" t="s">
        <v>1359</v>
      </c>
      <c r="B467">
        <v>466</v>
      </c>
      <c r="C467">
        <v>384</v>
      </c>
      <c r="D467">
        <v>-10.3125</v>
      </c>
      <c r="E467">
        <v>118.75</v>
      </c>
      <c r="F467" t="s">
        <v>885</v>
      </c>
    </row>
    <row r="468" spans="1:6" x14ac:dyDescent="0.25">
      <c r="A468" t="s">
        <v>1360</v>
      </c>
      <c r="B468">
        <v>467</v>
      </c>
      <c r="C468">
        <v>384</v>
      </c>
      <c r="D468">
        <v>-10.3125</v>
      </c>
      <c r="E468">
        <v>118.75</v>
      </c>
      <c r="F468" t="s">
        <v>885</v>
      </c>
    </row>
    <row r="469" spans="1:6" x14ac:dyDescent="0.25">
      <c r="A469" t="s">
        <v>1364</v>
      </c>
      <c r="B469">
        <v>468</v>
      </c>
      <c r="C469">
        <v>384</v>
      </c>
      <c r="D469">
        <v>-109.6875</v>
      </c>
      <c r="E469">
        <v>118.75</v>
      </c>
      <c r="F469" t="s">
        <v>885</v>
      </c>
    </row>
    <row r="470" spans="1:6" x14ac:dyDescent="0.25">
      <c r="A470" t="s">
        <v>1365</v>
      </c>
      <c r="B470">
        <v>469</v>
      </c>
      <c r="C470">
        <v>384</v>
      </c>
      <c r="D470">
        <v>-109.6875</v>
      </c>
      <c r="E470">
        <v>118.75</v>
      </c>
      <c r="F470" t="s">
        <v>885</v>
      </c>
    </row>
    <row r="471" spans="1:6" x14ac:dyDescent="0.25">
      <c r="A471" t="s">
        <v>978</v>
      </c>
      <c r="B471">
        <v>470</v>
      </c>
      <c r="C471">
        <v>384</v>
      </c>
      <c r="D471">
        <v>-60</v>
      </c>
      <c r="E471">
        <v>250.75</v>
      </c>
      <c r="F471" t="s">
        <v>885</v>
      </c>
    </row>
    <row r="472" spans="1:6" x14ac:dyDescent="0.25">
      <c r="A472" t="s">
        <v>979</v>
      </c>
      <c r="B472">
        <v>471</v>
      </c>
      <c r="C472">
        <v>384</v>
      </c>
      <c r="D472">
        <v>0</v>
      </c>
      <c r="E472">
        <v>250.75</v>
      </c>
      <c r="F472" t="s">
        <v>885</v>
      </c>
    </row>
    <row r="473" spans="1:6" x14ac:dyDescent="0.25">
      <c r="A473" t="s">
        <v>980</v>
      </c>
      <c r="B473">
        <v>472</v>
      </c>
      <c r="C473">
        <v>384</v>
      </c>
      <c r="D473">
        <v>-120</v>
      </c>
      <c r="E473">
        <v>250.75</v>
      </c>
      <c r="F473" t="s">
        <v>885</v>
      </c>
    </row>
    <row r="474" spans="1:6" x14ac:dyDescent="0.25">
      <c r="A474" t="s">
        <v>1369</v>
      </c>
      <c r="B474">
        <v>473</v>
      </c>
      <c r="C474">
        <v>384</v>
      </c>
      <c r="D474">
        <v>-10.3125</v>
      </c>
      <c r="E474">
        <v>250.75</v>
      </c>
      <c r="F474" t="s">
        <v>885</v>
      </c>
    </row>
    <row r="475" spans="1:6" x14ac:dyDescent="0.25">
      <c r="A475" t="s">
        <v>1370</v>
      </c>
      <c r="B475">
        <v>474</v>
      </c>
      <c r="C475">
        <v>384</v>
      </c>
      <c r="D475">
        <v>-10.3125</v>
      </c>
      <c r="E475">
        <v>250.75</v>
      </c>
      <c r="F475" t="s">
        <v>885</v>
      </c>
    </row>
    <row r="476" spans="1:6" x14ac:dyDescent="0.25">
      <c r="A476" t="s">
        <v>1374</v>
      </c>
      <c r="B476">
        <v>475</v>
      </c>
      <c r="C476">
        <v>384</v>
      </c>
      <c r="D476">
        <v>-109.6875</v>
      </c>
      <c r="E476">
        <v>250.75</v>
      </c>
      <c r="F476" t="s">
        <v>885</v>
      </c>
    </row>
    <row r="477" spans="1:6" x14ac:dyDescent="0.25">
      <c r="A477" t="s">
        <v>1375</v>
      </c>
      <c r="B477">
        <v>476</v>
      </c>
      <c r="C477">
        <v>384</v>
      </c>
      <c r="D477">
        <v>-109.6875</v>
      </c>
      <c r="E477">
        <v>250.75</v>
      </c>
      <c r="F477" t="s">
        <v>885</v>
      </c>
    </row>
    <row r="478" spans="1:6" x14ac:dyDescent="0.25">
      <c r="A478" t="s">
        <v>981</v>
      </c>
      <c r="B478">
        <v>477</v>
      </c>
      <c r="C478">
        <v>384</v>
      </c>
      <c r="D478">
        <v>-60</v>
      </c>
      <c r="E478">
        <v>382.75</v>
      </c>
      <c r="F478" t="s">
        <v>885</v>
      </c>
    </row>
    <row r="479" spans="1:6" x14ac:dyDescent="0.25">
      <c r="A479" t="s">
        <v>982</v>
      </c>
      <c r="B479">
        <v>478</v>
      </c>
      <c r="C479">
        <v>384</v>
      </c>
      <c r="D479">
        <v>0</v>
      </c>
      <c r="E479">
        <v>382.75</v>
      </c>
      <c r="F479" t="s">
        <v>885</v>
      </c>
    </row>
    <row r="480" spans="1:6" x14ac:dyDescent="0.25">
      <c r="A480" t="s">
        <v>983</v>
      </c>
      <c r="B480">
        <v>479</v>
      </c>
      <c r="C480">
        <v>384</v>
      </c>
      <c r="D480">
        <v>-120</v>
      </c>
      <c r="E480">
        <v>382.75</v>
      </c>
      <c r="F480" t="s">
        <v>885</v>
      </c>
    </row>
    <row r="481" spans="1:6" x14ac:dyDescent="0.25">
      <c r="A481" t="s">
        <v>1379</v>
      </c>
      <c r="B481">
        <v>480</v>
      </c>
      <c r="C481">
        <v>384</v>
      </c>
      <c r="D481">
        <v>-10.3125</v>
      </c>
      <c r="E481">
        <v>382.75</v>
      </c>
      <c r="F481" t="s">
        <v>885</v>
      </c>
    </row>
    <row r="482" spans="1:6" x14ac:dyDescent="0.25">
      <c r="A482" t="s">
        <v>1380</v>
      </c>
      <c r="B482">
        <v>481</v>
      </c>
      <c r="C482">
        <v>384</v>
      </c>
      <c r="D482">
        <v>-10.3125</v>
      </c>
      <c r="E482">
        <v>382.75</v>
      </c>
      <c r="F482" t="s">
        <v>885</v>
      </c>
    </row>
    <row r="483" spans="1:6" x14ac:dyDescent="0.25">
      <c r="A483" t="s">
        <v>1384</v>
      </c>
      <c r="B483">
        <v>482</v>
      </c>
      <c r="C483">
        <v>384</v>
      </c>
      <c r="D483">
        <v>-109.6875</v>
      </c>
      <c r="E483">
        <v>382.75</v>
      </c>
      <c r="F483" t="s">
        <v>885</v>
      </c>
    </row>
    <row r="484" spans="1:6" x14ac:dyDescent="0.25">
      <c r="A484" t="s">
        <v>1385</v>
      </c>
      <c r="B484">
        <v>483</v>
      </c>
      <c r="C484">
        <v>384</v>
      </c>
      <c r="D484">
        <v>-109.6875</v>
      </c>
      <c r="E484">
        <v>382.75</v>
      </c>
      <c r="F484" t="s">
        <v>885</v>
      </c>
    </row>
    <row r="485" spans="1:6" x14ac:dyDescent="0.25">
      <c r="A485" t="s">
        <v>984</v>
      </c>
      <c r="B485">
        <v>484</v>
      </c>
      <c r="C485">
        <v>384</v>
      </c>
      <c r="D485">
        <v>-60</v>
      </c>
      <c r="E485">
        <v>514.75</v>
      </c>
      <c r="F485" t="s">
        <v>885</v>
      </c>
    </row>
    <row r="486" spans="1:6" x14ac:dyDescent="0.25">
      <c r="A486" t="s">
        <v>985</v>
      </c>
      <c r="B486">
        <v>485</v>
      </c>
      <c r="C486">
        <v>384</v>
      </c>
      <c r="D486">
        <v>0</v>
      </c>
      <c r="E486">
        <v>514.75</v>
      </c>
      <c r="F486" t="s">
        <v>885</v>
      </c>
    </row>
    <row r="487" spans="1:6" x14ac:dyDescent="0.25">
      <c r="A487" t="s">
        <v>986</v>
      </c>
      <c r="B487">
        <v>486</v>
      </c>
      <c r="C487">
        <v>384</v>
      </c>
      <c r="D487">
        <v>-120</v>
      </c>
      <c r="E487">
        <v>514.75</v>
      </c>
      <c r="F487" t="s">
        <v>885</v>
      </c>
    </row>
    <row r="488" spans="1:6" x14ac:dyDescent="0.25">
      <c r="A488" t="s">
        <v>1389</v>
      </c>
      <c r="B488">
        <v>487</v>
      </c>
      <c r="C488">
        <v>384</v>
      </c>
      <c r="D488">
        <v>-10.3125</v>
      </c>
      <c r="E488">
        <v>514.75</v>
      </c>
      <c r="F488" t="s">
        <v>885</v>
      </c>
    </row>
    <row r="489" spans="1:6" x14ac:dyDescent="0.25">
      <c r="A489" t="s">
        <v>1390</v>
      </c>
      <c r="B489">
        <v>488</v>
      </c>
      <c r="C489">
        <v>384</v>
      </c>
      <c r="D489">
        <v>-10.3125</v>
      </c>
      <c r="E489">
        <v>514.75</v>
      </c>
      <c r="F489" t="s">
        <v>885</v>
      </c>
    </row>
    <row r="490" spans="1:6" x14ac:dyDescent="0.25">
      <c r="A490" t="s">
        <v>1394</v>
      </c>
      <c r="B490">
        <v>489</v>
      </c>
      <c r="C490">
        <v>384</v>
      </c>
      <c r="D490">
        <v>-109.6875</v>
      </c>
      <c r="E490">
        <v>514.75</v>
      </c>
      <c r="F490" t="s">
        <v>885</v>
      </c>
    </row>
    <row r="491" spans="1:6" x14ac:dyDescent="0.25">
      <c r="A491" t="s">
        <v>1395</v>
      </c>
      <c r="B491">
        <v>490</v>
      </c>
      <c r="C491">
        <v>384</v>
      </c>
      <c r="D491">
        <v>-109.6875</v>
      </c>
      <c r="E491">
        <v>514.75</v>
      </c>
      <c r="F491" t="s">
        <v>885</v>
      </c>
    </row>
    <row r="492" spans="1:6" x14ac:dyDescent="0.25">
      <c r="A492" t="s">
        <v>987</v>
      </c>
      <c r="B492">
        <v>491</v>
      </c>
      <c r="C492">
        <v>384</v>
      </c>
      <c r="D492">
        <v>-60</v>
      </c>
      <c r="E492">
        <v>646.75</v>
      </c>
      <c r="F492" t="s">
        <v>885</v>
      </c>
    </row>
    <row r="493" spans="1:6" x14ac:dyDescent="0.25">
      <c r="A493" t="s">
        <v>988</v>
      </c>
      <c r="B493">
        <v>492</v>
      </c>
      <c r="C493">
        <v>384</v>
      </c>
      <c r="D493">
        <v>0</v>
      </c>
      <c r="E493">
        <v>646.75</v>
      </c>
      <c r="F493" t="s">
        <v>885</v>
      </c>
    </row>
    <row r="494" spans="1:6" x14ac:dyDescent="0.25">
      <c r="A494" t="s">
        <v>989</v>
      </c>
      <c r="B494">
        <v>493</v>
      </c>
      <c r="C494">
        <v>384</v>
      </c>
      <c r="D494">
        <v>-120</v>
      </c>
      <c r="E494">
        <v>646.75</v>
      </c>
      <c r="F494" t="s">
        <v>885</v>
      </c>
    </row>
    <row r="495" spans="1:6" x14ac:dyDescent="0.25">
      <c r="A495" t="s">
        <v>1399</v>
      </c>
      <c r="B495">
        <v>494</v>
      </c>
      <c r="C495">
        <v>384</v>
      </c>
      <c r="D495">
        <v>-10.3125</v>
      </c>
      <c r="E495">
        <v>646.75</v>
      </c>
      <c r="F495" t="s">
        <v>885</v>
      </c>
    </row>
    <row r="496" spans="1:6" x14ac:dyDescent="0.25">
      <c r="A496" t="s">
        <v>1400</v>
      </c>
      <c r="B496">
        <v>495</v>
      </c>
      <c r="C496">
        <v>384</v>
      </c>
      <c r="D496">
        <v>-10.3125</v>
      </c>
      <c r="E496">
        <v>646.75</v>
      </c>
      <c r="F496" t="s">
        <v>885</v>
      </c>
    </row>
    <row r="497" spans="1:6" x14ac:dyDescent="0.25">
      <c r="A497" t="s">
        <v>1404</v>
      </c>
      <c r="B497">
        <v>496</v>
      </c>
      <c r="C497">
        <v>384</v>
      </c>
      <c r="D497">
        <v>-109.6875</v>
      </c>
      <c r="E497">
        <v>646.75</v>
      </c>
      <c r="F497" t="s">
        <v>885</v>
      </c>
    </row>
    <row r="498" spans="1:6" x14ac:dyDescent="0.25">
      <c r="A498" t="s">
        <v>1405</v>
      </c>
      <c r="B498">
        <v>497</v>
      </c>
      <c r="C498">
        <v>384</v>
      </c>
      <c r="D498">
        <v>-109.6875</v>
      </c>
      <c r="E498">
        <v>646.75</v>
      </c>
      <c r="F498" t="s">
        <v>885</v>
      </c>
    </row>
    <row r="499" spans="1:6" x14ac:dyDescent="0.25">
      <c r="A499" t="s">
        <v>990</v>
      </c>
      <c r="B499">
        <v>498</v>
      </c>
      <c r="C499">
        <v>384</v>
      </c>
      <c r="D499">
        <v>-60</v>
      </c>
      <c r="E499">
        <v>778.75</v>
      </c>
      <c r="F499" t="s">
        <v>885</v>
      </c>
    </row>
    <row r="500" spans="1:6" x14ac:dyDescent="0.25">
      <c r="A500" t="s">
        <v>991</v>
      </c>
      <c r="B500">
        <v>499</v>
      </c>
      <c r="C500">
        <v>384</v>
      </c>
      <c r="D500">
        <v>0</v>
      </c>
      <c r="E500">
        <v>778.75</v>
      </c>
      <c r="F500" t="s">
        <v>885</v>
      </c>
    </row>
    <row r="501" spans="1:6" x14ac:dyDescent="0.25">
      <c r="A501" t="s">
        <v>992</v>
      </c>
      <c r="B501">
        <v>500</v>
      </c>
      <c r="C501">
        <v>384</v>
      </c>
      <c r="D501">
        <v>-120</v>
      </c>
      <c r="E501">
        <v>778.75</v>
      </c>
      <c r="F501" t="s">
        <v>885</v>
      </c>
    </row>
    <row r="502" spans="1:6" x14ac:dyDescent="0.25">
      <c r="A502" t="s">
        <v>1409</v>
      </c>
      <c r="B502">
        <v>501</v>
      </c>
      <c r="C502">
        <v>384</v>
      </c>
      <c r="D502">
        <v>-10.3125</v>
      </c>
      <c r="E502">
        <v>778.75</v>
      </c>
      <c r="F502" t="s">
        <v>885</v>
      </c>
    </row>
    <row r="503" spans="1:6" x14ac:dyDescent="0.25">
      <c r="A503" t="s">
        <v>1410</v>
      </c>
      <c r="B503">
        <v>502</v>
      </c>
      <c r="C503">
        <v>384</v>
      </c>
      <c r="D503">
        <v>-10.3125</v>
      </c>
      <c r="E503">
        <v>778.75</v>
      </c>
      <c r="F503" t="s">
        <v>885</v>
      </c>
    </row>
    <row r="504" spans="1:6" x14ac:dyDescent="0.25">
      <c r="A504" t="s">
        <v>1414</v>
      </c>
      <c r="B504">
        <v>503</v>
      </c>
      <c r="C504">
        <v>384</v>
      </c>
      <c r="D504">
        <v>-109.6875</v>
      </c>
      <c r="E504">
        <v>778.75</v>
      </c>
      <c r="F504" t="s">
        <v>885</v>
      </c>
    </row>
    <row r="505" spans="1:6" x14ac:dyDescent="0.25">
      <c r="A505" t="s">
        <v>1415</v>
      </c>
      <c r="B505">
        <v>504</v>
      </c>
      <c r="C505">
        <v>384</v>
      </c>
      <c r="D505">
        <v>-109.6875</v>
      </c>
      <c r="E505">
        <v>778.75</v>
      </c>
      <c r="F505" t="s">
        <v>885</v>
      </c>
    </row>
    <row r="506" spans="1:6" x14ac:dyDescent="0.25">
      <c r="A506" t="s">
        <v>993</v>
      </c>
      <c r="B506">
        <v>505</v>
      </c>
      <c r="C506">
        <v>384</v>
      </c>
      <c r="D506">
        <v>-60</v>
      </c>
      <c r="E506">
        <v>910.75</v>
      </c>
      <c r="F506" t="s">
        <v>885</v>
      </c>
    </row>
    <row r="507" spans="1:6" x14ac:dyDescent="0.25">
      <c r="A507" t="s">
        <v>994</v>
      </c>
      <c r="B507">
        <v>506</v>
      </c>
      <c r="C507">
        <v>384</v>
      </c>
      <c r="D507">
        <v>0</v>
      </c>
      <c r="E507">
        <v>910.75</v>
      </c>
      <c r="F507" t="s">
        <v>885</v>
      </c>
    </row>
    <row r="508" spans="1:6" x14ac:dyDescent="0.25">
      <c r="A508" t="s">
        <v>995</v>
      </c>
      <c r="B508">
        <v>507</v>
      </c>
      <c r="C508">
        <v>384</v>
      </c>
      <c r="D508">
        <v>-120</v>
      </c>
      <c r="E508">
        <v>910.75</v>
      </c>
      <c r="F508" t="s">
        <v>885</v>
      </c>
    </row>
    <row r="509" spans="1:6" x14ac:dyDescent="0.25">
      <c r="A509" t="s">
        <v>1419</v>
      </c>
      <c r="B509">
        <v>508</v>
      </c>
      <c r="C509">
        <v>384</v>
      </c>
      <c r="D509">
        <v>-10.3125</v>
      </c>
      <c r="E509">
        <v>910.75</v>
      </c>
      <c r="F509" t="s">
        <v>885</v>
      </c>
    </row>
    <row r="510" spans="1:6" x14ac:dyDescent="0.25">
      <c r="A510" t="s">
        <v>1420</v>
      </c>
      <c r="B510">
        <v>509</v>
      </c>
      <c r="C510">
        <v>384</v>
      </c>
      <c r="D510">
        <v>-10.3125</v>
      </c>
      <c r="E510">
        <v>910.75</v>
      </c>
      <c r="F510" t="s">
        <v>885</v>
      </c>
    </row>
    <row r="511" spans="1:6" x14ac:dyDescent="0.25">
      <c r="A511" t="s">
        <v>1424</v>
      </c>
      <c r="B511">
        <v>510</v>
      </c>
      <c r="C511">
        <v>384</v>
      </c>
      <c r="D511">
        <v>-109.6875</v>
      </c>
      <c r="E511">
        <v>910.75</v>
      </c>
      <c r="F511" t="s">
        <v>885</v>
      </c>
    </row>
    <row r="512" spans="1:6" x14ac:dyDescent="0.25">
      <c r="A512" t="s">
        <v>1425</v>
      </c>
      <c r="B512">
        <v>511</v>
      </c>
      <c r="C512">
        <v>384</v>
      </c>
      <c r="D512">
        <v>-109.6875</v>
      </c>
      <c r="E512">
        <v>910.75</v>
      </c>
      <c r="F512" t="s">
        <v>885</v>
      </c>
    </row>
    <row r="513" spans="1:6" x14ac:dyDescent="0.25">
      <c r="A513" t="s">
        <v>996</v>
      </c>
      <c r="B513">
        <v>512</v>
      </c>
      <c r="C513">
        <v>384</v>
      </c>
      <c r="D513">
        <v>-60</v>
      </c>
      <c r="E513">
        <v>1024.75</v>
      </c>
      <c r="F513" t="s">
        <v>885</v>
      </c>
    </row>
    <row r="514" spans="1:6" x14ac:dyDescent="0.25">
      <c r="A514" t="s">
        <v>997</v>
      </c>
      <c r="B514">
        <v>513</v>
      </c>
      <c r="C514">
        <v>384</v>
      </c>
      <c r="D514">
        <v>0</v>
      </c>
      <c r="E514">
        <v>1024.75</v>
      </c>
      <c r="F514" t="s">
        <v>885</v>
      </c>
    </row>
    <row r="515" spans="1:6" x14ac:dyDescent="0.25">
      <c r="A515" t="s">
        <v>998</v>
      </c>
      <c r="B515">
        <v>514</v>
      </c>
      <c r="C515">
        <v>384</v>
      </c>
      <c r="D515">
        <v>-120</v>
      </c>
      <c r="E515">
        <v>1024.75</v>
      </c>
      <c r="F515" t="s">
        <v>885</v>
      </c>
    </row>
    <row r="516" spans="1:6" x14ac:dyDescent="0.25">
      <c r="A516" t="s">
        <v>1429</v>
      </c>
      <c r="B516">
        <v>515</v>
      </c>
      <c r="C516">
        <v>384</v>
      </c>
      <c r="D516">
        <v>-10.3125</v>
      </c>
      <c r="E516">
        <v>1024.75</v>
      </c>
      <c r="F516" t="s">
        <v>885</v>
      </c>
    </row>
    <row r="517" spans="1:6" x14ac:dyDescent="0.25">
      <c r="A517" t="s">
        <v>1430</v>
      </c>
      <c r="B517">
        <v>516</v>
      </c>
      <c r="C517">
        <v>384</v>
      </c>
      <c r="D517">
        <v>-10.3125</v>
      </c>
      <c r="E517">
        <v>1024.75</v>
      </c>
      <c r="F517" t="s">
        <v>885</v>
      </c>
    </row>
    <row r="518" spans="1:6" x14ac:dyDescent="0.25">
      <c r="A518" t="s">
        <v>1434</v>
      </c>
      <c r="B518">
        <v>517</v>
      </c>
      <c r="C518">
        <v>384</v>
      </c>
      <c r="D518">
        <v>-109.6875</v>
      </c>
      <c r="E518">
        <v>1024.75</v>
      </c>
      <c r="F518" t="s">
        <v>885</v>
      </c>
    </row>
    <row r="519" spans="1:6" x14ac:dyDescent="0.25">
      <c r="A519" t="s">
        <v>1435</v>
      </c>
      <c r="B519">
        <v>518</v>
      </c>
      <c r="C519">
        <v>384</v>
      </c>
      <c r="D519">
        <v>-109.6875</v>
      </c>
      <c r="E519">
        <v>1024.75</v>
      </c>
      <c r="F519" t="s">
        <v>885</v>
      </c>
    </row>
    <row r="520" spans="1:6" x14ac:dyDescent="0.25">
      <c r="A520" t="s">
        <v>999</v>
      </c>
      <c r="B520">
        <v>519</v>
      </c>
      <c r="C520">
        <v>384</v>
      </c>
      <c r="D520">
        <v>-60</v>
      </c>
      <c r="E520">
        <v>1156.75</v>
      </c>
      <c r="F520" t="s">
        <v>885</v>
      </c>
    </row>
    <row r="521" spans="1:6" x14ac:dyDescent="0.25">
      <c r="A521" t="s">
        <v>1000</v>
      </c>
      <c r="B521">
        <v>520</v>
      </c>
      <c r="C521">
        <v>384</v>
      </c>
      <c r="D521">
        <v>0</v>
      </c>
      <c r="E521">
        <v>1156.75</v>
      </c>
      <c r="F521" t="s">
        <v>885</v>
      </c>
    </row>
    <row r="522" spans="1:6" x14ac:dyDescent="0.25">
      <c r="A522" t="s">
        <v>1001</v>
      </c>
      <c r="B522">
        <v>521</v>
      </c>
      <c r="C522">
        <v>384</v>
      </c>
      <c r="D522">
        <v>-120</v>
      </c>
      <c r="E522">
        <v>1156.75</v>
      </c>
      <c r="F522" t="s">
        <v>885</v>
      </c>
    </row>
    <row r="523" spans="1:6" x14ac:dyDescent="0.25">
      <c r="A523" t="s">
        <v>1439</v>
      </c>
      <c r="B523">
        <v>522</v>
      </c>
      <c r="C523">
        <v>384</v>
      </c>
      <c r="D523">
        <v>-10.3125</v>
      </c>
      <c r="E523">
        <v>1156.75</v>
      </c>
      <c r="F523" t="s">
        <v>885</v>
      </c>
    </row>
    <row r="524" spans="1:6" x14ac:dyDescent="0.25">
      <c r="A524" t="s">
        <v>1440</v>
      </c>
      <c r="B524">
        <v>523</v>
      </c>
      <c r="C524">
        <v>384</v>
      </c>
      <c r="D524">
        <v>-10.3125</v>
      </c>
      <c r="E524">
        <v>1156.75</v>
      </c>
      <c r="F524" t="s">
        <v>885</v>
      </c>
    </row>
    <row r="525" spans="1:6" x14ac:dyDescent="0.25">
      <c r="A525" t="s">
        <v>1444</v>
      </c>
      <c r="B525">
        <v>524</v>
      </c>
      <c r="C525">
        <v>384</v>
      </c>
      <c r="D525">
        <v>-109.6875</v>
      </c>
      <c r="E525">
        <v>1156.75</v>
      </c>
      <c r="F525" t="s">
        <v>885</v>
      </c>
    </row>
    <row r="526" spans="1:6" x14ac:dyDescent="0.25">
      <c r="A526" t="s">
        <v>1445</v>
      </c>
      <c r="B526">
        <v>525</v>
      </c>
      <c r="C526">
        <v>384</v>
      </c>
      <c r="D526">
        <v>-109.6875</v>
      </c>
      <c r="E526">
        <v>1156.75</v>
      </c>
      <c r="F526" t="s">
        <v>885</v>
      </c>
    </row>
    <row r="527" spans="1:6" x14ac:dyDescent="0.25">
      <c r="A527" t="s">
        <v>1002</v>
      </c>
      <c r="B527">
        <v>526</v>
      </c>
      <c r="C527">
        <v>384</v>
      </c>
      <c r="D527">
        <v>-60</v>
      </c>
      <c r="E527">
        <v>1288.75</v>
      </c>
      <c r="F527" t="s">
        <v>885</v>
      </c>
    </row>
    <row r="528" spans="1:6" x14ac:dyDescent="0.25">
      <c r="A528" t="s">
        <v>1003</v>
      </c>
      <c r="B528">
        <v>527</v>
      </c>
      <c r="C528">
        <v>384</v>
      </c>
      <c r="D528">
        <v>0</v>
      </c>
      <c r="E528">
        <v>1288.75</v>
      </c>
      <c r="F528" t="s">
        <v>885</v>
      </c>
    </row>
    <row r="529" spans="1:6" x14ac:dyDescent="0.25">
      <c r="A529" t="s">
        <v>1004</v>
      </c>
      <c r="B529">
        <v>528</v>
      </c>
      <c r="C529">
        <v>384</v>
      </c>
      <c r="D529">
        <v>-120</v>
      </c>
      <c r="E529">
        <v>1288.75</v>
      </c>
      <c r="F529" t="s">
        <v>885</v>
      </c>
    </row>
    <row r="530" spans="1:6" x14ac:dyDescent="0.25">
      <c r="A530" t="s">
        <v>1449</v>
      </c>
      <c r="B530">
        <v>529</v>
      </c>
      <c r="C530">
        <v>384</v>
      </c>
      <c r="D530">
        <v>-10.3125</v>
      </c>
      <c r="E530">
        <v>1288.75</v>
      </c>
      <c r="F530" t="s">
        <v>885</v>
      </c>
    </row>
    <row r="531" spans="1:6" x14ac:dyDescent="0.25">
      <c r="A531" t="s">
        <v>1450</v>
      </c>
      <c r="B531">
        <v>530</v>
      </c>
      <c r="C531">
        <v>384</v>
      </c>
      <c r="D531">
        <v>-10.3125</v>
      </c>
      <c r="E531">
        <v>1288.75</v>
      </c>
      <c r="F531" t="s">
        <v>885</v>
      </c>
    </row>
    <row r="532" spans="1:6" x14ac:dyDescent="0.25">
      <c r="A532" t="s">
        <v>1454</v>
      </c>
      <c r="B532">
        <v>531</v>
      </c>
      <c r="C532">
        <v>384</v>
      </c>
      <c r="D532">
        <v>-109.6875</v>
      </c>
      <c r="E532">
        <v>1288.75</v>
      </c>
      <c r="F532" t="s">
        <v>885</v>
      </c>
    </row>
    <row r="533" spans="1:6" x14ac:dyDescent="0.25">
      <c r="A533" t="s">
        <v>1455</v>
      </c>
      <c r="B533">
        <v>532</v>
      </c>
      <c r="C533">
        <v>384</v>
      </c>
      <c r="D533">
        <v>-109.6875</v>
      </c>
      <c r="E533">
        <v>1288.75</v>
      </c>
      <c r="F533" t="s">
        <v>885</v>
      </c>
    </row>
    <row r="534" spans="1:6" x14ac:dyDescent="0.25">
      <c r="A534" t="s">
        <v>1565</v>
      </c>
      <c r="B534">
        <v>533</v>
      </c>
      <c r="C534">
        <v>199.125</v>
      </c>
      <c r="D534">
        <v>7.875</v>
      </c>
      <c r="E534">
        <v>1390.25</v>
      </c>
      <c r="F534" t="s">
        <v>1566</v>
      </c>
    </row>
    <row r="535" spans="1:6" x14ac:dyDescent="0.25">
      <c r="A535" t="s">
        <v>1567</v>
      </c>
      <c r="B535">
        <v>534</v>
      </c>
      <c r="C535">
        <v>199.125</v>
      </c>
      <c r="D535">
        <v>7.875</v>
      </c>
      <c r="E535">
        <v>0</v>
      </c>
      <c r="F535" t="s">
        <v>1566</v>
      </c>
    </row>
    <row r="536" spans="1:6" x14ac:dyDescent="0.25">
      <c r="A536" t="s">
        <v>1570</v>
      </c>
      <c r="B536">
        <v>535</v>
      </c>
      <c r="C536">
        <v>199.125</v>
      </c>
      <c r="D536">
        <v>-7.875</v>
      </c>
      <c r="E536">
        <v>1390.25</v>
      </c>
      <c r="F536" t="s">
        <v>1566</v>
      </c>
    </row>
    <row r="537" spans="1:6" x14ac:dyDescent="0.25">
      <c r="A537" t="s">
        <v>1571</v>
      </c>
      <c r="B537">
        <v>536</v>
      </c>
      <c r="C537">
        <v>199.125</v>
      </c>
      <c r="D537">
        <v>-7.875</v>
      </c>
      <c r="E537">
        <v>0</v>
      </c>
      <c r="F537" t="s">
        <v>1566</v>
      </c>
    </row>
    <row r="538" spans="1:6" x14ac:dyDescent="0.25">
      <c r="A538" t="s">
        <v>1573</v>
      </c>
      <c r="B538">
        <v>537</v>
      </c>
      <c r="C538">
        <v>184.875</v>
      </c>
      <c r="D538">
        <v>-7.875</v>
      </c>
      <c r="E538">
        <v>1390.25</v>
      </c>
      <c r="F538" t="s">
        <v>1566</v>
      </c>
    </row>
    <row r="539" spans="1:6" x14ac:dyDescent="0.25">
      <c r="A539" t="s">
        <v>1574</v>
      </c>
      <c r="B539">
        <v>538</v>
      </c>
      <c r="C539">
        <v>184.875</v>
      </c>
      <c r="D539">
        <v>-7.875</v>
      </c>
      <c r="E539">
        <v>0</v>
      </c>
      <c r="F539" t="s">
        <v>1566</v>
      </c>
    </row>
    <row r="540" spans="1:6" x14ac:dyDescent="0.25">
      <c r="A540" t="s">
        <v>1576</v>
      </c>
      <c r="B540">
        <v>539</v>
      </c>
      <c r="C540">
        <v>184.875</v>
      </c>
      <c r="D540">
        <v>7.875</v>
      </c>
      <c r="E540">
        <v>1390.25</v>
      </c>
      <c r="F540" t="s">
        <v>1566</v>
      </c>
    </row>
    <row r="541" spans="1:6" x14ac:dyDescent="0.25">
      <c r="A541" t="s">
        <v>1577</v>
      </c>
      <c r="B541">
        <v>540</v>
      </c>
      <c r="C541">
        <v>184.875</v>
      </c>
      <c r="D541">
        <v>7.875</v>
      </c>
      <c r="E541">
        <v>0</v>
      </c>
      <c r="F541" t="s">
        <v>1566</v>
      </c>
    </row>
    <row r="542" spans="1:6" x14ac:dyDescent="0.25">
      <c r="A542" t="s">
        <v>1579</v>
      </c>
      <c r="B542">
        <v>541</v>
      </c>
      <c r="C542">
        <v>199.125</v>
      </c>
      <c r="D542">
        <v>-208.125</v>
      </c>
      <c r="E542">
        <v>1390.25</v>
      </c>
      <c r="F542" t="s">
        <v>1566</v>
      </c>
    </row>
    <row r="543" spans="1:6" x14ac:dyDescent="0.25">
      <c r="A543" t="s">
        <v>1580</v>
      </c>
      <c r="B543">
        <v>542</v>
      </c>
      <c r="C543">
        <v>199.125</v>
      </c>
      <c r="D543">
        <v>-208.125</v>
      </c>
      <c r="E543">
        <v>0</v>
      </c>
      <c r="F543" t="s">
        <v>1566</v>
      </c>
    </row>
    <row r="544" spans="1:6" x14ac:dyDescent="0.25">
      <c r="A544" t="s">
        <v>1582</v>
      </c>
      <c r="B544">
        <v>543</v>
      </c>
      <c r="C544">
        <v>199.125</v>
      </c>
      <c r="D544">
        <v>-223.875</v>
      </c>
      <c r="E544">
        <v>1390.25</v>
      </c>
      <c r="F544" t="s">
        <v>1566</v>
      </c>
    </row>
    <row r="545" spans="1:6" x14ac:dyDescent="0.25">
      <c r="A545" t="s">
        <v>1583</v>
      </c>
      <c r="B545">
        <v>544</v>
      </c>
      <c r="C545">
        <v>199.125</v>
      </c>
      <c r="D545">
        <v>-223.875</v>
      </c>
      <c r="E545">
        <v>0</v>
      </c>
      <c r="F545" t="s">
        <v>1566</v>
      </c>
    </row>
    <row r="546" spans="1:6" x14ac:dyDescent="0.25">
      <c r="A546" t="s">
        <v>1585</v>
      </c>
      <c r="B546">
        <v>545</v>
      </c>
      <c r="C546">
        <v>184.875</v>
      </c>
      <c r="D546">
        <v>-223.875</v>
      </c>
      <c r="E546">
        <v>1390.25</v>
      </c>
      <c r="F546" t="s">
        <v>1566</v>
      </c>
    </row>
    <row r="547" spans="1:6" x14ac:dyDescent="0.25">
      <c r="A547" t="s">
        <v>1586</v>
      </c>
      <c r="B547">
        <v>546</v>
      </c>
      <c r="C547">
        <v>184.875</v>
      </c>
      <c r="D547">
        <v>-223.875</v>
      </c>
      <c r="E547">
        <v>0</v>
      </c>
      <c r="F547" t="s">
        <v>1566</v>
      </c>
    </row>
    <row r="548" spans="1:6" x14ac:dyDescent="0.25">
      <c r="A548" t="s">
        <v>1588</v>
      </c>
      <c r="B548">
        <v>547</v>
      </c>
      <c r="C548">
        <v>184.875</v>
      </c>
      <c r="D548">
        <v>-208.125</v>
      </c>
      <c r="E548">
        <v>1390.25</v>
      </c>
      <c r="F548" t="s">
        <v>1566</v>
      </c>
    </row>
    <row r="549" spans="1:6" x14ac:dyDescent="0.25">
      <c r="A549" t="s">
        <v>1589</v>
      </c>
      <c r="B549">
        <v>548</v>
      </c>
      <c r="C549">
        <v>184.875</v>
      </c>
      <c r="D549">
        <v>-208.125</v>
      </c>
      <c r="E549">
        <v>0</v>
      </c>
      <c r="F549" t="s">
        <v>1566</v>
      </c>
    </row>
    <row r="550" spans="1:6" x14ac:dyDescent="0.25">
      <c r="A550" t="s">
        <v>1591</v>
      </c>
      <c r="B550">
        <v>549</v>
      </c>
      <c r="C550">
        <v>7</v>
      </c>
      <c r="D550">
        <v>-52.875</v>
      </c>
      <c r="E550">
        <v>1390.25</v>
      </c>
      <c r="F550" t="s">
        <v>1566</v>
      </c>
    </row>
    <row r="551" spans="1:6" x14ac:dyDescent="0.25">
      <c r="A551" t="s">
        <v>1592</v>
      </c>
      <c r="B551">
        <v>550</v>
      </c>
      <c r="C551">
        <v>7</v>
      </c>
      <c r="D551">
        <v>-52.875</v>
      </c>
      <c r="E551">
        <v>0</v>
      </c>
      <c r="F551" t="s">
        <v>1566</v>
      </c>
    </row>
    <row r="552" spans="1:6" x14ac:dyDescent="0.25">
      <c r="A552" t="s">
        <v>1594</v>
      </c>
      <c r="B552">
        <v>551</v>
      </c>
      <c r="C552">
        <v>7</v>
      </c>
      <c r="D552">
        <v>-67.125</v>
      </c>
      <c r="E552">
        <v>1390.25</v>
      </c>
      <c r="F552" t="s">
        <v>1566</v>
      </c>
    </row>
    <row r="553" spans="1:6" x14ac:dyDescent="0.25">
      <c r="A553" t="s">
        <v>1595</v>
      </c>
      <c r="B553">
        <v>552</v>
      </c>
      <c r="C553">
        <v>7</v>
      </c>
      <c r="D553">
        <v>-67.125</v>
      </c>
      <c r="E553">
        <v>0</v>
      </c>
      <c r="F553" t="s">
        <v>1566</v>
      </c>
    </row>
    <row r="554" spans="1:6" x14ac:dyDescent="0.25">
      <c r="A554" t="s">
        <v>1597</v>
      </c>
      <c r="B554">
        <v>553</v>
      </c>
      <c r="C554">
        <v>-7</v>
      </c>
      <c r="D554">
        <v>-67.125</v>
      </c>
      <c r="E554">
        <v>1390.25</v>
      </c>
      <c r="F554" t="s">
        <v>1566</v>
      </c>
    </row>
    <row r="555" spans="1:6" x14ac:dyDescent="0.25">
      <c r="A555" t="s">
        <v>1598</v>
      </c>
      <c r="B555">
        <v>554</v>
      </c>
      <c r="C555">
        <v>-7</v>
      </c>
      <c r="D555">
        <v>-67.125</v>
      </c>
      <c r="E555">
        <v>0</v>
      </c>
      <c r="F555" t="s">
        <v>1566</v>
      </c>
    </row>
    <row r="556" spans="1:6" x14ac:dyDescent="0.25">
      <c r="A556" t="s">
        <v>1600</v>
      </c>
      <c r="B556">
        <v>555</v>
      </c>
      <c r="C556">
        <v>-7</v>
      </c>
      <c r="D556">
        <v>-52.875</v>
      </c>
      <c r="E556">
        <v>1390.25</v>
      </c>
      <c r="F556" t="s">
        <v>1566</v>
      </c>
    </row>
    <row r="557" spans="1:6" x14ac:dyDescent="0.25">
      <c r="A557" t="s">
        <v>1601</v>
      </c>
      <c r="B557">
        <v>556</v>
      </c>
      <c r="C557">
        <v>-7</v>
      </c>
      <c r="D557">
        <v>-52.875</v>
      </c>
      <c r="E557">
        <v>0</v>
      </c>
      <c r="F557" t="s">
        <v>1566</v>
      </c>
    </row>
    <row r="558" spans="1:6" x14ac:dyDescent="0.25">
      <c r="A558" t="s">
        <v>1603</v>
      </c>
      <c r="B558">
        <v>557</v>
      </c>
      <c r="C558">
        <v>391</v>
      </c>
      <c r="D558">
        <v>-52.875</v>
      </c>
      <c r="E558">
        <v>1390.25</v>
      </c>
      <c r="F558" t="s">
        <v>1566</v>
      </c>
    </row>
    <row r="559" spans="1:6" x14ac:dyDescent="0.25">
      <c r="A559" t="s">
        <v>1604</v>
      </c>
      <c r="B559">
        <v>558</v>
      </c>
      <c r="C559">
        <v>391</v>
      </c>
      <c r="D559">
        <v>-52.875</v>
      </c>
      <c r="E559">
        <v>0</v>
      </c>
      <c r="F559" t="s">
        <v>1566</v>
      </c>
    </row>
    <row r="560" spans="1:6" x14ac:dyDescent="0.25">
      <c r="A560" t="s">
        <v>1606</v>
      </c>
      <c r="B560">
        <v>559</v>
      </c>
      <c r="C560">
        <v>391</v>
      </c>
      <c r="D560">
        <v>-67.125</v>
      </c>
      <c r="E560">
        <v>1390.25</v>
      </c>
      <c r="F560" t="s">
        <v>1566</v>
      </c>
    </row>
    <row r="561" spans="1:6" x14ac:dyDescent="0.25">
      <c r="A561" t="s">
        <v>1607</v>
      </c>
      <c r="B561">
        <v>560</v>
      </c>
      <c r="C561">
        <v>391</v>
      </c>
      <c r="D561">
        <v>-67.125</v>
      </c>
      <c r="E561">
        <v>0</v>
      </c>
      <c r="F561" t="s">
        <v>1566</v>
      </c>
    </row>
    <row r="562" spans="1:6" x14ac:dyDescent="0.25">
      <c r="A562" t="s">
        <v>1609</v>
      </c>
      <c r="B562">
        <v>561</v>
      </c>
      <c r="C562">
        <v>377</v>
      </c>
      <c r="D562">
        <v>-67.125</v>
      </c>
      <c r="E562">
        <v>1390.25</v>
      </c>
      <c r="F562" t="s">
        <v>1566</v>
      </c>
    </row>
    <row r="563" spans="1:6" x14ac:dyDescent="0.25">
      <c r="A563" t="s">
        <v>1610</v>
      </c>
      <c r="B563">
        <v>562</v>
      </c>
      <c r="C563">
        <v>377</v>
      </c>
      <c r="D563">
        <v>-67.125</v>
      </c>
      <c r="E563">
        <v>0</v>
      </c>
      <c r="F563" t="s">
        <v>1566</v>
      </c>
    </row>
    <row r="564" spans="1:6" x14ac:dyDescent="0.25">
      <c r="A564" t="s">
        <v>1612</v>
      </c>
      <c r="B564">
        <v>563</v>
      </c>
      <c r="C564">
        <v>377</v>
      </c>
      <c r="D564">
        <v>-52.875</v>
      </c>
      <c r="E564">
        <v>1390.25</v>
      </c>
      <c r="F564" t="s">
        <v>1566</v>
      </c>
    </row>
    <row r="565" spans="1:6" x14ac:dyDescent="0.25">
      <c r="A565" t="s">
        <v>1613</v>
      </c>
      <c r="B565">
        <v>564</v>
      </c>
      <c r="C565">
        <v>377</v>
      </c>
      <c r="D565">
        <v>-52.875</v>
      </c>
      <c r="E565">
        <v>0</v>
      </c>
      <c r="F565" t="s">
        <v>1566</v>
      </c>
    </row>
    <row r="566" spans="1:6" x14ac:dyDescent="0.25">
      <c r="A566" t="s">
        <v>1639</v>
      </c>
      <c r="B566">
        <v>565</v>
      </c>
      <c r="C566">
        <v>135.4375</v>
      </c>
      <c r="D566">
        <v>-6.1875</v>
      </c>
      <c r="E566">
        <v>14</v>
      </c>
      <c r="F566" t="s">
        <v>1640</v>
      </c>
    </row>
    <row r="567" spans="1:6" x14ac:dyDescent="0.25">
      <c r="A567" t="s">
        <v>1641</v>
      </c>
      <c r="B567">
        <v>566</v>
      </c>
      <c r="C567">
        <v>135.4375</v>
      </c>
      <c r="D567">
        <v>-6.1875</v>
      </c>
      <c r="E567">
        <v>14</v>
      </c>
      <c r="F567" t="s">
        <v>1640</v>
      </c>
    </row>
    <row r="568" spans="1:6" x14ac:dyDescent="0.25">
      <c r="A568" t="s">
        <v>1653</v>
      </c>
      <c r="B568">
        <v>567</v>
      </c>
      <c r="C568">
        <v>135.4375</v>
      </c>
      <c r="D568" s="12">
        <v>-5.0766214920526102E-14</v>
      </c>
      <c r="E568">
        <v>14</v>
      </c>
      <c r="F568" t="s">
        <v>1640</v>
      </c>
    </row>
    <row r="569" spans="1:6" x14ac:dyDescent="0.25">
      <c r="A569" t="s">
        <v>1654</v>
      </c>
      <c r="B569">
        <v>568</v>
      </c>
      <c r="C569">
        <v>135.4375</v>
      </c>
      <c r="D569" s="12">
        <v>-5.0766214920526102E-14</v>
      </c>
      <c r="E569">
        <v>14</v>
      </c>
      <c r="F569" t="s">
        <v>1640</v>
      </c>
    </row>
    <row r="570" spans="1:6" x14ac:dyDescent="0.25">
      <c r="A570" t="s">
        <v>1656</v>
      </c>
      <c r="B570">
        <v>569</v>
      </c>
      <c r="C570">
        <v>135.4375</v>
      </c>
      <c r="D570">
        <v>6.1875</v>
      </c>
      <c r="E570">
        <v>14</v>
      </c>
      <c r="F570" t="s">
        <v>1640</v>
      </c>
    </row>
    <row r="571" spans="1:6" x14ac:dyDescent="0.25">
      <c r="A571" t="s">
        <v>1657</v>
      </c>
      <c r="B571">
        <v>570</v>
      </c>
      <c r="C571">
        <v>135.4375</v>
      </c>
      <c r="D571">
        <v>6.1875</v>
      </c>
      <c r="E571">
        <v>14</v>
      </c>
      <c r="F571" t="s">
        <v>1640</v>
      </c>
    </row>
    <row r="572" spans="1:6" x14ac:dyDescent="0.25">
      <c r="A572" t="s">
        <v>1659</v>
      </c>
      <c r="B572">
        <v>571</v>
      </c>
      <c r="C572">
        <v>136.423254473306</v>
      </c>
      <c r="D572">
        <v>-6.1875</v>
      </c>
      <c r="E572">
        <v>14</v>
      </c>
      <c r="F572" t="s">
        <v>1640</v>
      </c>
    </row>
    <row r="573" spans="1:6" x14ac:dyDescent="0.25">
      <c r="A573" t="s">
        <v>1660</v>
      </c>
      <c r="B573">
        <v>572</v>
      </c>
      <c r="C573">
        <v>136.423254473306</v>
      </c>
      <c r="D573">
        <v>-6.1875</v>
      </c>
      <c r="E573">
        <v>14</v>
      </c>
      <c r="F573" t="s">
        <v>1640</v>
      </c>
    </row>
    <row r="574" spans="1:6" x14ac:dyDescent="0.25">
      <c r="A574" t="s">
        <v>1662</v>
      </c>
      <c r="B574">
        <v>573</v>
      </c>
      <c r="C574">
        <v>136.423254473306</v>
      </c>
      <c r="D574" s="12">
        <v>-5.0766214920526102E-14</v>
      </c>
      <c r="E574">
        <v>14</v>
      </c>
      <c r="F574" t="s">
        <v>1640</v>
      </c>
    </row>
    <row r="575" spans="1:6" x14ac:dyDescent="0.25">
      <c r="A575" t="s">
        <v>1663</v>
      </c>
      <c r="B575">
        <v>574</v>
      </c>
      <c r="C575">
        <v>136.423254473306</v>
      </c>
      <c r="D575" s="12">
        <v>-5.0766214920526102E-14</v>
      </c>
      <c r="E575">
        <v>14</v>
      </c>
      <c r="F575" t="s">
        <v>1640</v>
      </c>
    </row>
    <row r="576" spans="1:6" x14ac:dyDescent="0.25">
      <c r="A576" t="s">
        <v>1665</v>
      </c>
      <c r="B576">
        <v>575</v>
      </c>
      <c r="C576">
        <v>136.423254473306</v>
      </c>
      <c r="D576">
        <v>6.1875</v>
      </c>
      <c r="E576">
        <v>14</v>
      </c>
      <c r="F576" t="s">
        <v>1640</v>
      </c>
    </row>
    <row r="577" spans="1:6" x14ac:dyDescent="0.25">
      <c r="A577" t="s">
        <v>1666</v>
      </c>
      <c r="B577">
        <v>576</v>
      </c>
      <c r="C577">
        <v>136.423254473306</v>
      </c>
      <c r="D577">
        <v>6.1875</v>
      </c>
      <c r="E577">
        <v>14</v>
      </c>
      <c r="F577" t="s">
        <v>1640</v>
      </c>
    </row>
    <row r="578" spans="1:6" x14ac:dyDescent="0.25">
      <c r="A578" t="s">
        <v>1668</v>
      </c>
      <c r="B578">
        <v>577</v>
      </c>
      <c r="C578">
        <v>138.71946570321501</v>
      </c>
      <c r="D578">
        <v>-6.1875</v>
      </c>
      <c r="E578">
        <v>14</v>
      </c>
      <c r="F578" t="s">
        <v>1640</v>
      </c>
    </row>
    <row r="579" spans="1:6" x14ac:dyDescent="0.25">
      <c r="A579" t="s">
        <v>1669</v>
      </c>
      <c r="B579">
        <v>578</v>
      </c>
      <c r="C579">
        <v>138.71946570321501</v>
      </c>
      <c r="D579">
        <v>-6.1875</v>
      </c>
      <c r="E579">
        <v>14</v>
      </c>
      <c r="F579" t="s">
        <v>1640</v>
      </c>
    </row>
    <row r="580" spans="1:6" x14ac:dyDescent="0.25">
      <c r="A580" t="s">
        <v>1671</v>
      </c>
      <c r="B580">
        <v>579</v>
      </c>
      <c r="C580">
        <v>138.71946570321501</v>
      </c>
      <c r="D580" s="12">
        <v>-5.0766214920526102E-14</v>
      </c>
      <c r="E580">
        <v>14</v>
      </c>
      <c r="F580" t="s">
        <v>1640</v>
      </c>
    </row>
    <row r="581" spans="1:6" x14ac:dyDescent="0.25">
      <c r="A581" t="s">
        <v>1672</v>
      </c>
      <c r="B581">
        <v>580</v>
      </c>
      <c r="C581">
        <v>138.71946570321501</v>
      </c>
      <c r="D581" s="12">
        <v>-5.0766214920526102E-14</v>
      </c>
      <c r="E581">
        <v>14</v>
      </c>
      <c r="F581" t="s">
        <v>1640</v>
      </c>
    </row>
    <row r="582" spans="1:6" x14ac:dyDescent="0.25">
      <c r="A582" t="s">
        <v>1674</v>
      </c>
      <c r="B582">
        <v>581</v>
      </c>
      <c r="C582">
        <v>138.71946570321501</v>
      </c>
      <c r="D582">
        <v>6.1875</v>
      </c>
      <c r="E582">
        <v>14</v>
      </c>
      <c r="F582" t="s">
        <v>1640</v>
      </c>
    </row>
    <row r="583" spans="1:6" x14ac:dyDescent="0.25">
      <c r="A583" t="s">
        <v>1675</v>
      </c>
      <c r="B583">
        <v>582</v>
      </c>
      <c r="C583">
        <v>138.71946570321501</v>
      </c>
      <c r="D583">
        <v>6.1875</v>
      </c>
      <c r="E583">
        <v>14</v>
      </c>
      <c r="F583" t="s">
        <v>1640</v>
      </c>
    </row>
    <row r="584" spans="1:6" x14ac:dyDescent="0.25">
      <c r="A584" t="s">
        <v>1677</v>
      </c>
      <c r="B584">
        <v>583</v>
      </c>
      <c r="C584">
        <v>142.26489040201</v>
      </c>
      <c r="D584">
        <v>-6.1875</v>
      </c>
      <c r="E584">
        <v>14</v>
      </c>
      <c r="F584" t="s">
        <v>1640</v>
      </c>
    </row>
    <row r="585" spans="1:6" x14ac:dyDescent="0.25">
      <c r="A585" t="s">
        <v>1678</v>
      </c>
      <c r="B585">
        <v>584</v>
      </c>
      <c r="C585">
        <v>142.26489040201</v>
      </c>
      <c r="D585">
        <v>-6.1875</v>
      </c>
      <c r="E585">
        <v>14</v>
      </c>
      <c r="F585" t="s">
        <v>1640</v>
      </c>
    </row>
    <row r="586" spans="1:6" x14ac:dyDescent="0.25">
      <c r="A586" t="s">
        <v>1680</v>
      </c>
      <c r="B586">
        <v>585</v>
      </c>
      <c r="C586">
        <v>142.26489040201</v>
      </c>
      <c r="D586" s="12">
        <v>-5.0766214920526102E-14</v>
      </c>
      <c r="E586">
        <v>14</v>
      </c>
      <c r="F586" t="s">
        <v>1640</v>
      </c>
    </row>
    <row r="587" spans="1:6" x14ac:dyDescent="0.25">
      <c r="A587" t="s">
        <v>1681</v>
      </c>
      <c r="B587">
        <v>586</v>
      </c>
      <c r="C587">
        <v>142.26489040201</v>
      </c>
      <c r="D587" s="12">
        <v>-5.0766214920526102E-14</v>
      </c>
      <c r="E587">
        <v>14</v>
      </c>
      <c r="F587" t="s">
        <v>1640</v>
      </c>
    </row>
    <row r="588" spans="1:6" x14ac:dyDescent="0.25">
      <c r="A588" t="s">
        <v>1683</v>
      </c>
      <c r="B588">
        <v>587</v>
      </c>
      <c r="C588">
        <v>142.26489040201</v>
      </c>
      <c r="D588">
        <v>6.1875</v>
      </c>
      <c r="E588">
        <v>14</v>
      </c>
      <c r="F588" t="s">
        <v>1640</v>
      </c>
    </row>
    <row r="589" spans="1:6" x14ac:dyDescent="0.25">
      <c r="A589" t="s">
        <v>1684</v>
      </c>
      <c r="B589">
        <v>588</v>
      </c>
      <c r="C589">
        <v>142.26489040201</v>
      </c>
      <c r="D589">
        <v>6.1875</v>
      </c>
      <c r="E589">
        <v>14</v>
      </c>
      <c r="F589" t="s">
        <v>1640</v>
      </c>
    </row>
    <row r="590" spans="1:6" x14ac:dyDescent="0.25">
      <c r="A590" t="s">
        <v>1686</v>
      </c>
      <c r="B590">
        <v>589</v>
      </c>
      <c r="C590">
        <v>146.97614105622901</v>
      </c>
      <c r="D590">
        <v>-6.1875</v>
      </c>
      <c r="E590">
        <v>14</v>
      </c>
      <c r="F590" t="s">
        <v>1640</v>
      </c>
    </row>
    <row r="591" spans="1:6" x14ac:dyDescent="0.25">
      <c r="A591" t="s">
        <v>1687</v>
      </c>
      <c r="B591">
        <v>590</v>
      </c>
      <c r="C591">
        <v>146.97614105622901</v>
      </c>
      <c r="D591">
        <v>-6.1875</v>
      </c>
      <c r="E591">
        <v>14</v>
      </c>
      <c r="F591" t="s">
        <v>1640</v>
      </c>
    </row>
    <row r="592" spans="1:6" x14ac:dyDescent="0.25">
      <c r="A592" t="s">
        <v>1689</v>
      </c>
      <c r="B592">
        <v>591</v>
      </c>
      <c r="C592">
        <v>146.97614105622901</v>
      </c>
      <c r="D592" s="12">
        <v>-5.0766214920526102E-14</v>
      </c>
      <c r="E592">
        <v>14</v>
      </c>
      <c r="F592" t="s">
        <v>1640</v>
      </c>
    </row>
    <row r="593" spans="1:6" x14ac:dyDescent="0.25">
      <c r="A593" t="s">
        <v>1690</v>
      </c>
      <c r="B593">
        <v>592</v>
      </c>
      <c r="C593">
        <v>146.97614105622901</v>
      </c>
      <c r="D593" s="12">
        <v>-5.0766214920526102E-14</v>
      </c>
      <c r="E593">
        <v>14</v>
      </c>
      <c r="F593" t="s">
        <v>1640</v>
      </c>
    </row>
    <row r="594" spans="1:6" x14ac:dyDescent="0.25">
      <c r="A594" t="s">
        <v>1692</v>
      </c>
      <c r="B594">
        <v>593</v>
      </c>
      <c r="C594">
        <v>146.97614105622901</v>
      </c>
      <c r="D594">
        <v>6.1875</v>
      </c>
      <c r="E594">
        <v>14</v>
      </c>
      <c r="F594" t="s">
        <v>1640</v>
      </c>
    </row>
    <row r="595" spans="1:6" x14ac:dyDescent="0.25">
      <c r="A595" t="s">
        <v>1693</v>
      </c>
      <c r="B595">
        <v>594</v>
      </c>
      <c r="C595">
        <v>146.97614105622901</v>
      </c>
      <c r="D595">
        <v>6.1875</v>
      </c>
      <c r="E595">
        <v>14</v>
      </c>
      <c r="F595" t="s">
        <v>1640</v>
      </c>
    </row>
    <row r="596" spans="1:6" x14ac:dyDescent="0.25">
      <c r="A596" t="s">
        <v>1695</v>
      </c>
      <c r="B596">
        <v>595</v>
      </c>
      <c r="C596">
        <v>152.74273883835599</v>
      </c>
      <c r="D596">
        <v>-6.1875</v>
      </c>
      <c r="E596">
        <v>14</v>
      </c>
      <c r="F596" t="s">
        <v>1640</v>
      </c>
    </row>
    <row r="597" spans="1:6" x14ac:dyDescent="0.25">
      <c r="A597" t="s">
        <v>1696</v>
      </c>
      <c r="B597">
        <v>596</v>
      </c>
      <c r="C597">
        <v>152.74273883835599</v>
      </c>
      <c r="D597">
        <v>-6.1875</v>
      </c>
      <c r="E597">
        <v>14</v>
      </c>
      <c r="F597" t="s">
        <v>1640</v>
      </c>
    </row>
    <row r="598" spans="1:6" x14ac:dyDescent="0.25">
      <c r="A598" t="s">
        <v>1698</v>
      </c>
      <c r="B598">
        <v>597</v>
      </c>
      <c r="C598">
        <v>152.74273883835599</v>
      </c>
      <c r="D598" s="12">
        <v>-5.0766214920526102E-14</v>
      </c>
      <c r="E598">
        <v>14</v>
      </c>
      <c r="F598" t="s">
        <v>1640</v>
      </c>
    </row>
    <row r="599" spans="1:6" x14ac:dyDescent="0.25">
      <c r="A599" t="s">
        <v>1699</v>
      </c>
      <c r="B599">
        <v>598</v>
      </c>
      <c r="C599">
        <v>152.74273883835599</v>
      </c>
      <c r="D599" s="12">
        <v>-5.0766214920526102E-14</v>
      </c>
      <c r="E599">
        <v>14</v>
      </c>
      <c r="F599" t="s">
        <v>1640</v>
      </c>
    </row>
    <row r="600" spans="1:6" x14ac:dyDescent="0.25">
      <c r="A600" t="s">
        <v>1701</v>
      </c>
      <c r="B600">
        <v>599</v>
      </c>
      <c r="C600">
        <v>152.74273883835599</v>
      </c>
      <c r="D600">
        <v>6.1875</v>
      </c>
      <c r="E600">
        <v>14</v>
      </c>
      <c r="F600" t="s">
        <v>1640</v>
      </c>
    </row>
    <row r="601" spans="1:6" x14ac:dyDescent="0.25">
      <c r="A601" t="s">
        <v>1702</v>
      </c>
      <c r="B601">
        <v>600</v>
      </c>
      <c r="C601">
        <v>152.74273883835599</v>
      </c>
      <c r="D601">
        <v>6.1875</v>
      </c>
      <c r="E601">
        <v>14</v>
      </c>
      <c r="F601" t="s">
        <v>1640</v>
      </c>
    </row>
    <row r="602" spans="1:6" x14ac:dyDescent="0.25">
      <c r="A602" t="s">
        <v>1704</v>
      </c>
      <c r="B602">
        <v>601</v>
      </c>
      <c r="C602">
        <v>159.42950474769</v>
      </c>
      <c r="D602">
        <v>-6.1875</v>
      </c>
      <c r="E602">
        <v>14</v>
      </c>
      <c r="F602" t="s">
        <v>1640</v>
      </c>
    </row>
    <row r="603" spans="1:6" x14ac:dyDescent="0.25">
      <c r="A603" t="s">
        <v>1705</v>
      </c>
      <c r="B603">
        <v>602</v>
      </c>
      <c r="C603">
        <v>159.42950474769</v>
      </c>
      <c r="D603">
        <v>-6.1875</v>
      </c>
      <c r="E603">
        <v>14</v>
      </c>
      <c r="F603" t="s">
        <v>1640</v>
      </c>
    </row>
    <row r="604" spans="1:6" x14ac:dyDescent="0.25">
      <c r="A604" t="s">
        <v>1707</v>
      </c>
      <c r="B604">
        <v>603</v>
      </c>
      <c r="C604">
        <v>159.42950474769</v>
      </c>
      <c r="D604" s="12">
        <v>-5.0766214920526102E-14</v>
      </c>
      <c r="E604">
        <v>14</v>
      </c>
      <c r="F604" t="s">
        <v>1640</v>
      </c>
    </row>
    <row r="605" spans="1:6" x14ac:dyDescent="0.25">
      <c r="A605" t="s">
        <v>1708</v>
      </c>
      <c r="B605">
        <v>604</v>
      </c>
      <c r="C605">
        <v>159.42950474769</v>
      </c>
      <c r="D605" s="12">
        <v>-5.0766214920526102E-14</v>
      </c>
      <c r="E605">
        <v>14</v>
      </c>
      <c r="F605" t="s">
        <v>1640</v>
      </c>
    </row>
    <row r="606" spans="1:6" x14ac:dyDescent="0.25">
      <c r="A606" t="s">
        <v>1710</v>
      </c>
      <c r="B606">
        <v>605</v>
      </c>
      <c r="C606">
        <v>159.42950474769</v>
      </c>
      <c r="D606">
        <v>6.1875</v>
      </c>
      <c r="E606">
        <v>14</v>
      </c>
      <c r="F606" t="s">
        <v>1640</v>
      </c>
    </row>
    <row r="607" spans="1:6" x14ac:dyDescent="0.25">
      <c r="A607" t="s">
        <v>1711</v>
      </c>
      <c r="B607">
        <v>606</v>
      </c>
      <c r="C607">
        <v>159.42950474769</v>
      </c>
      <c r="D607">
        <v>6.1875</v>
      </c>
      <c r="E607">
        <v>14</v>
      </c>
      <c r="F607" t="s">
        <v>1640</v>
      </c>
    </row>
    <row r="608" spans="1:6" x14ac:dyDescent="0.25">
      <c r="A608" t="s">
        <v>1713</v>
      </c>
      <c r="B608">
        <v>607</v>
      </c>
      <c r="C608">
        <v>166.87970100828099</v>
      </c>
      <c r="D608">
        <v>-6.1875</v>
      </c>
      <c r="E608">
        <v>14</v>
      </c>
      <c r="F608" t="s">
        <v>1640</v>
      </c>
    </row>
    <row r="609" spans="1:6" x14ac:dyDescent="0.25">
      <c r="A609" t="s">
        <v>1714</v>
      </c>
      <c r="B609">
        <v>608</v>
      </c>
      <c r="C609">
        <v>166.87970100828099</v>
      </c>
      <c r="D609">
        <v>-6.1875</v>
      </c>
      <c r="E609">
        <v>14</v>
      </c>
      <c r="F609" t="s">
        <v>1640</v>
      </c>
    </row>
    <row r="610" spans="1:6" x14ac:dyDescent="0.25">
      <c r="A610" t="s">
        <v>1716</v>
      </c>
      <c r="B610">
        <v>609</v>
      </c>
      <c r="C610">
        <v>166.87970100828099</v>
      </c>
      <c r="D610" s="12">
        <v>-5.0766214920526102E-14</v>
      </c>
      <c r="E610">
        <v>14</v>
      </c>
      <c r="F610" t="s">
        <v>1640</v>
      </c>
    </row>
    <row r="611" spans="1:6" x14ac:dyDescent="0.25">
      <c r="A611" t="s">
        <v>1717</v>
      </c>
      <c r="B611">
        <v>610</v>
      </c>
      <c r="C611">
        <v>166.87970100828099</v>
      </c>
      <c r="D611" s="12">
        <v>-5.0766214920526102E-14</v>
      </c>
      <c r="E611">
        <v>14</v>
      </c>
      <c r="F611" t="s">
        <v>1640</v>
      </c>
    </row>
    <row r="612" spans="1:6" x14ac:dyDescent="0.25">
      <c r="A612" t="s">
        <v>1719</v>
      </c>
      <c r="B612">
        <v>611</v>
      </c>
      <c r="C612">
        <v>166.87970100828099</v>
      </c>
      <c r="D612">
        <v>6.1875</v>
      </c>
      <c r="E612">
        <v>14</v>
      </c>
      <c r="F612" t="s">
        <v>1640</v>
      </c>
    </row>
    <row r="613" spans="1:6" x14ac:dyDescent="0.25">
      <c r="A613" t="s">
        <v>1720</v>
      </c>
      <c r="B613">
        <v>612</v>
      </c>
      <c r="C613">
        <v>166.87970100828099</v>
      </c>
      <c r="D613">
        <v>6.1875</v>
      </c>
      <c r="E613">
        <v>14</v>
      </c>
      <c r="F613" t="s">
        <v>1640</v>
      </c>
    </row>
    <row r="614" spans="1:6" x14ac:dyDescent="0.25">
      <c r="A614" t="s">
        <v>1722</v>
      </c>
      <c r="B614">
        <v>613</v>
      </c>
      <c r="C614">
        <v>174.91869874122301</v>
      </c>
      <c r="D614">
        <v>-6.1875</v>
      </c>
      <c r="E614">
        <v>14</v>
      </c>
      <c r="F614" t="s">
        <v>1640</v>
      </c>
    </row>
    <row r="615" spans="1:6" x14ac:dyDescent="0.25">
      <c r="A615" t="s">
        <v>1723</v>
      </c>
      <c r="B615">
        <v>614</v>
      </c>
      <c r="C615">
        <v>174.91869874122301</v>
      </c>
      <c r="D615">
        <v>-6.1875</v>
      </c>
      <c r="E615">
        <v>14</v>
      </c>
      <c r="F615" t="s">
        <v>1640</v>
      </c>
    </row>
    <row r="616" spans="1:6" x14ac:dyDescent="0.25">
      <c r="A616" t="s">
        <v>1725</v>
      </c>
      <c r="B616">
        <v>615</v>
      </c>
      <c r="C616">
        <v>174.91869874122301</v>
      </c>
      <c r="D616" s="12">
        <v>-5.0766214920526102E-14</v>
      </c>
      <c r="E616">
        <v>14</v>
      </c>
      <c r="F616" t="s">
        <v>1640</v>
      </c>
    </row>
    <row r="617" spans="1:6" x14ac:dyDescent="0.25">
      <c r="A617" t="s">
        <v>1726</v>
      </c>
      <c r="B617">
        <v>616</v>
      </c>
      <c r="C617">
        <v>174.91869874122301</v>
      </c>
      <c r="D617" s="12">
        <v>-5.0766214920526102E-14</v>
      </c>
      <c r="E617">
        <v>14</v>
      </c>
      <c r="F617" t="s">
        <v>1640</v>
      </c>
    </row>
    <row r="618" spans="1:6" x14ac:dyDescent="0.25">
      <c r="A618" t="s">
        <v>1728</v>
      </c>
      <c r="B618">
        <v>617</v>
      </c>
      <c r="C618">
        <v>174.91869874122301</v>
      </c>
      <c r="D618">
        <v>6.1875</v>
      </c>
      <c r="E618">
        <v>14</v>
      </c>
      <c r="F618" t="s">
        <v>1640</v>
      </c>
    </row>
    <row r="619" spans="1:6" x14ac:dyDescent="0.25">
      <c r="A619" t="s">
        <v>1729</v>
      </c>
      <c r="B619">
        <v>618</v>
      </c>
      <c r="C619">
        <v>174.91869874122301</v>
      </c>
      <c r="D619">
        <v>6.1875</v>
      </c>
      <c r="E619">
        <v>14</v>
      </c>
      <c r="F619" t="s">
        <v>1640</v>
      </c>
    </row>
    <row r="620" spans="1:6" x14ac:dyDescent="0.25">
      <c r="A620" t="s">
        <v>1731</v>
      </c>
      <c r="B620">
        <v>619</v>
      </c>
      <c r="C620">
        <v>183.35806926243899</v>
      </c>
      <c r="D620">
        <v>-6.1875</v>
      </c>
      <c r="E620">
        <v>14</v>
      </c>
      <c r="F620" t="s">
        <v>1640</v>
      </c>
    </row>
    <row r="621" spans="1:6" x14ac:dyDescent="0.25">
      <c r="A621" t="s">
        <v>1732</v>
      </c>
      <c r="B621">
        <v>620</v>
      </c>
      <c r="C621">
        <v>183.35806926243899</v>
      </c>
      <c r="D621">
        <v>-6.1875</v>
      </c>
      <c r="E621">
        <v>14</v>
      </c>
      <c r="F621" t="s">
        <v>1640</v>
      </c>
    </row>
    <row r="622" spans="1:6" x14ac:dyDescent="0.25">
      <c r="A622" t="s">
        <v>1734</v>
      </c>
      <c r="B622">
        <v>621</v>
      </c>
      <c r="C622">
        <v>183.35806926243899</v>
      </c>
      <c r="D622" s="12">
        <v>-5.0766214920526102E-14</v>
      </c>
      <c r="E622">
        <v>14</v>
      </c>
      <c r="F622" t="s">
        <v>1640</v>
      </c>
    </row>
    <row r="623" spans="1:6" x14ac:dyDescent="0.25">
      <c r="A623" t="s">
        <v>1735</v>
      </c>
      <c r="B623">
        <v>622</v>
      </c>
      <c r="C623">
        <v>183.35806926243899</v>
      </c>
      <c r="D623" s="12">
        <v>-5.0766214920526102E-14</v>
      </c>
      <c r="E623">
        <v>14</v>
      </c>
      <c r="F623" t="s">
        <v>1640</v>
      </c>
    </row>
    <row r="624" spans="1:6" x14ac:dyDescent="0.25">
      <c r="A624" t="s">
        <v>1737</v>
      </c>
      <c r="B624">
        <v>623</v>
      </c>
      <c r="C624">
        <v>183.35806926243899</v>
      </c>
      <c r="D624">
        <v>6.1875</v>
      </c>
      <c r="E624">
        <v>14</v>
      </c>
      <c r="F624" t="s">
        <v>1640</v>
      </c>
    </row>
    <row r="625" spans="1:6" x14ac:dyDescent="0.25">
      <c r="A625" t="s">
        <v>1738</v>
      </c>
      <c r="B625">
        <v>624</v>
      </c>
      <c r="C625">
        <v>183.35806926243899</v>
      </c>
      <c r="D625">
        <v>6.1875</v>
      </c>
      <c r="E625">
        <v>14</v>
      </c>
      <c r="F625" t="s">
        <v>1640</v>
      </c>
    </row>
    <row r="626" spans="1:6" x14ac:dyDescent="0.25">
      <c r="A626" t="s">
        <v>1740</v>
      </c>
      <c r="B626">
        <v>625</v>
      </c>
      <c r="C626">
        <v>192</v>
      </c>
      <c r="D626">
        <v>-6.1875</v>
      </c>
      <c r="E626">
        <v>14</v>
      </c>
      <c r="F626" t="s">
        <v>1640</v>
      </c>
    </row>
    <row r="627" spans="1:6" x14ac:dyDescent="0.25">
      <c r="A627" t="s">
        <v>1741</v>
      </c>
      <c r="B627">
        <v>626</v>
      </c>
      <c r="C627">
        <v>192</v>
      </c>
      <c r="D627">
        <v>-6.1875</v>
      </c>
      <c r="E627">
        <v>14</v>
      </c>
      <c r="F627" t="s">
        <v>1640</v>
      </c>
    </row>
    <row r="628" spans="1:6" x14ac:dyDescent="0.25">
      <c r="A628" t="s">
        <v>1743</v>
      </c>
      <c r="B628">
        <v>627</v>
      </c>
      <c r="C628">
        <v>192</v>
      </c>
      <c r="D628" s="12">
        <v>-5.0766214920526102E-14</v>
      </c>
      <c r="E628">
        <v>14</v>
      </c>
      <c r="F628" t="s">
        <v>1640</v>
      </c>
    </row>
    <row r="629" spans="1:6" x14ac:dyDescent="0.25">
      <c r="A629" t="s">
        <v>1745</v>
      </c>
      <c r="B629">
        <v>628</v>
      </c>
      <c r="C629">
        <v>192</v>
      </c>
      <c r="D629">
        <v>6.1875</v>
      </c>
      <c r="E629">
        <v>14</v>
      </c>
      <c r="F629" t="s">
        <v>1640</v>
      </c>
    </row>
    <row r="630" spans="1:6" x14ac:dyDescent="0.25">
      <c r="A630" t="s">
        <v>1746</v>
      </c>
      <c r="B630">
        <v>629</v>
      </c>
      <c r="C630">
        <v>192</v>
      </c>
      <c r="D630">
        <v>6.1875</v>
      </c>
      <c r="E630">
        <v>14</v>
      </c>
      <c r="F630" t="s">
        <v>1640</v>
      </c>
    </row>
    <row r="631" spans="1:6" x14ac:dyDescent="0.25">
      <c r="A631" t="s">
        <v>1748</v>
      </c>
      <c r="B631">
        <v>630</v>
      </c>
      <c r="C631">
        <v>200.64193073756101</v>
      </c>
      <c r="D631">
        <v>-6.1875</v>
      </c>
      <c r="E631">
        <v>14</v>
      </c>
      <c r="F631" t="s">
        <v>1640</v>
      </c>
    </row>
    <row r="632" spans="1:6" x14ac:dyDescent="0.25">
      <c r="A632" t="s">
        <v>1749</v>
      </c>
      <c r="B632">
        <v>631</v>
      </c>
      <c r="C632">
        <v>200.64193073756101</v>
      </c>
      <c r="D632">
        <v>-6.1875</v>
      </c>
      <c r="E632">
        <v>14</v>
      </c>
      <c r="F632" t="s">
        <v>1640</v>
      </c>
    </row>
    <row r="633" spans="1:6" x14ac:dyDescent="0.25">
      <c r="A633" t="s">
        <v>1751</v>
      </c>
      <c r="B633">
        <v>632</v>
      </c>
      <c r="C633">
        <v>200.64193073756101</v>
      </c>
      <c r="D633" s="12">
        <v>-5.0766214920526102E-14</v>
      </c>
      <c r="E633">
        <v>14</v>
      </c>
      <c r="F633" t="s">
        <v>1640</v>
      </c>
    </row>
    <row r="634" spans="1:6" x14ac:dyDescent="0.25">
      <c r="A634" t="s">
        <v>1752</v>
      </c>
      <c r="B634">
        <v>633</v>
      </c>
      <c r="C634">
        <v>200.64193073756101</v>
      </c>
      <c r="D634" s="12">
        <v>-5.0766214920526102E-14</v>
      </c>
      <c r="E634">
        <v>14</v>
      </c>
      <c r="F634" t="s">
        <v>1640</v>
      </c>
    </row>
    <row r="635" spans="1:6" x14ac:dyDescent="0.25">
      <c r="A635" t="s">
        <v>1754</v>
      </c>
      <c r="B635">
        <v>634</v>
      </c>
      <c r="C635">
        <v>200.64193073756101</v>
      </c>
      <c r="D635">
        <v>6.1875</v>
      </c>
      <c r="E635">
        <v>14</v>
      </c>
      <c r="F635" t="s">
        <v>1640</v>
      </c>
    </row>
    <row r="636" spans="1:6" x14ac:dyDescent="0.25">
      <c r="A636" t="s">
        <v>1755</v>
      </c>
      <c r="B636">
        <v>635</v>
      </c>
      <c r="C636">
        <v>200.64193073756101</v>
      </c>
      <c r="D636">
        <v>6.1875</v>
      </c>
      <c r="E636">
        <v>14</v>
      </c>
      <c r="F636" t="s">
        <v>1640</v>
      </c>
    </row>
    <row r="637" spans="1:6" x14ac:dyDescent="0.25">
      <c r="A637" t="s">
        <v>1757</v>
      </c>
      <c r="B637">
        <v>636</v>
      </c>
      <c r="C637">
        <v>209.08130125877699</v>
      </c>
      <c r="D637">
        <v>-6.1875</v>
      </c>
      <c r="E637">
        <v>14</v>
      </c>
      <c r="F637" t="s">
        <v>1640</v>
      </c>
    </row>
    <row r="638" spans="1:6" x14ac:dyDescent="0.25">
      <c r="A638" t="s">
        <v>1758</v>
      </c>
      <c r="B638">
        <v>637</v>
      </c>
      <c r="C638">
        <v>209.08130125877699</v>
      </c>
      <c r="D638">
        <v>-6.1875</v>
      </c>
      <c r="E638">
        <v>14</v>
      </c>
      <c r="F638" t="s">
        <v>1640</v>
      </c>
    </row>
    <row r="639" spans="1:6" x14ac:dyDescent="0.25">
      <c r="A639" t="s">
        <v>1760</v>
      </c>
      <c r="B639">
        <v>638</v>
      </c>
      <c r="C639">
        <v>209.08130125877699</v>
      </c>
      <c r="D639" s="12">
        <v>-5.0766214920526102E-14</v>
      </c>
      <c r="E639">
        <v>14</v>
      </c>
      <c r="F639" t="s">
        <v>1640</v>
      </c>
    </row>
    <row r="640" spans="1:6" x14ac:dyDescent="0.25">
      <c r="A640" t="s">
        <v>1761</v>
      </c>
      <c r="B640">
        <v>639</v>
      </c>
      <c r="C640">
        <v>209.08130125877699</v>
      </c>
      <c r="D640" s="12">
        <v>-5.0766214920526102E-14</v>
      </c>
      <c r="E640">
        <v>14</v>
      </c>
      <c r="F640" t="s">
        <v>1640</v>
      </c>
    </row>
    <row r="641" spans="1:6" x14ac:dyDescent="0.25">
      <c r="A641" t="s">
        <v>1763</v>
      </c>
      <c r="B641">
        <v>640</v>
      </c>
      <c r="C641">
        <v>209.08130125877699</v>
      </c>
      <c r="D641">
        <v>6.1875</v>
      </c>
      <c r="E641">
        <v>14</v>
      </c>
      <c r="F641" t="s">
        <v>1640</v>
      </c>
    </row>
    <row r="642" spans="1:6" x14ac:dyDescent="0.25">
      <c r="A642" t="s">
        <v>1764</v>
      </c>
      <c r="B642">
        <v>641</v>
      </c>
      <c r="C642">
        <v>209.08130125877699</v>
      </c>
      <c r="D642">
        <v>6.1875</v>
      </c>
      <c r="E642">
        <v>14</v>
      </c>
      <c r="F642" t="s">
        <v>1640</v>
      </c>
    </row>
    <row r="643" spans="1:6" x14ac:dyDescent="0.25">
      <c r="A643" t="s">
        <v>1766</v>
      </c>
      <c r="B643">
        <v>642</v>
      </c>
      <c r="C643">
        <v>217.12029899171901</v>
      </c>
      <c r="D643">
        <v>-6.1875</v>
      </c>
      <c r="E643">
        <v>14</v>
      </c>
      <c r="F643" t="s">
        <v>1640</v>
      </c>
    </row>
    <row r="644" spans="1:6" x14ac:dyDescent="0.25">
      <c r="A644" t="s">
        <v>1767</v>
      </c>
      <c r="B644">
        <v>643</v>
      </c>
      <c r="C644">
        <v>217.12029899171901</v>
      </c>
      <c r="D644">
        <v>-6.1875</v>
      </c>
      <c r="E644">
        <v>14</v>
      </c>
      <c r="F644" t="s">
        <v>1640</v>
      </c>
    </row>
    <row r="645" spans="1:6" x14ac:dyDescent="0.25">
      <c r="A645" t="s">
        <v>1769</v>
      </c>
      <c r="B645">
        <v>644</v>
      </c>
      <c r="C645">
        <v>217.12029899171901</v>
      </c>
      <c r="D645" s="12">
        <v>-5.0766214920526102E-14</v>
      </c>
      <c r="E645">
        <v>14</v>
      </c>
      <c r="F645" t="s">
        <v>1640</v>
      </c>
    </row>
    <row r="646" spans="1:6" x14ac:dyDescent="0.25">
      <c r="A646" t="s">
        <v>1770</v>
      </c>
      <c r="B646">
        <v>645</v>
      </c>
      <c r="C646">
        <v>217.12029899171901</v>
      </c>
      <c r="D646" s="12">
        <v>-5.0766214920526102E-14</v>
      </c>
      <c r="E646">
        <v>14</v>
      </c>
      <c r="F646" t="s">
        <v>1640</v>
      </c>
    </row>
    <row r="647" spans="1:6" x14ac:dyDescent="0.25">
      <c r="A647" t="s">
        <v>1772</v>
      </c>
      <c r="B647">
        <v>646</v>
      </c>
      <c r="C647">
        <v>217.12029899171901</v>
      </c>
      <c r="D647">
        <v>6.1875</v>
      </c>
      <c r="E647">
        <v>14</v>
      </c>
      <c r="F647" t="s">
        <v>1640</v>
      </c>
    </row>
    <row r="648" spans="1:6" x14ac:dyDescent="0.25">
      <c r="A648" t="s">
        <v>1773</v>
      </c>
      <c r="B648">
        <v>647</v>
      </c>
      <c r="C648">
        <v>217.12029899171901</v>
      </c>
      <c r="D648">
        <v>6.1875</v>
      </c>
      <c r="E648">
        <v>14</v>
      </c>
      <c r="F648" t="s">
        <v>1640</v>
      </c>
    </row>
    <row r="649" spans="1:6" x14ac:dyDescent="0.25">
      <c r="A649" t="s">
        <v>1775</v>
      </c>
      <c r="B649">
        <v>648</v>
      </c>
      <c r="C649">
        <v>224.57049525231</v>
      </c>
      <c r="D649">
        <v>-6.1875</v>
      </c>
      <c r="E649">
        <v>14</v>
      </c>
      <c r="F649" t="s">
        <v>1640</v>
      </c>
    </row>
    <row r="650" spans="1:6" x14ac:dyDescent="0.25">
      <c r="A650" t="s">
        <v>1776</v>
      </c>
      <c r="B650">
        <v>649</v>
      </c>
      <c r="C650">
        <v>224.57049525231</v>
      </c>
      <c r="D650">
        <v>-6.1875</v>
      </c>
      <c r="E650">
        <v>14</v>
      </c>
      <c r="F650" t="s">
        <v>1640</v>
      </c>
    </row>
    <row r="651" spans="1:6" x14ac:dyDescent="0.25">
      <c r="A651" t="s">
        <v>1778</v>
      </c>
      <c r="B651">
        <v>650</v>
      </c>
      <c r="C651">
        <v>224.57049525231</v>
      </c>
      <c r="D651" s="12">
        <v>-5.0766214920526102E-14</v>
      </c>
      <c r="E651">
        <v>14</v>
      </c>
      <c r="F651" t="s">
        <v>1640</v>
      </c>
    </row>
    <row r="652" spans="1:6" x14ac:dyDescent="0.25">
      <c r="A652" t="s">
        <v>1779</v>
      </c>
      <c r="B652">
        <v>651</v>
      </c>
      <c r="C652">
        <v>224.57049525231</v>
      </c>
      <c r="D652" s="12">
        <v>-5.0766214920526102E-14</v>
      </c>
      <c r="E652">
        <v>14</v>
      </c>
      <c r="F652" t="s">
        <v>1640</v>
      </c>
    </row>
    <row r="653" spans="1:6" x14ac:dyDescent="0.25">
      <c r="A653" t="s">
        <v>1781</v>
      </c>
      <c r="B653">
        <v>652</v>
      </c>
      <c r="C653">
        <v>224.57049525231</v>
      </c>
      <c r="D653">
        <v>6.1875</v>
      </c>
      <c r="E653">
        <v>14</v>
      </c>
      <c r="F653" t="s">
        <v>1640</v>
      </c>
    </row>
    <row r="654" spans="1:6" x14ac:dyDescent="0.25">
      <c r="A654" t="s">
        <v>1782</v>
      </c>
      <c r="B654">
        <v>653</v>
      </c>
      <c r="C654">
        <v>224.57049525231</v>
      </c>
      <c r="D654">
        <v>6.1875</v>
      </c>
      <c r="E654">
        <v>14</v>
      </c>
      <c r="F654" t="s">
        <v>1640</v>
      </c>
    </row>
    <row r="655" spans="1:6" x14ac:dyDescent="0.25">
      <c r="A655" t="s">
        <v>1784</v>
      </c>
      <c r="B655">
        <v>654</v>
      </c>
      <c r="C655">
        <v>231.25726116164401</v>
      </c>
      <c r="D655">
        <v>-6.1875</v>
      </c>
      <c r="E655">
        <v>14</v>
      </c>
      <c r="F655" t="s">
        <v>1640</v>
      </c>
    </row>
    <row r="656" spans="1:6" x14ac:dyDescent="0.25">
      <c r="A656" t="s">
        <v>1785</v>
      </c>
      <c r="B656">
        <v>655</v>
      </c>
      <c r="C656">
        <v>231.25726116164401</v>
      </c>
      <c r="D656">
        <v>-6.1875</v>
      </c>
      <c r="E656">
        <v>14</v>
      </c>
      <c r="F656" t="s">
        <v>1640</v>
      </c>
    </row>
    <row r="657" spans="1:6" x14ac:dyDescent="0.25">
      <c r="A657" t="s">
        <v>1787</v>
      </c>
      <c r="B657">
        <v>656</v>
      </c>
      <c r="C657">
        <v>231.25726116164401</v>
      </c>
      <c r="D657" s="12">
        <v>-5.0766214920526102E-14</v>
      </c>
      <c r="E657">
        <v>14</v>
      </c>
      <c r="F657" t="s">
        <v>1640</v>
      </c>
    </row>
    <row r="658" spans="1:6" x14ac:dyDescent="0.25">
      <c r="A658" t="s">
        <v>1788</v>
      </c>
      <c r="B658">
        <v>657</v>
      </c>
      <c r="C658">
        <v>231.25726116164401</v>
      </c>
      <c r="D658" s="12">
        <v>-5.0766214920526102E-14</v>
      </c>
      <c r="E658">
        <v>14</v>
      </c>
      <c r="F658" t="s">
        <v>1640</v>
      </c>
    </row>
    <row r="659" spans="1:6" x14ac:dyDescent="0.25">
      <c r="A659" t="s">
        <v>1790</v>
      </c>
      <c r="B659">
        <v>658</v>
      </c>
      <c r="C659">
        <v>231.25726116164401</v>
      </c>
      <c r="D659">
        <v>6.1875</v>
      </c>
      <c r="E659">
        <v>14</v>
      </c>
      <c r="F659" t="s">
        <v>1640</v>
      </c>
    </row>
    <row r="660" spans="1:6" x14ac:dyDescent="0.25">
      <c r="A660" t="s">
        <v>1791</v>
      </c>
      <c r="B660">
        <v>659</v>
      </c>
      <c r="C660">
        <v>231.25726116164401</v>
      </c>
      <c r="D660">
        <v>6.1875</v>
      </c>
      <c r="E660">
        <v>14</v>
      </c>
      <c r="F660" t="s">
        <v>1640</v>
      </c>
    </row>
    <row r="661" spans="1:6" x14ac:dyDescent="0.25">
      <c r="A661" t="s">
        <v>1793</v>
      </c>
      <c r="B661">
        <v>660</v>
      </c>
      <c r="C661">
        <v>237.02385894377099</v>
      </c>
      <c r="D661">
        <v>-6.1875</v>
      </c>
      <c r="E661">
        <v>14</v>
      </c>
      <c r="F661" t="s">
        <v>1640</v>
      </c>
    </row>
    <row r="662" spans="1:6" x14ac:dyDescent="0.25">
      <c r="A662" t="s">
        <v>1794</v>
      </c>
      <c r="B662">
        <v>661</v>
      </c>
      <c r="C662">
        <v>237.02385894377099</v>
      </c>
      <c r="D662">
        <v>-6.1875</v>
      </c>
      <c r="E662">
        <v>14</v>
      </c>
      <c r="F662" t="s">
        <v>1640</v>
      </c>
    </row>
    <row r="663" spans="1:6" x14ac:dyDescent="0.25">
      <c r="A663" t="s">
        <v>1796</v>
      </c>
      <c r="B663">
        <v>662</v>
      </c>
      <c r="C663">
        <v>237.02385894377099</v>
      </c>
      <c r="D663" s="12">
        <v>-5.0766214920526102E-14</v>
      </c>
      <c r="E663">
        <v>14</v>
      </c>
      <c r="F663" t="s">
        <v>1640</v>
      </c>
    </row>
    <row r="664" spans="1:6" x14ac:dyDescent="0.25">
      <c r="A664" t="s">
        <v>1797</v>
      </c>
      <c r="B664">
        <v>663</v>
      </c>
      <c r="C664">
        <v>237.02385894377099</v>
      </c>
      <c r="D664" s="12">
        <v>-5.0766214920526102E-14</v>
      </c>
      <c r="E664">
        <v>14</v>
      </c>
      <c r="F664" t="s">
        <v>1640</v>
      </c>
    </row>
    <row r="665" spans="1:6" x14ac:dyDescent="0.25">
      <c r="A665" t="s">
        <v>1799</v>
      </c>
      <c r="B665">
        <v>664</v>
      </c>
      <c r="C665">
        <v>237.02385894377099</v>
      </c>
      <c r="D665">
        <v>6.1875</v>
      </c>
      <c r="E665">
        <v>14</v>
      </c>
      <c r="F665" t="s">
        <v>1640</v>
      </c>
    </row>
    <row r="666" spans="1:6" x14ac:dyDescent="0.25">
      <c r="A666" t="s">
        <v>1800</v>
      </c>
      <c r="B666">
        <v>665</v>
      </c>
      <c r="C666">
        <v>237.02385894377099</v>
      </c>
      <c r="D666">
        <v>6.1875</v>
      </c>
      <c r="E666">
        <v>14</v>
      </c>
      <c r="F666" t="s">
        <v>1640</v>
      </c>
    </row>
    <row r="667" spans="1:6" x14ac:dyDescent="0.25">
      <c r="A667" t="s">
        <v>1802</v>
      </c>
      <c r="B667">
        <v>666</v>
      </c>
      <c r="C667">
        <v>241.73510959799</v>
      </c>
      <c r="D667">
        <v>-6.1875</v>
      </c>
      <c r="E667">
        <v>14</v>
      </c>
      <c r="F667" t="s">
        <v>1640</v>
      </c>
    </row>
    <row r="668" spans="1:6" x14ac:dyDescent="0.25">
      <c r="A668" t="s">
        <v>1803</v>
      </c>
      <c r="B668">
        <v>667</v>
      </c>
      <c r="C668">
        <v>241.73510959799</v>
      </c>
      <c r="D668">
        <v>-6.1875</v>
      </c>
      <c r="E668">
        <v>14</v>
      </c>
      <c r="F668" t="s">
        <v>1640</v>
      </c>
    </row>
    <row r="669" spans="1:6" x14ac:dyDescent="0.25">
      <c r="A669" t="s">
        <v>1805</v>
      </c>
      <c r="B669">
        <v>668</v>
      </c>
      <c r="C669">
        <v>241.73510959799</v>
      </c>
      <c r="D669" s="12">
        <v>-5.0766214920526102E-14</v>
      </c>
      <c r="E669">
        <v>14</v>
      </c>
      <c r="F669" t="s">
        <v>1640</v>
      </c>
    </row>
    <row r="670" spans="1:6" x14ac:dyDescent="0.25">
      <c r="A670" t="s">
        <v>1806</v>
      </c>
      <c r="B670">
        <v>669</v>
      </c>
      <c r="C670">
        <v>241.73510959799</v>
      </c>
      <c r="D670" s="12">
        <v>-5.0766214920526102E-14</v>
      </c>
      <c r="E670">
        <v>14</v>
      </c>
      <c r="F670" t="s">
        <v>1640</v>
      </c>
    </row>
    <row r="671" spans="1:6" x14ac:dyDescent="0.25">
      <c r="A671" t="s">
        <v>1808</v>
      </c>
      <c r="B671">
        <v>670</v>
      </c>
      <c r="C671">
        <v>241.73510959799</v>
      </c>
      <c r="D671">
        <v>6.1875</v>
      </c>
      <c r="E671">
        <v>14</v>
      </c>
      <c r="F671" t="s">
        <v>1640</v>
      </c>
    </row>
    <row r="672" spans="1:6" x14ac:dyDescent="0.25">
      <c r="A672" t="s">
        <v>1809</v>
      </c>
      <c r="B672">
        <v>671</v>
      </c>
      <c r="C672">
        <v>241.73510959799</v>
      </c>
      <c r="D672">
        <v>6.1875</v>
      </c>
      <c r="E672">
        <v>14</v>
      </c>
      <c r="F672" t="s">
        <v>1640</v>
      </c>
    </row>
    <row r="673" spans="1:6" x14ac:dyDescent="0.25">
      <c r="A673" t="s">
        <v>1811</v>
      </c>
      <c r="B673">
        <v>672</v>
      </c>
      <c r="C673">
        <v>245.28053429678499</v>
      </c>
      <c r="D673">
        <v>-6.1875</v>
      </c>
      <c r="E673">
        <v>14</v>
      </c>
      <c r="F673" t="s">
        <v>1640</v>
      </c>
    </row>
    <row r="674" spans="1:6" x14ac:dyDescent="0.25">
      <c r="A674" t="s">
        <v>1812</v>
      </c>
      <c r="B674">
        <v>673</v>
      </c>
      <c r="C674">
        <v>245.28053429678499</v>
      </c>
      <c r="D674">
        <v>-6.1875</v>
      </c>
      <c r="E674">
        <v>14</v>
      </c>
      <c r="F674" t="s">
        <v>1640</v>
      </c>
    </row>
    <row r="675" spans="1:6" x14ac:dyDescent="0.25">
      <c r="A675" t="s">
        <v>1814</v>
      </c>
      <c r="B675">
        <v>674</v>
      </c>
      <c r="C675">
        <v>245.28053429678499</v>
      </c>
      <c r="D675" s="12">
        <v>-5.0766214920526102E-14</v>
      </c>
      <c r="E675">
        <v>14</v>
      </c>
      <c r="F675" t="s">
        <v>1640</v>
      </c>
    </row>
    <row r="676" spans="1:6" x14ac:dyDescent="0.25">
      <c r="A676" t="s">
        <v>1815</v>
      </c>
      <c r="B676">
        <v>675</v>
      </c>
      <c r="C676">
        <v>245.28053429678499</v>
      </c>
      <c r="D676" s="12">
        <v>-5.0766214920526102E-14</v>
      </c>
      <c r="E676">
        <v>14</v>
      </c>
      <c r="F676" t="s">
        <v>1640</v>
      </c>
    </row>
    <row r="677" spans="1:6" x14ac:dyDescent="0.25">
      <c r="A677" t="s">
        <v>1817</v>
      </c>
      <c r="B677">
        <v>676</v>
      </c>
      <c r="C677">
        <v>245.28053429678499</v>
      </c>
      <c r="D677">
        <v>6.1875</v>
      </c>
      <c r="E677">
        <v>14</v>
      </c>
      <c r="F677" t="s">
        <v>1640</v>
      </c>
    </row>
    <row r="678" spans="1:6" x14ac:dyDescent="0.25">
      <c r="A678" t="s">
        <v>1818</v>
      </c>
      <c r="B678">
        <v>677</v>
      </c>
      <c r="C678">
        <v>245.28053429678499</v>
      </c>
      <c r="D678">
        <v>6.1875</v>
      </c>
      <c r="E678">
        <v>14</v>
      </c>
      <c r="F678" t="s">
        <v>1640</v>
      </c>
    </row>
    <row r="679" spans="1:6" x14ac:dyDescent="0.25">
      <c r="A679" t="s">
        <v>1820</v>
      </c>
      <c r="B679">
        <v>678</v>
      </c>
      <c r="C679">
        <v>247.576745526694</v>
      </c>
      <c r="D679">
        <v>-6.1875</v>
      </c>
      <c r="E679">
        <v>14</v>
      </c>
      <c r="F679" t="s">
        <v>1640</v>
      </c>
    </row>
    <row r="680" spans="1:6" x14ac:dyDescent="0.25">
      <c r="A680" t="s">
        <v>1821</v>
      </c>
      <c r="B680">
        <v>679</v>
      </c>
      <c r="C680">
        <v>247.576745526694</v>
      </c>
      <c r="D680">
        <v>-6.1875</v>
      </c>
      <c r="E680">
        <v>14</v>
      </c>
      <c r="F680" t="s">
        <v>1640</v>
      </c>
    </row>
    <row r="681" spans="1:6" x14ac:dyDescent="0.25">
      <c r="A681" t="s">
        <v>1823</v>
      </c>
      <c r="B681">
        <v>680</v>
      </c>
      <c r="C681">
        <v>247.576745526694</v>
      </c>
      <c r="D681" s="12">
        <v>-5.0766214920526102E-14</v>
      </c>
      <c r="E681">
        <v>14</v>
      </c>
      <c r="F681" t="s">
        <v>1640</v>
      </c>
    </row>
    <row r="682" spans="1:6" x14ac:dyDescent="0.25">
      <c r="A682" t="s">
        <v>1824</v>
      </c>
      <c r="B682">
        <v>681</v>
      </c>
      <c r="C682">
        <v>247.576745526694</v>
      </c>
      <c r="D682" s="12">
        <v>-5.0766214920526102E-14</v>
      </c>
      <c r="E682">
        <v>14</v>
      </c>
      <c r="F682" t="s">
        <v>1640</v>
      </c>
    </row>
    <row r="683" spans="1:6" x14ac:dyDescent="0.25">
      <c r="A683" t="s">
        <v>1826</v>
      </c>
      <c r="B683">
        <v>682</v>
      </c>
      <c r="C683">
        <v>247.576745526694</v>
      </c>
      <c r="D683">
        <v>6.1875</v>
      </c>
      <c r="E683">
        <v>14</v>
      </c>
      <c r="F683" t="s">
        <v>1640</v>
      </c>
    </row>
    <row r="684" spans="1:6" x14ac:dyDescent="0.25">
      <c r="A684" t="s">
        <v>1827</v>
      </c>
      <c r="B684">
        <v>683</v>
      </c>
      <c r="C684">
        <v>247.576745526694</v>
      </c>
      <c r="D684">
        <v>6.1875</v>
      </c>
      <c r="E684">
        <v>14</v>
      </c>
      <c r="F684" t="s">
        <v>1640</v>
      </c>
    </row>
    <row r="685" spans="1:6" x14ac:dyDescent="0.25">
      <c r="A685" t="s">
        <v>1829</v>
      </c>
      <c r="B685">
        <v>684</v>
      </c>
      <c r="C685">
        <v>248.5625</v>
      </c>
      <c r="D685">
        <v>-6.1875</v>
      </c>
      <c r="E685">
        <v>14</v>
      </c>
      <c r="F685" t="s">
        <v>1640</v>
      </c>
    </row>
    <row r="686" spans="1:6" x14ac:dyDescent="0.25">
      <c r="A686" t="s">
        <v>1830</v>
      </c>
      <c r="B686">
        <v>685</v>
      </c>
      <c r="C686">
        <v>248.5625</v>
      </c>
      <c r="D686">
        <v>-6.1875</v>
      </c>
      <c r="E686">
        <v>14</v>
      </c>
      <c r="F686" t="s">
        <v>1640</v>
      </c>
    </row>
    <row r="687" spans="1:6" x14ac:dyDescent="0.25">
      <c r="A687" t="s">
        <v>1832</v>
      </c>
      <c r="B687">
        <v>686</v>
      </c>
      <c r="C687">
        <v>248.5625</v>
      </c>
      <c r="D687" s="12">
        <v>-5.0766214920526102E-14</v>
      </c>
      <c r="E687">
        <v>14</v>
      </c>
      <c r="F687" t="s">
        <v>1640</v>
      </c>
    </row>
    <row r="688" spans="1:6" x14ac:dyDescent="0.25">
      <c r="A688" t="s">
        <v>1833</v>
      </c>
      <c r="B688">
        <v>687</v>
      </c>
      <c r="C688">
        <v>248.5625</v>
      </c>
      <c r="D688" s="12">
        <v>-5.0766214920526102E-14</v>
      </c>
      <c r="E688">
        <v>14</v>
      </c>
      <c r="F688" t="s">
        <v>1640</v>
      </c>
    </row>
    <row r="689" spans="1:6" x14ac:dyDescent="0.25">
      <c r="A689" t="s">
        <v>1835</v>
      </c>
      <c r="B689">
        <v>688</v>
      </c>
      <c r="C689">
        <v>248.5625</v>
      </c>
      <c r="D689">
        <v>6.1875</v>
      </c>
      <c r="E689">
        <v>14</v>
      </c>
      <c r="F689" t="s">
        <v>1640</v>
      </c>
    </row>
    <row r="690" spans="1:6" x14ac:dyDescent="0.25">
      <c r="A690" t="s">
        <v>1836</v>
      </c>
      <c r="B690">
        <v>689</v>
      </c>
      <c r="C690">
        <v>248.5625</v>
      </c>
      <c r="D690">
        <v>6.1875</v>
      </c>
      <c r="E690">
        <v>14</v>
      </c>
      <c r="F690" t="s">
        <v>1640</v>
      </c>
    </row>
    <row r="691" spans="1:6" x14ac:dyDescent="0.25">
      <c r="A691" t="s">
        <v>1644</v>
      </c>
      <c r="B691">
        <v>690</v>
      </c>
      <c r="C691">
        <v>-4.59375</v>
      </c>
      <c r="D691">
        <v>-110.5625</v>
      </c>
      <c r="E691">
        <v>14</v>
      </c>
      <c r="F691" t="s">
        <v>1640</v>
      </c>
    </row>
    <row r="692" spans="1:6" x14ac:dyDescent="0.25">
      <c r="A692" t="s">
        <v>1645</v>
      </c>
      <c r="B692">
        <v>691</v>
      </c>
      <c r="C692">
        <v>-4.59375</v>
      </c>
      <c r="D692">
        <v>-110.5625</v>
      </c>
      <c r="E692">
        <v>14</v>
      </c>
      <c r="F692" t="s">
        <v>1640</v>
      </c>
    </row>
    <row r="693" spans="1:6" x14ac:dyDescent="0.25">
      <c r="A693" t="s">
        <v>1838</v>
      </c>
      <c r="B693">
        <v>692</v>
      </c>
      <c r="C693">
        <v>-4.59375</v>
      </c>
      <c r="D693">
        <v>-109.681311747067</v>
      </c>
      <c r="E693">
        <v>14</v>
      </c>
      <c r="F693" t="s">
        <v>1640</v>
      </c>
    </row>
    <row r="694" spans="1:6" x14ac:dyDescent="0.25">
      <c r="A694" t="s">
        <v>1839</v>
      </c>
      <c r="B694">
        <v>693</v>
      </c>
      <c r="C694">
        <v>-4.59375</v>
      </c>
      <c r="D694">
        <v>-109.681311747067</v>
      </c>
      <c r="E694">
        <v>14</v>
      </c>
      <c r="F694" t="s">
        <v>1640</v>
      </c>
    </row>
    <row r="695" spans="1:6" x14ac:dyDescent="0.25">
      <c r="A695" t="s">
        <v>1841</v>
      </c>
      <c r="B695">
        <v>694</v>
      </c>
      <c r="C695">
        <v>-4.59375</v>
      </c>
      <c r="D695">
        <v>-107.628676515027</v>
      </c>
      <c r="E695">
        <v>14</v>
      </c>
      <c r="F695" t="s">
        <v>1640</v>
      </c>
    </row>
    <row r="696" spans="1:6" x14ac:dyDescent="0.25">
      <c r="A696" t="s">
        <v>1842</v>
      </c>
      <c r="B696">
        <v>695</v>
      </c>
      <c r="C696">
        <v>-4.59375</v>
      </c>
      <c r="D696">
        <v>-107.628676515027</v>
      </c>
      <c r="E696">
        <v>14</v>
      </c>
      <c r="F696" t="s">
        <v>1640</v>
      </c>
    </row>
    <row r="697" spans="1:6" x14ac:dyDescent="0.25">
      <c r="A697" t="s">
        <v>1844</v>
      </c>
      <c r="B697">
        <v>696</v>
      </c>
      <c r="C697">
        <v>-4.59375</v>
      </c>
      <c r="D697">
        <v>-104.45934106604901</v>
      </c>
      <c r="E697">
        <v>14</v>
      </c>
      <c r="F697" t="s">
        <v>1640</v>
      </c>
    </row>
    <row r="698" spans="1:6" x14ac:dyDescent="0.25">
      <c r="A698" t="s">
        <v>1845</v>
      </c>
      <c r="B698">
        <v>697</v>
      </c>
      <c r="C698">
        <v>-4.59375</v>
      </c>
      <c r="D698">
        <v>-104.45934106604901</v>
      </c>
      <c r="E698">
        <v>14</v>
      </c>
      <c r="F698" t="s">
        <v>1640</v>
      </c>
    </row>
    <row r="699" spans="1:6" x14ac:dyDescent="0.25">
      <c r="A699" t="s">
        <v>1847</v>
      </c>
      <c r="B699">
        <v>698</v>
      </c>
      <c r="C699">
        <v>-4.59375</v>
      </c>
      <c r="D699">
        <v>-100.24784738730401</v>
      </c>
      <c r="E699">
        <v>14</v>
      </c>
      <c r="F699" t="s">
        <v>1640</v>
      </c>
    </row>
    <row r="700" spans="1:6" x14ac:dyDescent="0.25">
      <c r="A700" t="s">
        <v>1848</v>
      </c>
      <c r="B700">
        <v>699</v>
      </c>
      <c r="C700">
        <v>-4.59375</v>
      </c>
      <c r="D700">
        <v>-100.24784738730401</v>
      </c>
      <c r="E700">
        <v>14</v>
      </c>
      <c r="F700" t="s">
        <v>1640</v>
      </c>
    </row>
    <row r="701" spans="1:6" x14ac:dyDescent="0.25">
      <c r="A701" t="s">
        <v>1850</v>
      </c>
      <c r="B701">
        <v>700</v>
      </c>
      <c r="C701">
        <v>-4.59375</v>
      </c>
      <c r="D701">
        <v>-95.092955005271094</v>
      </c>
      <c r="E701">
        <v>14</v>
      </c>
      <c r="F701" t="s">
        <v>1640</v>
      </c>
    </row>
    <row r="702" spans="1:6" x14ac:dyDescent="0.25">
      <c r="A702" t="s">
        <v>1851</v>
      </c>
      <c r="B702">
        <v>701</v>
      </c>
      <c r="C702">
        <v>-4.59375</v>
      </c>
      <c r="D702">
        <v>-95.092955005271094</v>
      </c>
      <c r="E702">
        <v>14</v>
      </c>
      <c r="F702" t="s">
        <v>1640</v>
      </c>
    </row>
    <row r="703" spans="1:6" x14ac:dyDescent="0.25">
      <c r="A703" t="s">
        <v>1853</v>
      </c>
      <c r="B703">
        <v>702</v>
      </c>
      <c r="C703">
        <v>-4.59375</v>
      </c>
      <c r="D703">
        <v>-89.115503490739002</v>
      </c>
      <c r="E703">
        <v>14</v>
      </c>
      <c r="F703" t="s">
        <v>1640</v>
      </c>
    </row>
    <row r="704" spans="1:6" x14ac:dyDescent="0.25">
      <c r="A704" t="s">
        <v>1854</v>
      </c>
      <c r="B704">
        <v>703</v>
      </c>
      <c r="C704">
        <v>-4.59375</v>
      </c>
      <c r="D704">
        <v>-89.115503490739002</v>
      </c>
      <c r="E704">
        <v>14</v>
      </c>
      <c r="F704" t="s">
        <v>1640</v>
      </c>
    </row>
    <row r="705" spans="1:6" x14ac:dyDescent="0.25">
      <c r="A705" t="s">
        <v>1856</v>
      </c>
      <c r="B705">
        <v>704</v>
      </c>
      <c r="C705">
        <v>-4.59375</v>
      </c>
      <c r="D705">
        <v>-82.455604292044697</v>
      </c>
      <c r="E705">
        <v>14</v>
      </c>
      <c r="F705" t="s">
        <v>1640</v>
      </c>
    </row>
    <row r="706" spans="1:6" x14ac:dyDescent="0.25">
      <c r="A706" t="s">
        <v>1857</v>
      </c>
      <c r="B706">
        <v>705</v>
      </c>
      <c r="C706">
        <v>-4.59375</v>
      </c>
      <c r="D706">
        <v>-82.455604292044697</v>
      </c>
      <c r="E706">
        <v>14</v>
      </c>
      <c r="F706" t="s">
        <v>1640</v>
      </c>
    </row>
    <row r="707" spans="1:6" x14ac:dyDescent="0.25">
      <c r="A707" t="s">
        <v>1859</v>
      </c>
      <c r="B707">
        <v>706</v>
      </c>
      <c r="C707">
        <v>-4.59375</v>
      </c>
      <c r="D707">
        <v>-75.269362119724306</v>
      </c>
      <c r="E707">
        <v>14</v>
      </c>
      <c r="F707" t="s">
        <v>1640</v>
      </c>
    </row>
    <row r="708" spans="1:6" x14ac:dyDescent="0.25">
      <c r="A708" t="s">
        <v>1860</v>
      </c>
      <c r="B708">
        <v>707</v>
      </c>
      <c r="C708">
        <v>-4.59375</v>
      </c>
      <c r="D708">
        <v>-75.269362119724306</v>
      </c>
      <c r="E708">
        <v>14</v>
      </c>
      <c r="F708" t="s">
        <v>1640</v>
      </c>
    </row>
    <row r="709" spans="1:6" x14ac:dyDescent="0.25">
      <c r="A709" t="s">
        <v>1862</v>
      </c>
      <c r="B709">
        <v>708</v>
      </c>
      <c r="C709">
        <v>-4.59375</v>
      </c>
      <c r="D709">
        <v>-67.725217642748106</v>
      </c>
      <c r="E709">
        <v>14</v>
      </c>
      <c r="F709" t="s">
        <v>1640</v>
      </c>
    </row>
    <row r="710" spans="1:6" x14ac:dyDescent="0.25">
      <c r="A710" t="s">
        <v>1863</v>
      </c>
      <c r="B710">
        <v>709</v>
      </c>
      <c r="C710">
        <v>-4.59375</v>
      </c>
      <c r="D710">
        <v>-67.725217642748106</v>
      </c>
      <c r="E710">
        <v>14</v>
      </c>
      <c r="F710" t="s">
        <v>1640</v>
      </c>
    </row>
    <row r="711" spans="1:6" x14ac:dyDescent="0.25">
      <c r="A711" t="s">
        <v>1865</v>
      </c>
      <c r="B711">
        <v>710</v>
      </c>
      <c r="C711">
        <v>-4.59375</v>
      </c>
      <c r="D711">
        <v>-60.000000000000398</v>
      </c>
      <c r="E711">
        <v>14</v>
      </c>
      <c r="F711" t="s">
        <v>1640</v>
      </c>
    </row>
    <row r="712" spans="1:6" x14ac:dyDescent="0.25">
      <c r="A712" t="s">
        <v>1866</v>
      </c>
      <c r="B712">
        <v>711</v>
      </c>
      <c r="C712">
        <v>-4.59375</v>
      </c>
      <c r="D712">
        <v>-60.000000000000398</v>
      </c>
      <c r="E712">
        <v>14</v>
      </c>
      <c r="F712" t="s">
        <v>1640</v>
      </c>
    </row>
    <row r="713" spans="1:6" x14ac:dyDescent="0.25">
      <c r="A713" t="s">
        <v>1868</v>
      </c>
      <c r="B713">
        <v>712</v>
      </c>
      <c r="C713">
        <v>-4.59375</v>
      </c>
      <c r="D713">
        <v>-52.274782357251901</v>
      </c>
      <c r="E713">
        <v>14</v>
      </c>
      <c r="F713" t="s">
        <v>1640</v>
      </c>
    </row>
    <row r="714" spans="1:6" x14ac:dyDescent="0.25">
      <c r="A714" t="s">
        <v>1869</v>
      </c>
      <c r="B714">
        <v>713</v>
      </c>
      <c r="C714">
        <v>-4.59375</v>
      </c>
      <c r="D714">
        <v>-52.274782357251901</v>
      </c>
      <c r="E714">
        <v>14</v>
      </c>
      <c r="F714" t="s">
        <v>1640</v>
      </c>
    </row>
    <row r="715" spans="1:6" x14ac:dyDescent="0.25">
      <c r="A715" t="s">
        <v>1871</v>
      </c>
      <c r="B715">
        <v>714</v>
      </c>
      <c r="C715">
        <v>-4.59375</v>
      </c>
      <c r="D715">
        <v>-44.730637880275701</v>
      </c>
      <c r="E715">
        <v>14</v>
      </c>
      <c r="F715" t="s">
        <v>1640</v>
      </c>
    </row>
    <row r="716" spans="1:6" x14ac:dyDescent="0.25">
      <c r="A716" t="s">
        <v>1872</v>
      </c>
      <c r="B716">
        <v>715</v>
      </c>
      <c r="C716">
        <v>-4.59375</v>
      </c>
      <c r="D716">
        <v>-44.730637880275701</v>
      </c>
      <c r="E716">
        <v>14</v>
      </c>
      <c r="F716" t="s">
        <v>1640</v>
      </c>
    </row>
    <row r="717" spans="1:6" x14ac:dyDescent="0.25">
      <c r="A717" t="s">
        <v>1874</v>
      </c>
      <c r="B717">
        <v>716</v>
      </c>
      <c r="C717">
        <v>-4.59375</v>
      </c>
      <c r="D717">
        <v>-37.544395707955303</v>
      </c>
      <c r="E717">
        <v>14</v>
      </c>
      <c r="F717" t="s">
        <v>1640</v>
      </c>
    </row>
    <row r="718" spans="1:6" x14ac:dyDescent="0.25">
      <c r="A718" t="s">
        <v>1875</v>
      </c>
      <c r="B718">
        <v>717</v>
      </c>
      <c r="C718">
        <v>-4.59375</v>
      </c>
      <c r="D718">
        <v>-37.544395707955303</v>
      </c>
      <c r="E718">
        <v>14</v>
      </c>
      <c r="F718" t="s">
        <v>1640</v>
      </c>
    </row>
    <row r="719" spans="1:6" x14ac:dyDescent="0.25">
      <c r="A719" t="s">
        <v>1877</v>
      </c>
      <c r="B719">
        <v>718</v>
      </c>
      <c r="C719">
        <v>-4.59375</v>
      </c>
      <c r="D719">
        <v>-30.884496509261002</v>
      </c>
      <c r="E719">
        <v>14</v>
      </c>
      <c r="F719" t="s">
        <v>1640</v>
      </c>
    </row>
    <row r="720" spans="1:6" x14ac:dyDescent="0.25">
      <c r="A720" t="s">
        <v>1878</v>
      </c>
      <c r="B720">
        <v>719</v>
      </c>
      <c r="C720">
        <v>-4.59375</v>
      </c>
      <c r="D720">
        <v>-30.884496509261002</v>
      </c>
      <c r="E720">
        <v>14</v>
      </c>
      <c r="F720" t="s">
        <v>1640</v>
      </c>
    </row>
    <row r="721" spans="1:6" x14ac:dyDescent="0.25">
      <c r="A721" t="s">
        <v>1880</v>
      </c>
      <c r="B721">
        <v>720</v>
      </c>
      <c r="C721">
        <v>-4.59375</v>
      </c>
      <c r="D721">
        <v>-24.907044994728899</v>
      </c>
      <c r="E721">
        <v>14</v>
      </c>
      <c r="F721" t="s">
        <v>1640</v>
      </c>
    </row>
    <row r="722" spans="1:6" x14ac:dyDescent="0.25">
      <c r="A722" t="s">
        <v>1881</v>
      </c>
      <c r="B722">
        <v>721</v>
      </c>
      <c r="C722">
        <v>-4.59375</v>
      </c>
      <c r="D722">
        <v>-24.907044994728899</v>
      </c>
      <c r="E722">
        <v>14</v>
      </c>
      <c r="F722" t="s">
        <v>1640</v>
      </c>
    </row>
    <row r="723" spans="1:6" x14ac:dyDescent="0.25">
      <c r="A723" t="s">
        <v>1883</v>
      </c>
      <c r="B723">
        <v>722</v>
      </c>
      <c r="C723">
        <v>-4.59375</v>
      </c>
      <c r="D723">
        <v>-19.7521526126955</v>
      </c>
      <c r="E723">
        <v>14</v>
      </c>
      <c r="F723" t="s">
        <v>1640</v>
      </c>
    </row>
    <row r="724" spans="1:6" x14ac:dyDescent="0.25">
      <c r="A724" t="s">
        <v>1884</v>
      </c>
      <c r="B724">
        <v>723</v>
      </c>
      <c r="C724">
        <v>-4.59375</v>
      </c>
      <c r="D724">
        <v>-19.7521526126955</v>
      </c>
      <c r="E724">
        <v>14</v>
      </c>
      <c r="F724" t="s">
        <v>1640</v>
      </c>
    </row>
    <row r="725" spans="1:6" x14ac:dyDescent="0.25">
      <c r="A725" t="s">
        <v>1886</v>
      </c>
      <c r="B725">
        <v>724</v>
      </c>
      <c r="C725">
        <v>-4.59375</v>
      </c>
      <c r="D725">
        <v>-15.5406589339512</v>
      </c>
      <c r="E725">
        <v>14</v>
      </c>
      <c r="F725" t="s">
        <v>1640</v>
      </c>
    </row>
    <row r="726" spans="1:6" x14ac:dyDescent="0.25">
      <c r="A726" t="s">
        <v>1887</v>
      </c>
      <c r="B726">
        <v>725</v>
      </c>
      <c r="C726">
        <v>-4.59375</v>
      </c>
      <c r="D726">
        <v>-15.5406589339512</v>
      </c>
      <c r="E726">
        <v>14</v>
      </c>
      <c r="F726" t="s">
        <v>1640</v>
      </c>
    </row>
    <row r="727" spans="1:6" x14ac:dyDescent="0.25">
      <c r="A727" t="s">
        <v>1889</v>
      </c>
      <c r="B727">
        <v>726</v>
      </c>
      <c r="C727">
        <v>-4.59375</v>
      </c>
      <c r="D727">
        <v>-12.3713234849732</v>
      </c>
      <c r="E727">
        <v>14</v>
      </c>
      <c r="F727" t="s">
        <v>1640</v>
      </c>
    </row>
    <row r="728" spans="1:6" x14ac:dyDescent="0.25">
      <c r="A728" t="s">
        <v>1890</v>
      </c>
      <c r="B728">
        <v>727</v>
      </c>
      <c r="C728">
        <v>-4.59375</v>
      </c>
      <c r="D728">
        <v>-12.3713234849732</v>
      </c>
      <c r="E728">
        <v>14</v>
      </c>
      <c r="F728" t="s">
        <v>1640</v>
      </c>
    </row>
    <row r="729" spans="1:6" x14ac:dyDescent="0.25">
      <c r="A729" t="s">
        <v>1892</v>
      </c>
      <c r="B729">
        <v>728</v>
      </c>
      <c r="C729">
        <v>-4.59375</v>
      </c>
      <c r="D729">
        <v>-10.3186882529328</v>
      </c>
      <c r="E729">
        <v>14</v>
      </c>
      <c r="F729" t="s">
        <v>1640</v>
      </c>
    </row>
    <row r="730" spans="1:6" x14ac:dyDescent="0.25">
      <c r="A730" t="s">
        <v>1893</v>
      </c>
      <c r="B730">
        <v>729</v>
      </c>
      <c r="C730">
        <v>-4.59375</v>
      </c>
      <c r="D730">
        <v>-10.3186882529328</v>
      </c>
      <c r="E730">
        <v>14</v>
      </c>
      <c r="F730" t="s">
        <v>1640</v>
      </c>
    </row>
    <row r="731" spans="1:6" x14ac:dyDescent="0.25">
      <c r="A731" t="s">
        <v>1895</v>
      </c>
      <c r="B731">
        <v>730</v>
      </c>
      <c r="C731">
        <v>-4.59375</v>
      </c>
      <c r="D731">
        <v>-9.4375</v>
      </c>
      <c r="E731">
        <v>14</v>
      </c>
      <c r="F731" t="s">
        <v>1640</v>
      </c>
    </row>
    <row r="732" spans="1:6" x14ac:dyDescent="0.25">
      <c r="A732" t="s">
        <v>1896</v>
      </c>
      <c r="B732">
        <v>731</v>
      </c>
      <c r="C732">
        <v>-4.59375</v>
      </c>
      <c r="D732">
        <v>-9.4375</v>
      </c>
      <c r="E732">
        <v>14</v>
      </c>
      <c r="F732" t="s">
        <v>1640</v>
      </c>
    </row>
    <row r="733" spans="1:6" x14ac:dyDescent="0.25">
      <c r="A733" t="s">
        <v>1898</v>
      </c>
      <c r="B733">
        <v>732</v>
      </c>
      <c r="C733" s="12">
        <v>-3.7690068653117799E-14</v>
      </c>
      <c r="D733">
        <v>-110.5625</v>
      </c>
      <c r="E733">
        <v>14</v>
      </c>
      <c r="F733" t="s">
        <v>1640</v>
      </c>
    </row>
    <row r="734" spans="1:6" x14ac:dyDescent="0.25">
      <c r="A734" t="s">
        <v>1899</v>
      </c>
      <c r="B734">
        <v>733</v>
      </c>
      <c r="C734" s="12">
        <v>-3.7690068653117799E-14</v>
      </c>
      <c r="D734">
        <v>-110.5625</v>
      </c>
      <c r="E734">
        <v>14</v>
      </c>
      <c r="F734" t="s">
        <v>1640</v>
      </c>
    </row>
    <row r="735" spans="1:6" x14ac:dyDescent="0.25">
      <c r="A735" t="s">
        <v>1901</v>
      </c>
      <c r="B735">
        <v>734</v>
      </c>
      <c r="C735" s="12">
        <v>-3.7690068653117799E-14</v>
      </c>
      <c r="D735">
        <v>-109.681311747067</v>
      </c>
      <c r="E735">
        <v>14</v>
      </c>
      <c r="F735" t="s">
        <v>1640</v>
      </c>
    </row>
    <row r="736" spans="1:6" x14ac:dyDescent="0.25">
      <c r="A736" t="s">
        <v>1902</v>
      </c>
      <c r="B736">
        <v>735</v>
      </c>
      <c r="C736" s="12">
        <v>-3.7690068653117799E-14</v>
      </c>
      <c r="D736">
        <v>-109.681311747067</v>
      </c>
      <c r="E736">
        <v>14</v>
      </c>
      <c r="F736" t="s">
        <v>1640</v>
      </c>
    </row>
    <row r="737" spans="1:6" x14ac:dyDescent="0.25">
      <c r="A737" t="s">
        <v>1904</v>
      </c>
      <c r="B737">
        <v>736</v>
      </c>
      <c r="C737" s="12">
        <v>-3.7690068653117799E-14</v>
      </c>
      <c r="D737">
        <v>-107.628676515027</v>
      </c>
      <c r="E737">
        <v>14</v>
      </c>
      <c r="F737" t="s">
        <v>1640</v>
      </c>
    </row>
    <row r="738" spans="1:6" x14ac:dyDescent="0.25">
      <c r="A738" t="s">
        <v>1905</v>
      </c>
      <c r="B738">
        <v>737</v>
      </c>
      <c r="C738" s="12">
        <v>-3.7690068653117799E-14</v>
      </c>
      <c r="D738">
        <v>-107.628676515027</v>
      </c>
      <c r="E738">
        <v>14</v>
      </c>
      <c r="F738" t="s">
        <v>1640</v>
      </c>
    </row>
    <row r="739" spans="1:6" x14ac:dyDescent="0.25">
      <c r="A739" t="s">
        <v>1907</v>
      </c>
      <c r="B739">
        <v>738</v>
      </c>
      <c r="C739" s="12">
        <v>-3.7690068653117799E-14</v>
      </c>
      <c r="D739">
        <v>-104.45934106604901</v>
      </c>
      <c r="E739">
        <v>14</v>
      </c>
      <c r="F739" t="s">
        <v>1640</v>
      </c>
    </row>
    <row r="740" spans="1:6" x14ac:dyDescent="0.25">
      <c r="A740" t="s">
        <v>1908</v>
      </c>
      <c r="B740">
        <v>739</v>
      </c>
      <c r="C740" s="12">
        <v>-3.7690068653117799E-14</v>
      </c>
      <c r="D740">
        <v>-104.45934106604901</v>
      </c>
      <c r="E740">
        <v>14</v>
      </c>
      <c r="F740" t="s">
        <v>1640</v>
      </c>
    </row>
    <row r="741" spans="1:6" x14ac:dyDescent="0.25">
      <c r="A741" t="s">
        <v>1910</v>
      </c>
      <c r="B741">
        <v>740</v>
      </c>
      <c r="C741" s="12">
        <v>-3.7690068653117799E-14</v>
      </c>
      <c r="D741">
        <v>-100.24784738730401</v>
      </c>
      <c r="E741">
        <v>14</v>
      </c>
      <c r="F741" t="s">
        <v>1640</v>
      </c>
    </row>
    <row r="742" spans="1:6" x14ac:dyDescent="0.25">
      <c r="A742" t="s">
        <v>1911</v>
      </c>
      <c r="B742">
        <v>741</v>
      </c>
      <c r="C742" s="12">
        <v>-3.7690068653117799E-14</v>
      </c>
      <c r="D742">
        <v>-100.24784738730401</v>
      </c>
      <c r="E742">
        <v>14</v>
      </c>
      <c r="F742" t="s">
        <v>1640</v>
      </c>
    </row>
    <row r="743" spans="1:6" x14ac:dyDescent="0.25">
      <c r="A743" t="s">
        <v>1913</v>
      </c>
      <c r="B743">
        <v>742</v>
      </c>
      <c r="C743" s="12">
        <v>-3.7690068653117799E-14</v>
      </c>
      <c r="D743">
        <v>-95.092955005271094</v>
      </c>
      <c r="E743">
        <v>14</v>
      </c>
      <c r="F743" t="s">
        <v>1640</v>
      </c>
    </row>
    <row r="744" spans="1:6" x14ac:dyDescent="0.25">
      <c r="A744" t="s">
        <v>1914</v>
      </c>
      <c r="B744">
        <v>743</v>
      </c>
      <c r="C744" s="12">
        <v>-3.7690068653117799E-14</v>
      </c>
      <c r="D744">
        <v>-95.092955005271094</v>
      </c>
      <c r="E744">
        <v>14</v>
      </c>
      <c r="F744" t="s">
        <v>1640</v>
      </c>
    </row>
    <row r="745" spans="1:6" x14ac:dyDescent="0.25">
      <c r="A745" t="s">
        <v>1916</v>
      </c>
      <c r="B745">
        <v>744</v>
      </c>
      <c r="C745" s="12">
        <v>-3.7690068653117799E-14</v>
      </c>
      <c r="D745">
        <v>-89.115503490739002</v>
      </c>
      <c r="E745">
        <v>14</v>
      </c>
      <c r="F745" t="s">
        <v>1640</v>
      </c>
    </row>
    <row r="746" spans="1:6" x14ac:dyDescent="0.25">
      <c r="A746" t="s">
        <v>1917</v>
      </c>
      <c r="B746">
        <v>745</v>
      </c>
      <c r="C746" s="12">
        <v>-3.7690068653117799E-14</v>
      </c>
      <c r="D746">
        <v>-89.115503490739002</v>
      </c>
      <c r="E746">
        <v>14</v>
      </c>
      <c r="F746" t="s">
        <v>1640</v>
      </c>
    </row>
    <row r="747" spans="1:6" x14ac:dyDescent="0.25">
      <c r="A747" t="s">
        <v>1919</v>
      </c>
      <c r="B747">
        <v>746</v>
      </c>
      <c r="C747" s="12">
        <v>-3.7690068653117799E-14</v>
      </c>
      <c r="D747">
        <v>-82.455604292044697</v>
      </c>
      <c r="E747">
        <v>14</v>
      </c>
      <c r="F747" t="s">
        <v>1640</v>
      </c>
    </row>
    <row r="748" spans="1:6" x14ac:dyDescent="0.25">
      <c r="A748" t="s">
        <v>1920</v>
      </c>
      <c r="B748">
        <v>747</v>
      </c>
      <c r="C748" s="12">
        <v>-3.7690068653117799E-14</v>
      </c>
      <c r="D748">
        <v>-82.455604292044697</v>
      </c>
      <c r="E748">
        <v>14</v>
      </c>
      <c r="F748" t="s">
        <v>1640</v>
      </c>
    </row>
    <row r="749" spans="1:6" x14ac:dyDescent="0.25">
      <c r="A749" t="s">
        <v>1922</v>
      </c>
      <c r="B749">
        <v>748</v>
      </c>
      <c r="C749" s="12">
        <v>-3.7690068653117799E-14</v>
      </c>
      <c r="D749">
        <v>-75.269362119724306</v>
      </c>
      <c r="E749">
        <v>14</v>
      </c>
      <c r="F749" t="s">
        <v>1640</v>
      </c>
    </row>
    <row r="750" spans="1:6" x14ac:dyDescent="0.25">
      <c r="A750" t="s">
        <v>1923</v>
      </c>
      <c r="B750">
        <v>749</v>
      </c>
      <c r="C750" s="12">
        <v>-3.7690068653117799E-14</v>
      </c>
      <c r="D750">
        <v>-75.269362119724306</v>
      </c>
      <c r="E750">
        <v>14</v>
      </c>
      <c r="F750" t="s">
        <v>1640</v>
      </c>
    </row>
    <row r="751" spans="1:6" x14ac:dyDescent="0.25">
      <c r="A751" t="s">
        <v>1925</v>
      </c>
      <c r="B751">
        <v>750</v>
      </c>
      <c r="C751" s="12">
        <v>-3.7690068653117799E-14</v>
      </c>
      <c r="D751">
        <v>-67.725217642748106</v>
      </c>
      <c r="E751">
        <v>14</v>
      </c>
      <c r="F751" t="s">
        <v>1640</v>
      </c>
    </row>
    <row r="752" spans="1:6" x14ac:dyDescent="0.25">
      <c r="A752" t="s">
        <v>1926</v>
      </c>
      <c r="B752">
        <v>751</v>
      </c>
      <c r="C752" s="12">
        <v>-3.7690068653117799E-14</v>
      </c>
      <c r="D752">
        <v>-67.725217642748106</v>
      </c>
      <c r="E752">
        <v>14</v>
      </c>
      <c r="F752" t="s">
        <v>1640</v>
      </c>
    </row>
    <row r="753" spans="1:6" x14ac:dyDescent="0.25">
      <c r="A753" t="s">
        <v>1928</v>
      </c>
      <c r="B753">
        <v>752</v>
      </c>
      <c r="C753" s="12">
        <v>-3.7690068653117799E-14</v>
      </c>
      <c r="D753">
        <v>-60.000000000000398</v>
      </c>
      <c r="E753">
        <v>14</v>
      </c>
      <c r="F753" t="s">
        <v>1640</v>
      </c>
    </row>
    <row r="754" spans="1:6" x14ac:dyDescent="0.25">
      <c r="A754" t="s">
        <v>1930</v>
      </c>
      <c r="B754">
        <v>753</v>
      </c>
      <c r="C754" s="12">
        <v>-3.7690068653117799E-14</v>
      </c>
      <c r="D754">
        <v>-52.274782357251901</v>
      </c>
      <c r="E754">
        <v>14</v>
      </c>
      <c r="F754" t="s">
        <v>1640</v>
      </c>
    </row>
    <row r="755" spans="1:6" x14ac:dyDescent="0.25">
      <c r="A755" t="s">
        <v>1931</v>
      </c>
      <c r="B755">
        <v>754</v>
      </c>
      <c r="C755" s="12">
        <v>-3.7690068653117799E-14</v>
      </c>
      <c r="D755">
        <v>-52.274782357251901</v>
      </c>
      <c r="E755">
        <v>14</v>
      </c>
      <c r="F755" t="s">
        <v>1640</v>
      </c>
    </row>
    <row r="756" spans="1:6" x14ac:dyDescent="0.25">
      <c r="A756" t="s">
        <v>1933</v>
      </c>
      <c r="B756">
        <v>755</v>
      </c>
      <c r="C756" s="12">
        <v>-3.7690068653117799E-14</v>
      </c>
      <c r="D756">
        <v>-44.730637880275701</v>
      </c>
      <c r="E756">
        <v>14</v>
      </c>
      <c r="F756" t="s">
        <v>1640</v>
      </c>
    </row>
    <row r="757" spans="1:6" x14ac:dyDescent="0.25">
      <c r="A757" t="s">
        <v>1934</v>
      </c>
      <c r="B757">
        <v>756</v>
      </c>
      <c r="C757" s="12">
        <v>-3.7690068653117799E-14</v>
      </c>
      <c r="D757">
        <v>-44.730637880275701</v>
      </c>
      <c r="E757">
        <v>14</v>
      </c>
      <c r="F757" t="s">
        <v>1640</v>
      </c>
    </row>
    <row r="758" spans="1:6" x14ac:dyDescent="0.25">
      <c r="A758" t="s">
        <v>1936</v>
      </c>
      <c r="B758">
        <v>757</v>
      </c>
      <c r="C758" s="12">
        <v>-3.7690068653117799E-14</v>
      </c>
      <c r="D758">
        <v>-37.544395707955303</v>
      </c>
      <c r="E758">
        <v>14</v>
      </c>
      <c r="F758" t="s">
        <v>1640</v>
      </c>
    </row>
    <row r="759" spans="1:6" x14ac:dyDescent="0.25">
      <c r="A759" t="s">
        <v>1937</v>
      </c>
      <c r="B759">
        <v>758</v>
      </c>
      <c r="C759" s="12">
        <v>-3.7690068653117799E-14</v>
      </c>
      <c r="D759">
        <v>-37.544395707955303</v>
      </c>
      <c r="E759">
        <v>14</v>
      </c>
      <c r="F759" t="s">
        <v>1640</v>
      </c>
    </row>
    <row r="760" spans="1:6" x14ac:dyDescent="0.25">
      <c r="A760" t="s">
        <v>1939</v>
      </c>
      <c r="B760">
        <v>759</v>
      </c>
      <c r="C760" s="12">
        <v>-3.7690068653117799E-14</v>
      </c>
      <c r="D760">
        <v>-30.884496509261002</v>
      </c>
      <c r="E760">
        <v>14</v>
      </c>
      <c r="F760" t="s">
        <v>1640</v>
      </c>
    </row>
    <row r="761" spans="1:6" x14ac:dyDescent="0.25">
      <c r="A761" t="s">
        <v>1940</v>
      </c>
      <c r="B761">
        <v>760</v>
      </c>
      <c r="C761" s="12">
        <v>-3.7690068653117799E-14</v>
      </c>
      <c r="D761">
        <v>-30.884496509261002</v>
      </c>
      <c r="E761">
        <v>14</v>
      </c>
      <c r="F761" t="s">
        <v>1640</v>
      </c>
    </row>
    <row r="762" spans="1:6" x14ac:dyDescent="0.25">
      <c r="A762" t="s">
        <v>1942</v>
      </c>
      <c r="B762">
        <v>761</v>
      </c>
      <c r="C762" s="12">
        <v>-3.7690068653117799E-14</v>
      </c>
      <c r="D762">
        <v>-24.907044994728899</v>
      </c>
      <c r="E762">
        <v>14</v>
      </c>
      <c r="F762" t="s">
        <v>1640</v>
      </c>
    </row>
    <row r="763" spans="1:6" x14ac:dyDescent="0.25">
      <c r="A763" t="s">
        <v>1943</v>
      </c>
      <c r="B763">
        <v>762</v>
      </c>
      <c r="C763" s="12">
        <v>-3.7690068653117799E-14</v>
      </c>
      <c r="D763">
        <v>-24.907044994728899</v>
      </c>
      <c r="E763">
        <v>14</v>
      </c>
      <c r="F763" t="s">
        <v>1640</v>
      </c>
    </row>
    <row r="764" spans="1:6" x14ac:dyDescent="0.25">
      <c r="A764" t="s">
        <v>1945</v>
      </c>
      <c r="B764">
        <v>763</v>
      </c>
      <c r="C764" s="12">
        <v>-3.7690068653117799E-14</v>
      </c>
      <c r="D764">
        <v>-19.7521526126955</v>
      </c>
      <c r="E764">
        <v>14</v>
      </c>
      <c r="F764" t="s">
        <v>1640</v>
      </c>
    </row>
    <row r="765" spans="1:6" x14ac:dyDescent="0.25">
      <c r="A765" t="s">
        <v>1946</v>
      </c>
      <c r="B765">
        <v>764</v>
      </c>
      <c r="C765" s="12">
        <v>-3.7690068653117799E-14</v>
      </c>
      <c r="D765">
        <v>-19.7521526126955</v>
      </c>
      <c r="E765">
        <v>14</v>
      </c>
      <c r="F765" t="s">
        <v>1640</v>
      </c>
    </row>
    <row r="766" spans="1:6" x14ac:dyDescent="0.25">
      <c r="A766" t="s">
        <v>1948</v>
      </c>
      <c r="B766">
        <v>765</v>
      </c>
      <c r="C766" s="12">
        <v>-3.7690068653117799E-14</v>
      </c>
      <c r="D766">
        <v>-15.5406589339512</v>
      </c>
      <c r="E766">
        <v>14</v>
      </c>
      <c r="F766" t="s">
        <v>1640</v>
      </c>
    </row>
    <row r="767" spans="1:6" x14ac:dyDescent="0.25">
      <c r="A767" t="s">
        <v>1949</v>
      </c>
      <c r="B767">
        <v>766</v>
      </c>
      <c r="C767" s="12">
        <v>-3.7690068653117799E-14</v>
      </c>
      <c r="D767">
        <v>-15.5406589339512</v>
      </c>
      <c r="E767">
        <v>14</v>
      </c>
      <c r="F767" t="s">
        <v>1640</v>
      </c>
    </row>
    <row r="768" spans="1:6" x14ac:dyDescent="0.25">
      <c r="A768" t="s">
        <v>1951</v>
      </c>
      <c r="B768">
        <v>767</v>
      </c>
      <c r="C768" s="12">
        <v>-3.7690068653117799E-14</v>
      </c>
      <c r="D768">
        <v>-12.3713234849732</v>
      </c>
      <c r="E768">
        <v>14</v>
      </c>
      <c r="F768" t="s">
        <v>1640</v>
      </c>
    </row>
    <row r="769" spans="1:6" x14ac:dyDescent="0.25">
      <c r="A769" t="s">
        <v>1952</v>
      </c>
      <c r="B769">
        <v>768</v>
      </c>
      <c r="C769" s="12">
        <v>-3.7690068653117799E-14</v>
      </c>
      <c r="D769">
        <v>-12.3713234849732</v>
      </c>
      <c r="E769">
        <v>14</v>
      </c>
      <c r="F769" t="s">
        <v>1640</v>
      </c>
    </row>
    <row r="770" spans="1:6" x14ac:dyDescent="0.25">
      <c r="A770" t="s">
        <v>1954</v>
      </c>
      <c r="B770">
        <v>769</v>
      </c>
      <c r="C770" s="12">
        <v>-3.7690068653117799E-14</v>
      </c>
      <c r="D770">
        <v>-10.3186882529328</v>
      </c>
      <c r="E770">
        <v>14</v>
      </c>
      <c r="F770" t="s">
        <v>1640</v>
      </c>
    </row>
    <row r="771" spans="1:6" x14ac:dyDescent="0.25">
      <c r="A771" t="s">
        <v>1955</v>
      </c>
      <c r="B771">
        <v>770</v>
      </c>
      <c r="C771" s="12">
        <v>-3.7690068653117799E-14</v>
      </c>
      <c r="D771">
        <v>-10.3186882529328</v>
      </c>
      <c r="E771">
        <v>14</v>
      </c>
      <c r="F771" t="s">
        <v>1640</v>
      </c>
    </row>
    <row r="772" spans="1:6" x14ac:dyDescent="0.25">
      <c r="A772" t="s">
        <v>1957</v>
      </c>
      <c r="B772">
        <v>771</v>
      </c>
      <c r="C772" s="12">
        <v>-3.7690068653117799E-14</v>
      </c>
      <c r="D772">
        <v>-9.4375</v>
      </c>
      <c r="E772">
        <v>14</v>
      </c>
      <c r="F772" t="s">
        <v>1640</v>
      </c>
    </row>
    <row r="773" spans="1:6" x14ac:dyDescent="0.25">
      <c r="A773" t="s">
        <v>1958</v>
      </c>
      <c r="B773">
        <v>772</v>
      </c>
      <c r="C773" s="12">
        <v>-3.7690068653117799E-14</v>
      </c>
      <c r="D773">
        <v>-9.4375</v>
      </c>
      <c r="E773">
        <v>14</v>
      </c>
      <c r="F773" t="s">
        <v>1640</v>
      </c>
    </row>
    <row r="774" spans="1:6" x14ac:dyDescent="0.25">
      <c r="A774" t="s">
        <v>1960</v>
      </c>
      <c r="B774">
        <v>773</v>
      </c>
      <c r="C774">
        <v>4.59375</v>
      </c>
      <c r="D774">
        <v>-110.5625</v>
      </c>
      <c r="E774">
        <v>14</v>
      </c>
      <c r="F774" t="s">
        <v>1640</v>
      </c>
    </row>
    <row r="775" spans="1:6" x14ac:dyDescent="0.25">
      <c r="A775" t="s">
        <v>1961</v>
      </c>
      <c r="B775">
        <v>774</v>
      </c>
      <c r="C775">
        <v>4.59375</v>
      </c>
      <c r="D775">
        <v>-110.5625</v>
      </c>
      <c r="E775">
        <v>14</v>
      </c>
      <c r="F775" t="s">
        <v>1640</v>
      </c>
    </row>
    <row r="776" spans="1:6" x14ac:dyDescent="0.25">
      <c r="A776" t="s">
        <v>1963</v>
      </c>
      <c r="B776">
        <v>775</v>
      </c>
      <c r="C776">
        <v>4.59375</v>
      </c>
      <c r="D776">
        <v>-109.681311747067</v>
      </c>
      <c r="E776">
        <v>14</v>
      </c>
      <c r="F776" t="s">
        <v>1640</v>
      </c>
    </row>
    <row r="777" spans="1:6" x14ac:dyDescent="0.25">
      <c r="A777" t="s">
        <v>1964</v>
      </c>
      <c r="B777">
        <v>776</v>
      </c>
      <c r="C777">
        <v>4.59375</v>
      </c>
      <c r="D777">
        <v>-109.681311747067</v>
      </c>
      <c r="E777">
        <v>14</v>
      </c>
      <c r="F777" t="s">
        <v>1640</v>
      </c>
    </row>
    <row r="778" spans="1:6" x14ac:dyDescent="0.25">
      <c r="A778" t="s">
        <v>1966</v>
      </c>
      <c r="B778">
        <v>777</v>
      </c>
      <c r="C778">
        <v>4.59375</v>
      </c>
      <c r="D778">
        <v>-107.628676515027</v>
      </c>
      <c r="E778">
        <v>14</v>
      </c>
      <c r="F778" t="s">
        <v>1640</v>
      </c>
    </row>
    <row r="779" spans="1:6" x14ac:dyDescent="0.25">
      <c r="A779" t="s">
        <v>1967</v>
      </c>
      <c r="B779">
        <v>778</v>
      </c>
      <c r="C779">
        <v>4.59375</v>
      </c>
      <c r="D779">
        <v>-107.628676515027</v>
      </c>
      <c r="E779">
        <v>14</v>
      </c>
      <c r="F779" t="s">
        <v>1640</v>
      </c>
    </row>
    <row r="780" spans="1:6" x14ac:dyDescent="0.25">
      <c r="A780" t="s">
        <v>1969</v>
      </c>
      <c r="B780">
        <v>779</v>
      </c>
      <c r="C780">
        <v>4.59375</v>
      </c>
      <c r="D780">
        <v>-104.45934106604901</v>
      </c>
      <c r="E780">
        <v>14</v>
      </c>
      <c r="F780" t="s">
        <v>1640</v>
      </c>
    </row>
    <row r="781" spans="1:6" x14ac:dyDescent="0.25">
      <c r="A781" t="s">
        <v>1970</v>
      </c>
      <c r="B781">
        <v>780</v>
      </c>
      <c r="C781">
        <v>4.59375</v>
      </c>
      <c r="D781">
        <v>-104.45934106604901</v>
      </c>
      <c r="E781">
        <v>14</v>
      </c>
      <c r="F781" t="s">
        <v>1640</v>
      </c>
    </row>
    <row r="782" spans="1:6" x14ac:dyDescent="0.25">
      <c r="A782" t="s">
        <v>1972</v>
      </c>
      <c r="B782">
        <v>781</v>
      </c>
      <c r="C782">
        <v>4.59375</v>
      </c>
      <c r="D782">
        <v>-100.24784738730401</v>
      </c>
      <c r="E782">
        <v>14</v>
      </c>
      <c r="F782" t="s">
        <v>1640</v>
      </c>
    </row>
    <row r="783" spans="1:6" x14ac:dyDescent="0.25">
      <c r="A783" t="s">
        <v>1973</v>
      </c>
      <c r="B783">
        <v>782</v>
      </c>
      <c r="C783">
        <v>4.59375</v>
      </c>
      <c r="D783">
        <v>-100.24784738730401</v>
      </c>
      <c r="E783">
        <v>14</v>
      </c>
      <c r="F783" t="s">
        <v>1640</v>
      </c>
    </row>
    <row r="784" spans="1:6" x14ac:dyDescent="0.25">
      <c r="A784" t="s">
        <v>1975</v>
      </c>
      <c r="B784">
        <v>783</v>
      </c>
      <c r="C784">
        <v>4.59375</v>
      </c>
      <c r="D784">
        <v>-95.092955005271094</v>
      </c>
      <c r="E784">
        <v>14</v>
      </c>
      <c r="F784" t="s">
        <v>1640</v>
      </c>
    </row>
    <row r="785" spans="1:6" x14ac:dyDescent="0.25">
      <c r="A785" t="s">
        <v>1976</v>
      </c>
      <c r="B785">
        <v>784</v>
      </c>
      <c r="C785">
        <v>4.59375</v>
      </c>
      <c r="D785">
        <v>-95.092955005271094</v>
      </c>
      <c r="E785">
        <v>14</v>
      </c>
      <c r="F785" t="s">
        <v>1640</v>
      </c>
    </row>
    <row r="786" spans="1:6" x14ac:dyDescent="0.25">
      <c r="A786" t="s">
        <v>1978</v>
      </c>
      <c r="B786">
        <v>785</v>
      </c>
      <c r="C786">
        <v>4.59375</v>
      </c>
      <c r="D786">
        <v>-89.115503490739002</v>
      </c>
      <c r="E786">
        <v>14</v>
      </c>
      <c r="F786" t="s">
        <v>1640</v>
      </c>
    </row>
    <row r="787" spans="1:6" x14ac:dyDescent="0.25">
      <c r="A787" t="s">
        <v>1979</v>
      </c>
      <c r="B787">
        <v>786</v>
      </c>
      <c r="C787">
        <v>4.59375</v>
      </c>
      <c r="D787">
        <v>-89.115503490739002</v>
      </c>
      <c r="E787">
        <v>14</v>
      </c>
      <c r="F787" t="s">
        <v>1640</v>
      </c>
    </row>
    <row r="788" spans="1:6" x14ac:dyDescent="0.25">
      <c r="A788" t="s">
        <v>1981</v>
      </c>
      <c r="B788">
        <v>787</v>
      </c>
      <c r="C788">
        <v>4.59375</v>
      </c>
      <c r="D788">
        <v>-82.455604292044697</v>
      </c>
      <c r="E788">
        <v>14</v>
      </c>
      <c r="F788" t="s">
        <v>1640</v>
      </c>
    </row>
    <row r="789" spans="1:6" x14ac:dyDescent="0.25">
      <c r="A789" t="s">
        <v>1982</v>
      </c>
      <c r="B789">
        <v>788</v>
      </c>
      <c r="C789">
        <v>4.59375</v>
      </c>
      <c r="D789">
        <v>-82.455604292044697</v>
      </c>
      <c r="E789">
        <v>14</v>
      </c>
      <c r="F789" t="s">
        <v>1640</v>
      </c>
    </row>
    <row r="790" spans="1:6" x14ac:dyDescent="0.25">
      <c r="A790" t="s">
        <v>1984</v>
      </c>
      <c r="B790">
        <v>789</v>
      </c>
      <c r="C790">
        <v>4.59375</v>
      </c>
      <c r="D790">
        <v>-75.269362119724306</v>
      </c>
      <c r="E790">
        <v>14</v>
      </c>
      <c r="F790" t="s">
        <v>1640</v>
      </c>
    </row>
    <row r="791" spans="1:6" x14ac:dyDescent="0.25">
      <c r="A791" t="s">
        <v>1985</v>
      </c>
      <c r="B791">
        <v>790</v>
      </c>
      <c r="C791">
        <v>4.59375</v>
      </c>
      <c r="D791">
        <v>-75.269362119724306</v>
      </c>
      <c r="E791">
        <v>14</v>
      </c>
      <c r="F791" t="s">
        <v>1640</v>
      </c>
    </row>
    <row r="792" spans="1:6" x14ac:dyDescent="0.25">
      <c r="A792" t="s">
        <v>1987</v>
      </c>
      <c r="B792">
        <v>791</v>
      </c>
      <c r="C792">
        <v>4.59375</v>
      </c>
      <c r="D792">
        <v>-67.725217642748106</v>
      </c>
      <c r="E792">
        <v>14</v>
      </c>
      <c r="F792" t="s">
        <v>1640</v>
      </c>
    </row>
    <row r="793" spans="1:6" x14ac:dyDescent="0.25">
      <c r="A793" t="s">
        <v>1988</v>
      </c>
      <c r="B793">
        <v>792</v>
      </c>
      <c r="C793">
        <v>4.59375</v>
      </c>
      <c r="D793">
        <v>-67.725217642748106</v>
      </c>
      <c r="E793">
        <v>14</v>
      </c>
      <c r="F793" t="s">
        <v>1640</v>
      </c>
    </row>
    <row r="794" spans="1:6" x14ac:dyDescent="0.25">
      <c r="A794" t="s">
        <v>1990</v>
      </c>
      <c r="B794">
        <v>793</v>
      </c>
      <c r="C794">
        <v>4.59375</v>
      </c>
      <c r="D794">
        <v>-60.000000000000398</v>
      </c>
      <c r="E794">
        <v>14</v>
      </c>
      <c r="F794" t="s">
        <v>1640</v>
      </c>
    </row>
    <row r="795" spans="1:6" x14ac:dyDescent="0.25">
      <c r="A795" t="s">
        <v>1991</v>
      </c>
      <c r="B795">
        <v>794</v>
      </c>
      <c r="C795">
        <v>4.59375</v>
      </c>
      <c r="D795">
        <v>-60.000000000000398</v>
      </c>
      <c r="E795">
        <v>14</v>
      </c>
      <c r="F795" t="s">
        <v>1640</v>
      </c>
    </row>
    <row r="796" spans="1:6" x14ac:dyDescent="0.25">
      <c r="A796" t="s">
        <v>1993</v>
      </c>
      <c r="B796">
        <v>795</v>
      </c>
      <c r="C796">
        <v>4.59375</v>
      </c>
      <c r="D796">
        <v>-52.274782357251901</v>
      </c>
      <c r="E796">
        <v>14</v>
      </c>
      <c r="F796" t="s">
        <v>1640</v>
      </c>
    </row>
    <row r="797" spans="1:6" x14ac:dyDescent="0.25">
      <c r="A797" t="s">
        <v>1994</v>
      </c>
      <c r="B797">
        <v>796</v>
      </c>
      <c r="C797">
        <v>4.59375</v>
      </c>
      <c r="D797">
        <v>-52.274782357251901</v>
      </c>
      <c r="E797">
        <v>14</v>
      </c>
      <c r="F797" t="s">
        <v>1640</v>
      </c>
    </row>
    <row r="798" spans="1:6" x14ac:dyDescent="0.25">
      <c r="A798" t="s">
        <v>1996</v>
      </c>
      <c r="B798">
        <v>797</v>
      </c>
      <c r="C798">
        <v>4.59375</v>
      </c>
      <c r="D798">
        <v>-44.730637880275701</v>
      </c>
      <c r="E798">
        <v>14</v>
      </c>
      <c r="F798" t="s">
        <v>1640</v>
      </c>
    </row>
    <row r="799" spans="1:6" x14ac:dyDescent="0.25">
      <c r="A799" t="s">
        <v>1997</v>
      </c>
      <c r="B799">
        <v>798</v>
      </c>
      <c r="C799">
        <v>4.59375</v>
      </c>
      <c r="D799">
        <v>-44.730637880275701</v>
      </c>
      <c r="E799">
        <v>14</v>
      </c>
      <c r="F799" t="s">
        <v>1640</v>
      </c>
    </row>
    <row r="800" spans="1:6" x14ac:dyDescent="0.25">
      <c r="A800" t="s">
        <v>1999</v>
      </c>
      <c r="B800">
        <v>799</v>
      </c>
      <c r="C800">
        <v>4.59375</v>
      </c>
      <c r="D800">
        <v>-37.544395707955303</v>
      </c>
      <c r="E800">
        <v>14</v>
      </c>
      <c r="F800" t="s">
        <v>1640</v>
      </c>
    </row>
    <row r="801" spans="1:6" x14ac:dyDescent="0.25">
      <c r="A801" t="s">
        <v>2000</v>
      </c>
      <c r="B801">
        <v>800</v>
      </c>
      <c r="C801">
        <v>4.59375</v>
      </c>
      <c r="D801">
        <v>-37.544395707955303</v>
      </c>
      <c r="E801">
        <v>14</v>
      </c>
      <c r="F801" t="s">
        <v>1640</v>
      </c>
    </row>
    <row r="802" spans="1:6" x14ac:dyDescent="0.25">
      <c r="A802" t="s">
        <v>2002</v>
      </c>
      <c r="B802">
        <v>801</v>
      </c>
      <c r="C802">
        <v>4.59375</v>
      </c>
      <c r="D802">
        <v>-30.884496509261002</v>
      </c>
      <c r="E802">
        <v>14</v>
      </c>
      <c r="F802" t="s">
        <v>1640</v>
      </c>
    </row>
    <row r="803" spans="1:6" x14ac:dyDescent="0.25">
      <c r="A803" t="s">
        <v>2003</v>
      </c>
      <c r="B803">
        <v>802</v>
      </c>
      <c r="C803">
        <v>4.59375</v>
      </c>
      <c r="D803">
        <v>-30.884496509261002</v>
      </c>
      <c r="E803">
        <v>14</v>
      </c>
      <c r="F803" t="s">
        <v>1640</v>
      </c>
    </row>
    <row r="804" spans="1:6" x14ac:dyDescent="0.25">
      <c r="A804" t="s">
        <v>2005</v>
      </c>
      <c r="B804">
        <v>803</v>
      </c>
      <c r="C804">
        <v>4.59375</v>
      </c>
      <c r="D804">
        <v>-24.907044994728899</v>
      </c>
      <c r="E804">
        <v>14</v>
      </c>
      <c r="F804" t="s">
        <v>1640</v>
      </c>
    </row>
    <row r="805" spans="1:6" x14ac:dyDescent="0.25">
      <c r="A805" t="s">
        <v>2006</v>
      </c>
      <c r="B805">
        <v>804</v>
      </c>
      <c r="C805">
        <v>4.59375</v>
      </c>
      <c r="D805">
        <v>-24.907044994728899</v>
      </c>
      <c r="E805">
        <v>14</v>
      </c>
      <c r="F805" t="s">
        <v>1640</v>
      </c>
    </row>
    <row r="806" spans="1:6" x14ac:dyDescent="0.25">
      <c r="A806" t="s">
        <v>2008</v>
      </c>
      <c r="B806">
        <v>805</v>
      </c>
      <c r="C806">
        <v>4.59375</v>
      </c>
      <c r="D806">
        <v>-19.7521526126955</v>
      </c>
      <c r="E806">
        <v>14</v>
      </c>
      <c r="F806" t="s">
        <v>1640</v>
      </c>
    </row>
    <row r="807" spans="1:6" x14ac:dyDescent="0.25">
      <c r="A807" t="s">
        <v>2009</v>
      </c>
      <c r="B807">
        <v>806</v>
      </c>
      <c r="C807">
        <v>4.59375</v>
      </c>
      <c r="D807">
        <v>-19.7521526126955</v>
      </c>
      <c r="E807">
        <v>14</v>
      </c>
      <c r="F807" t="s">
        <v>1640</v>
      </c>
    </row>
    <row r="808" spans="1:6" x14ac:dyDescent="0.25">
      <c r="A808" t="s">
        <v>2011</v>
      </c>
      <c r="B808">
        <v>807</v>
      </c>
      <c r="C808">
        <v>4.59375</v>
      </c>
      <c r="D808">
        <v>-15.5406589339512</v>
      </c>
      <c r="E808">
        <v>14</v>
      </c>
      <c r="F808" t="s">
        <v>1640</v>
      </c>
    </row>
    <row r="809" spans="1:6" x14ac:dyDescent="0.25">
      <c r="A809" t="s">
        <v>2012</v>
      </c>
      <c r="B809">
        <v>808</v>
      </c>
      <c r="C809">
        <v>4.59375</v>
      </c>
      <c r="D809">
        <v>-15.5406589339512</v>
      </c>
      <c r="E809">
        <v>14</v>
      </c>
      <c r="F809" t="s">
        <v>1640</v>
      </c>
    </row>
    <row r="810" spans="1:6" x14ac:dyDescent="0.25">
      <c r="A810" t="s">
        <v>2014</v>
      </c>
      <c r="B810">
        <v>809</v>
      </c>
      <c r="C810">
        <v>4.59375</v>
      </c>
      <c r="D810">
        <v>-12.3713234849732</v>
      </c>
      <c r="E810">
        <v>14</v>
      </c>
      <c r="F810" t="s">
        <v>1640</v>
      </c>
    </row>
    <row r="811" spans="1:6" x14ac:dyDescent="0.25">
      <c r="A811" t="s">
        <v>2015</v>
      </c>
      <c r="B811">
        <v>810</v>
      </c>
      <c r="C811">
        <v>4.59375</v>
      </c>
      <c r="D811">
        <v>-12.3713234849732</v>
      </c>
      <c r="E811">
        <v>14</v>
      </c>
      <c r="F811" t="s">
        <v>1640</v>
      </c>
    </row>
    <row r="812" spans="1:6" x14ac:dyDescent="0.25">
      <c r="A812" t="s">
        <v>2017</v>
      </c>
      <c r="B812">
        <v>811</v>
      </c>
      <c r="C812">
        <v>4.59375</v>
      </c>
      <c r="D812">
        <v>-10.3186882529328</v>
      </c>
      <c r="E812">
        <v>14</v>
      </c>
      <c r="F812" t="s">
        <v>1640</v>
      </c>
    </row>
    <row r="813" spans="1:6" x14ac:dyDescent="0.25">
      <c r="A813" t="s">
        <v>2018</v>
      </c>
      <c r="B813">
        <v>812</v>
      </c>
      <c r="C813">
        <v>4.59375</v>
      </c>
      <c r="D813">
        <v>-10.3186882529328</v>
      </c>
      <c r="E813">
        <v>14</v>
      </c>
      <c r="F813" t="s">
        <v>1640</v>
      </c>
    </row>
    <row r="814" spans="1:6" x14ac:dyDescent="0.25">
      <c r="A814" t="s">
        <v>2020</v>
      </c>
      <c r="B814">
        <v>813</v>
      </c>
      <c r="C814">
        <v>4.59375</v>
      </c>
      <c r="D814">
        <v>-9.4375</v>
      </c>
      <c r="E814">
        <v>14</v>
      </c>
      <c r="F814" t="s">
        <v>1640</v>
      </c>
    </row>
    <row r="815" spans="1:6" x14ac:dyDescent="0.25">
      <c r="A815" t="s">
        <v>2021</v>
      </c>
      <c r="B815">
        <v>814</v>
      </c>
      <c r="C815">
        <v>4.59375</v>
      </c>
      <c r="D815">
        <v>-9.4375</v>
      </c>
      <c r="E815">
        <v>14</v>
      </c>
      <c r="F815" t="s">
        <v>1640</v>
      </c>
    </row>
    <row r="816" spans="1:6" x14ac:dyDescent="0.25">
      <c r="A816" t="s">
        <v>1647</v>
      </c>
      <c r="B816">
        <v>815</v>
      </c>
      <c r="C816">
        <v>379.40625</v>
      </c>
      <c r="D816">
        <v>-110.5625</v>
      </c>
      <c r="E816">
        <v>14</v>
      </c>
      <c r="F816" t="s">
        <v>1640</v>
      </c>
    </row>
    <row r="817" spans="1:6" x14ac:dyDescent="0.25">
      <c r="A817" t="s">
        <v>1648</v>
      </c>
      <c r="B817">
        <v>816</v>
      </c>
      <c r="C817">
        <v>379.40625</v>
      </c>
      <c r="D817">
        <v>-110.5625</v>
      </c>
      <c r="E817">
        <v>14</v>
      </c>
      <c r="F817" t="s">
        <v>1640</v>
      </c>
    </row>
    <row r="818" spans="1:6" x14ac:dyDescent="0.25">
      <c r="A818" t="s">
        <v>2023</v>
      </c>
      <c r="B818">
        <v>817</v>
      </c>
      <c r="C818">
        <v>379.40625</v>
      </c>
      <c r="D818">
        <v>-109.681311747067</v>
      </c>
      <c r="E818">
        <v>14</v>
      </c>
      <c r="F818" t="s">
        <v>1640</v>
      </c>
    </row>
    <row r="819" spans="1:6" x14ac:dyDescent="0.25">
      <c r="A819" t="s">
        <v>2024</v>
      </c>
      <c r="B819">
        <v>818</v>
      </c>
      <c r="C819">
        <v>379.40625</v>
      </c>
      <c r="D819">
        <v>-109.681311747067</v>
      </c>
      <c r="E819">
        <v>14</v>
      </c>
      <c r="F819" t="s">
        <v>1640</v>
      </c>
    </row>
    <row r="820" spans="1:6" x14ac:dyDescent="0.25">
      <c r="A820" t="s">
        <v>2026</v>
      </c>
      <c r="B820">
        <v>819</v>
      </c>
      <c r="C820">
        <v>379.40625</v>
      </c>
      <c r="D820">
        <v>-107.628676515027</v>
      </c>
      <c r="E820">
        <v>14</v>
      </c>
      <c r="F820" t="s">
        <v>1640</v>
      </c>
    </row>
    <row r="821" spans="1:6" x14ac:dyDescent="0.25">
      <c r="A821" t="s">
        <v>2027</v>
      </c>
      <c r="B821">
        <v>820</v>
      </c>
      <c r="C821">
        <v>379.40625</v>
      </c>
      <c r="D821">
        <v>-107.628676515027</v>
      </c>
      <c r="E821">
        <v>14</v>
      </c>
      <c r="F821" t="s">
        <v>1640</v>
      </c>
    </row>
    <row r="822" spans="1:6" x14ac:dyDescent="0.25">
      <c r="A822" t="s">
        <v>2029</v>
      </c>
      <c r="B822">
        <v>821</v>
      </c>
      <c r="C822">
        <v>379.40625</v>
      </c>
      <c r="D822">
        <v>-104.45934106604901</v>
      </c>
      <c r="E822">
        <v>14</v>
      </c>
      <c r="F822" t="s">
        <v>1640</v>
      </c>
    </row>
    <row r="823" spans="1:6" x14ac:dyDescent="0.25">
      <c r="A823" t="s">
        <v>2030</v>
      </c>
      <c r="B823">
        <v>822</v>
      </c>
      <c r="C823">
        <v>379.40625</v>
      </c>
      <c r="D823">
        <v>-104.45934106604901</v>
      </c>
      <c r="E823">
        <v>14</v>
      </c>
      <c r="F823" t="s">
        <v>1640</v>
      </c>
    </row>
    <row r="824" spans="1:6" x14ac:dyDescent="0.25">
      <c r="A824" t="s">
        <v>2032</v>
      </c>
      <c r="B824">
        <v>823</v>
      </c>
      <c r="C824">
        <v>379.40625</v>
      </c>
      <c r="D824">
        <v>-100.24784738730401</v>
      </c>
      <c r="E824">
        <v>14</v>
      </c>
      <c r="F824" t="s">
        <v>1640</v>
      </c>
    </row>
    <row r="825" spans="1:6" x14ac:dyDescent="0.25">
      <c r="A825" t="s">
        <v>2033</v>
      </c>
      <c r="B825">
        <v>824</v>
      </c>
      <c r="C825">
        <v>379.40625</v>
      </c>
      <c r="D825">
        <v>-100.24784738730401</v>
      </c>
      <c r="E825">
        <v>14</v>
      </c>
      <c r="F825" t="s">
        <v>1640</v>
      </c>
    </row>
    <row r="826" spans="1:6" x14ac:dyDescent="0.25">
      <c r="A826" t="s">
        <v>2035</v>
      </c>
      <c r="B826">
        <v>825</v>
      </c>
      <c r="C826">
        <v>379.40625</v>
      </c>
      <c r="D826">
        <v>-95.092955005271094</v>
      </c>
      <c r="E826">
        <v>14</v>
      </c>
      <c r="F826" t="s">
        <v>1640</v>
      </c>
    </row>
    <row r="827" spans="1:6" x14ac:dyDescent="0.25">
      <c r="A827" t="s">
        <v>2036</v>
      </c>
      <c r="B827">
        <v>826</v>
      </c>
      <c r="C827">
        <v>379.40625</v>
      </c>
      <c r="D827">
        <v>-95.092955005271094</v>
      </c>
      <c r="E827">
        <v>14</v>
      </c>
      <c r="F827" t="s">
        <v>1640</v>
      </c>
    </row>
    <row r="828" spans="1:6" x14ac:dyDescent="0.25">
      <c r="A828" t="s">
        <v>2038</v>
      </c>
      <c r="B828">
        <v>827</v>
      </c>
      <c r="C828">
        <v>379.40625</v>
      </c>
      <c r="D828">
        <v>-89.115503490739002</v>
      </c>
      <c r="E828">
        <v>14</v>
      </c>
      <c r="F828" t="s">
        <v>1640</v>
      </c>
    </row>
    <row r="829" spans="1:6" x14ac:dyDescent="0.25">
      <c r="A829" t="s">
        <v>2039</v>
      </c>
      <c r="B829">
        <v>828</v>
      </c>
      <c r="C829">
        <v>379.40625</v>
      </c>
      <c r="D829">
        <v>-89.115503490739002</v>
      </c>
      <c r="E829">
        <v>14</v>
      </c>
      <c r="F829" t="s">
        <v>1640</v>
      </c>
    </row>
    <row r="830" spans="1:6" x14ac:dyDescent="0.25">
      <c r="A830" t="s">
        <v>2041</v>
      </c>
      <c r="B830">
        <v>829</v>
      </c>
      <c r="C830">
        <v>379.40625</v>
      </c>
      <c r="D830">
        <v>-82.455604292044697</v>
      </c>
      <c r="E830">
        <v>14</v>
      </c>
      <c r="F830" t="s">
        <v>1640</v>
      </c>
    </row>
    <row r="831" spans="1:6" x14ac:dyDescent="0.25">
      <c r="A831" t="s">
        <v>2042</v>
      </c>
      <c r="B831">
        <v>830</v>
      </c>
      <c r="C831">
        <v>379.40625</v>
      </c>
      <c r="D831">
        <v>-82.455604292044697</v>
      </c>
      <c r="E831">
        <v>14</v>
      </c>
      <c r="F831" t="s">
        <v>1640</v>
      </c>
    </row>
    <row r="832" spans="1:6" x14ac:dyDescent="0.25">
      <c r="A832" t="s">
        <v>2044</v>
      </c>
      <c r="B832">
        <v>831</v>
      </c>
      <c r="C832">
        <v>379.40625</v>
      </c>
      <c r="D832">
        <v>-75.269362119724306</v>
      </c>
      <c r="E832">
        <v>14</v>
      </c>
      <c r="F832" t="s">
        <v>1640</v>
      </c>
    </row>
    <row r="833" spans="1:6" x14ac:dyDescent="0.25">
      <c r="A833" t="s">
        <v>2045</v>
      </c>
      <c r="B833">
        <v>832</v>
      </c>
      <c r="C833">
        <v>379.40625</v>
      </c>
      <c r="D833">
        <v>-75.269362119724306</v>
      </c>
      <c r="E833">
        <v>14</v>
      </c>
      <c r="F833" t="s">
        <v>1640</v>
      </c>
    </row>
    <row r="834" spans="1:6" x14ac:dyDescent="0.25">
      <c r="A834" t="s">
        <v>2047</v>
      </c>
      <c r="B834">
        <v>833</v>
      </c>
      <c r="C834">
        <v>379.40625</v>
      </c>
      <c r="D834">
        <v>-67.725217642748106</v>
      </c>
      <c r="E834">
        <v>14</v>
      </c>
      <c r="F834" t="s">
        <v>1640</v>
      </c>
    </row>
    <row r="835" spans="1:6" x14ac:dyDescent="0.25">
      <c r="A835" t="s">
        <v>2048</v>
      </c>
      <c r="B835">
        <v>834</v>
      </c>
      <c r="C835">
        <v>379.40625</v>
      </c>
      <c r="D835">
        <v>-67.725217642748106</v>
      </c>
      <c r="E835">
        <v>14</v>
      </c>
      <c r="F835" t="s">
        <v>1640</v>
      </c>
    </row>
    <row r="836" spans="1:6" x14ac:dyDescent="0.25">
      <c r="A836" t="s">
        <v>2050</v>
      </c>
      <c r="B836">
        <v>835</v>
      </c>
      <c r="C836">
        <v>379.40625</v>
      </c>
      <c r="D836">
        <v>-60.000000000000398</v>
      </c>
      <c r="E836">
        <v>14</v>
      </c>
      <c r="F836" t="s">
        <v>1640</v>
      </c>
    </row>
    <row r="837" spans="1:6" x14ac:dyDescent="0.25">
      <c r="A837" t="s">
        <v>2051</v>
      </c>
      <c r="B837">
        <v>836</v>
      </c>
      <c r="C837">
        <v>379.40625</v>
      </c>
      <c r="D837">
        <v>-60.000000000000398</v>
      </c>
      <c r="E837">
        <v>14</v>
      </c>
      <c r="F837" t="s">
        <v>1640</v>
      </c>
    </row>
    <row r="838" spans="1:6" x14ac:dyDescent="0.25">
      <c r="A838" t="s">
        <v>2053</v>
      </c>
      <c r="B838">
        <v>837</v>
      </c>
      <c r="C838">
        <v>379.40625</v>
      </c>
      <c r="D838">
        <v>-52.274782357251901</v>
      </c>
      <c r="E838">
        <v>14</v>
      </c>
      <c r="F838" t="s">
        <v>1640</v>
      </c>
    </row>
    <row r="839" spans="1:6" x14ac:dyDescent="0.25">
      <c r="A839" t="s">
        <v>2054</v>
      </c>
      <c r="B839">
        <v>838</v>
      </c>
      <c r="C839">
        <v>379.40625</v>
      </c>
      <c r="D839">
        <v>-52.274782357251901</v>
      </c>
      <c r="E839">
        <v>14</v>
      </c>
      <c r="F839" t="s">
        <v>1640</v>
      </c>
    </row>
    <row r="840" spans="1:6" x14ac:dyDescent="0.25">
      <c r="A840" t="s">
        <v>2056</v>
      </c>
      <c r="B840">
        <v>839</v>
      </c>
      <c r="C840">
        <v>379.40625</v>
      </c>
      <c r="D840">
        <v>-44.730637880275701</v>
      </c>
      <c r="E840">
        <v>14</v>
      </c>
      <c r="F840" t="s">
        <v>1640</v>
      </c>
    </row>
    <row r="841" spans="1:6" x14ac:dyDescent="0.25">
      <c r="A841" t="s">
        <v>2057</v>
      </c>
      <c r="B841">
        <v>840</v>
      </c>
      <c r="C841">
        <v>379.40625</v>
      </c>
      <c r="D841">
        <v>-44.730637880275701</v>
      </c>
      <c r="E841">
        <v>14</v>
      </c>
      <c r="F841" t="s">
        <v>1640</v>
      </c>
    </row>
    <row r="842" spans="1:6" x14ac:dyDescent="0.25">
      <c r="A842" t="s">
        <v>2059</v>
      </c>
      <c r="B842">
        <v>841</v>
      </c>
      <c r="C842">
        <v>379.40625</v>
      </c>
      <c r="D842">
        <v>-37.544395707955303</v>
      </c>
      <c r="E842">
        <v>14</v>
      </c>
      <c r="F842" t="s">
        <v>1640</v>
      </c>
    </row>
    <row r="843" spans="1:6" x14ac:dyDescent="0.25">
      <c r="A843" t="s">
        <v>2060</v>
      </c>
      <c r="B843">
        <v>842</v>
      </c>
      <c r="C843">
        <v>379.40625</v>
      </c>
      <c r="D843">
        <v>-37.544395707955303</v>
      </c>
      <c r="E843">
        <v>14</v>
      </c>
      <c r="F843" t="s">
        <v>1640</v>
      </c>
    </row>
    <row r="844" spans="1:6" x14ac:dyDescent="0.25">
      <c r="A844" t="s">
        <v>2062</v>
      </c>
      <c r="B844">
        <v>843</v>
      </c>
      <c r="C844">
        <v>379.40625</v>
      </c>
      <c r="D844">
        <v>-30.884496509261002</v>
      </c>
      <c r="E844">
        <v>14</v>
      </c>
      <c r="F844" t="s">
        <v>1640</v>
      </c>
    </row>
    <row r="845" spans="1:6" x14ac:dyDescent="0.25">
      <c r="A845" t="s">
        <v>2063</v>
      </c>
      <c r="B845">
        <v>844</v>
      </c>
      <c r="C845">
        <v>379.40625</v>
      </c>
      <c r="D845">
        <v>-30.884496509261002</v>
      </c>
      <c r="E845">
        <v>14</v>
      </c>
      <c r="F845" t="s">
        <v>1640</v>
      </c>
    </row>
    <row r="846" spans="1:6" x14ac:dyDescent="0.25">
      <c r="A846" t="s">
        <v>2065</v>
      </c>
      <c r="B846">
        <v>845</v>
      </c>
      <c r="C846">
        <v>379.40625</v>
      </c>
      <c r="D846">
        <v>-24.907044994728899</v>
      </c>
      <c r="E846">
        <v>14</v>
      </c>
      <c r="F846" t="s">
        <v>1640</v>
      </c>
    </row>
    <row r="847" spans="1:6" x14ac:dyDescent="0.25">
      <c r="A847" t="s">
        <v>2066</v>
      </c>
      <c r="B847">
        <v>846</v>
      </c>
      <c r="C847">
        <v>379.40625</v>
      </c>
      <c r="D847">
        <v>-24.907044994728899</v>
      </c>
      <c r="E847">
        <v>14</v>
      </c>
      <c r="F847" t="s">
        <v>1640</v>
      </c>
    </row>
    <row r="848" spans="1:6" x14ac:dyDescent="0.25">
      <c r="A848" t="s">
        <v>2068</v>
      </c>
      <c r="B848">
        <v>847</v>
      </c>
      <c r="C848">
        <v>379.40625</v>
      </c>
      <c r="D848">
        <v>-19.7521526126955</v>
      </c>
      <c r="E848">
        <v>14</v>
      </c>
      <c r="F848" t="s">
        <v>1640</v>
      </c>
    </row>
    <row r="849" spans="1:6" x14ac:dyDescent="0.25">
      <c r="A849" t="s">
        <v>2069</v>
      </c>
      <c r="B849">
        <v>848</v>
      </c>
      <c r="C849">
        <v>379.40625</v>
      </c>
      <c r="D849">
        <v>-19.7521526126955</v>
      </c>
      <c r="E849">
        <v>14</v>
      </c>
      <c r="F849" t="s">
        <v>1640</v>
      </c>
    </row>
    <row r="850" spans="1:6" x14ac:dyDescent="0.25">
      <c r="A850" t="s">
        <v>2071</v>
      </c>
      <c r="B850">
        <v>849</v>
      </c>
      <c r="C850">
        <v>379.40625</v>
      </c>
      <c r="D850">
        <v>-15.5406589339512</v>
      </c>
      <c r="E850">
        <v>14</v>
      </c>
      <c r="F850" t="s">
        <v>1640</v>
      </c>
    </row>
    <row r="851" spans="1:6" x14ac:dyDescent="0.25">
      <c r="A851" t="s">
        <v>2072</v>
      </c>
      <c r="B851">
        <v>850</v>
      </c>
      <c r="C851">
        <v>379.40625</v>
      </c>
      <c r="D851">
        <v>-15.5406589339512</v>
      </c>
      <c r="E851">
        <v>14</v>
      </c>
      <c r="F851" t="s">
        <v>1640</v>
      </c>
    </row>
    <row r="852" spans="1:6" x14ac:dyDescent="0.25">
      <c r="A852" t="s">
        <v>2074</v>
      </c>
      <c r="B852">
        <v>851</v>
      </c>
      <c r="C852">
        <v>379.40625</v>
      </c>
      <c r="D852">
        <v>-12.3713234849732</v>
      </c>
      <c r="E852">
        <v>14</v>
      </c>
      <c r="F852" t="s">
        <v>1640</v>
      </c>
    </row>
    <row r="853" spans="1:6" x14ac:dyDescent="0.25">
      <c r="A853" t="s">
        <v>2075</v>
      </c>
      <c r="B853">
        <v>852</v>
      </c>
      <c r="C853">
        <v>379.40625</v>
      </c>
      <c r="D853">
        <v>-12.3713234849732</v>
      </c>
      <c r="E853">
        <v>14</v>
      </c>
      <c r="F853" t="s">
        <v>1640</v>
      </c>
    </row>
    <row r="854" spans="1:6" x14ac:dyDescent="0.25">
      <c r="A854" t="s">
        <v>2077</v>
      </c>
      <c r="B854">
        <v>853</v>
      </c>
      <c r="C854">
        <v>379.40625</v>
      </c>
      <c r="D854">
        <v>-10.3186882529328</v>
      </c>
      <c r="E854">
        <v>14</v>
      </c>
      <c r="F854" t="s">
        <v>1640</v>
      </c>
    </row>
    <row r="855" spans="1:6" x14ac:dyDescent="0.25">
      <c r="A855" t="s">
        <v>2078</v>
      </c>
      <c r="B855">
        <v>854</v>
      </c>
      <c r="C855">
        <v>379.40625</v>
      </c>
      <c r="D855">
        <v>-10.3186882529328</v>
      </c>
      <c r="E855">
        <v>14</v>
      </c>
      <c r="F855" t="s">
        <v>1640</v>
      </c>
    </row>
    <row r="856" spans="1:6" x14ac:dyDescent="0.25">
      <c r="A856" t="s">
        <v>2080</v>
      </c>
      <c r="B856">
        <v>855</v>
      </c>
      <c r="C856">
        <v>379.40625</v>
      </c>
      <c r="D856">
        <v>-9.4375</v>
      </c>
      <c r="E856">
        <v>14</v>
      </c>
      <c r="F856" t="s">
        <v>1640</v>
      </c>
    </row>
    <row r="857" spans="1:6" x14ac:dyDescent="0.25">
      <c r="A857" t="s">
        <v>2081</v>
      </c>
      <c r="B857">
        <v>856</v>
      </c>
      <c r="C857">
        <v>379.40625</v>
      </c>
      <c r="D857">
        <v>-9.4375</v>
      </c>
      <c r="E857">
        <v>14</v>
      </c>
      <c r="F857" t="s">
        <v>1640</v>
      </c>
    </row>
    <row r="858" spans="1:6" x14ac:dyDescent="0.25">
      <c r="A858" t="s">
        <v>2083</v>
      </c>
      <c r="B858">
        <v>857</v>
      </c>
      <c r="C858">
        <v>384</v>
      </c>
      <c r="D858">
        <v>-110.5625</v>
      </c>
      <c r="E858">
        <v>14</v>
      </c>
      <c r="F858" t="s">
        <v>1640</v>
      </c>
    </row>
    <row r="859" spans="1:6" x14ac:dyDescent="0.25">
      <c r="A859" t="s">
        <v>2084</v>
      </c>
      <c r="B859">
        <v>858</v>
      </c>
      <c r="C859">
        <v>384</v>
      </c>
      <c r="D859">
        <v>-110.5625</v>
      </c>
      <c r="E859">
        <v>14</v>
      </c>
      <c r="F859" t="s">
        <v>1640</v>
      </c>
    </row>
    <row r="860" spans="1:6" x14ac:dyDescent="0.25">
      <c r="A860" t="s">
        <v>2086</v>
      </c>
      <c r="B860">
        <v>859</v>
      </c>
      <c r="C860">
        <v>384</v>
      </c>
      <c r="D860">
        <v>-109.681311747067</v>
      </c>
      <c r="E860">
        <v>14</v>
      </c>
      <c r="F860" t="s">
        <v>1640</v>
      </c>
    </row>
    <row r="861" spans="1:6" x14ac:dyDescent="0.25">
      <c r="A861" t="s">
        <v>2087</v>
      </c>
      <c r="B861">
        <v>860</v>
      </c>
      <c r="C861">
        <v>384</v>
      </c>
      <c r="D861">
        <v>-109.681311747067</v>
      </c>
      <c r="E861">
        <v>14</v>
      </c>
      <c r="F861" t="s">
        <v>1640</v>
      </c>
    </row>
    <row r="862" spans="1:6" x14ac:dyDescent="0.25">
      <c r="A862" t="s">
        <v>2089</v>
      </c>
      <c r="B862">
        <v>861</v>
      </c>
      <c r="C862">
        <v>384</v>
      </c>
      <c r="D862">
        <v>-107.628676515027</v>
      </c>
      <c r="E862">
        <v>14</v>
      </c>
      <c r="F862" t="s">
        <v>1640</v>
      </c>
    </row>
    <row r="863" spans="1:6" x14ac:dyDescent="0.25">
      <c r="A863" t="s">
        <v>2090</v>
      </c>
      <c r="B863">
        <v>862</v>
      </c>
      <c r="C863">
        <v>384</v>
      </c>
      <c r="D863">
        <v>-107.628676515027</v>
      </c>
      <c r="E863">
        <v>14</v>
      </c>
      <c r="F863" t="s">
        <v>1640</v>
      </c>
    </row>
    <row r="864" spans="1:6" x14ac:dyDescent="0.25">
      <c r="A864" t="s">
        <v>2092</v>
      </c>
      <c r="B864">
        <v>863</v>
      </c>
      <c r="C864">
        <v>384</v>
      </c>
      <c r="D864">
        <v>-104.45934106604901</v>
      </c>
      <c r="E864">
        <v>14</v>
      </c>
      <c r="F864" t="s">
        <v>1640</v>
      </c>
    </row>
    <row r="865" spans="1:6" x14ac:dyDescent="0.25">
      <c r="A865" t="s">
        <v>2093</v>
      </c>
      <c r="B865">
        <v>864</v>
      </c>
      <c r="C865">
        <v>384</v>
      </c>
      <c r="D865">
        <v>-104.45934106604901</v>
      </c>
      <c r="E865">
        <v>14</v>
      </c>
      <c r="F865" t="s">
        <v>1640</v>
      </c>
    </row>
    <row r="866" spans="1:6" x14ac:dyDescent="0.25">
      <c r="A866" t="s">
        <v>2095</v>
      </c>
      <c r="B866">
        <v>865</v>
      </c>
      <c r="C866">
        <v>384</v>
      </c>
      <c r="D866">
        <v>-100.24784738730401</v>
      </c>
      <c r="E866">
        <v>14</v>
      </c>
      <c r="F866" t="s">
        <v>1640</v>
      </c>
    </row>
    <row r="867" spans="1:6" x14ac:dyDescent="0.25">
      <c r="A867" t="s">
        <v>2096</v>
      </c>
      <c r="B867">
        <v>866</v>
      </c>
      <c r="C867">
        <v>384</v>
      </c>
      <c r="D867">
        <v>-100.24784738730401</v>
      </c>
      <c r="E867">
        <v>14</v>
      </c>
      <c r="F867" t="s">
        <v>1640</v>
      </c>
    </row>
    <row r="868" spans="1:6" x14ac:dyDescent="0.25">
      <c r="A868" t="s">
        <v>2098</v>
      </c>
      <c r="B868">
        <v>867</v>
      </c>
      <c r="C868">
        <v>384</v>
      </c>
      <c r="D868">
        <v>-95.092955005271094</v>
      </c>
      <c r="E868">
        <v>14</v>
      </c>
      <c r="F868" t="s">
        <v>1640</v>
      </c>
    </row>
    <row r="869" spans="1:6" x14ac:dyDescent="0.25">
      <c r="A869" t="s">
        <v>2099</v>
      </c>
      <c r="B869">
        <v>868</v>
      </c>
      <c r="C869">
        <v>384</v>
      </c>
      <c r="D869">
        <v>-95.092955005271094</v>
      </c>
      <c r="E869">
        <v>14</v>
      </c>
      <c r="F869" t="s">
        <v>1640</v>
      </c>
    </row>
    <row r="870" spans="1:6" x14ac:dyDescent="0.25">
      <c r="A870" t="s">
        <v>2101</v>
      </c>
      <c r="B870">
        <v>869</v>
      </c>
      <c r="C870">
        <v>384</v>
      </c>
      <c r="D870">
        <v>-89.115503490739002</v>
      </c>
      <c r="E870">
        <v>14</v>
      </c>
      <c r="F870" t="s">
        <v>1640</v>
      </c>
    </row>
    <row r="871" spans="1:6" x14ac:dyDescent="0.25">
      <c r="A871" t="s">
        <v>2102</v>
      </c>
      <c r="B871">
        <v>870</v>
      </c>
      <c r="C871">
        <v>384</v>
      </c>
      <c r="D871">
        <v>-89.115503490739002</v>
      </c>
      <c r="E871">
        <v>14</v>
      </c>
      <c r="F871" t="s">
        <v>1640</v>
      </c>
    </row>
    <row r="872" spans="1:6" x14ac:dyDescent="0.25">
      <c r="A872" t="s">
        <v>2104</v>
      </c>
      <c r="B872">
        <v>871</v>
      </c>
      <c r="C872">
        <v>384</v>
      </c>
      <c r="D872">
        <v>-82.455604292044697</v>
      </c>
      <c r="E872">
        <v>14</v>
      </c>
      <c r="F872" t="s">
        <v>1640</v>
      </c>
    </row>
    <row r="873" spans="1:6" x14ac:dyDescent="0.25">
      <c r="A873" t="s">
        <v>2105</v>
      </c>
      <c r="B873">
        <v>872</v>
      </c>
      <c r="C873">
        <v>384</v>
      </c>
      <c r="D873">
        <v>-82.455604292044697</v>
      </c>
      <c r="E873">
        <v>14</v>
      </c>
      <c r="F873" t="s">
        <v>1640</v>
      </c>
    </row>
    <row r="874" spans="1:6" x14ac:dyDescent="0.25">
      <c r="A874" t="s">
        <v>2107</v>
      </c>
      <c r="B874">
        <v>873</v>
      </c>
      <c r="C874">
        <v>384</v>
      </c>
      <c r="D874">
        <v>-75.269362119724306</v>
      </c>
      <c r="E874">
        <v>14</v>
      </c>
      <c r="F874" t="s">
        <v>1640</v>
      </c>
    </row>
    <row r="875" spans="1:6" x14ac:dyDescent="0.25">
      <c r="A875" t="s">
        <v>2108</v>
      </c>
      <c r="B875">
        <v>874</v>
      </c>
      <c r="C875">
        <v>384</v>
      </c>
      <c r="D875">
        <v>-75.269362119724306</v>
      </c>
      <c r="E875">
        <v>14</v>
      </c>
      <c r="F875" t="s">
        <v>1640</v>
      </c>
    </row>
    <row r="876" spans="1:6" x14ac:dyDescent="0.25">
      <c r="A876" t="s">
        <v>2110</v>
      </c>
      <c r="B876">
        <v>875</v>
      </c>
      <c r="C876">
        <v>384</v>
      </c>
      <c r="D876">
        <v>-67.725217642748106</v>
      </c>
      <c r="E876">
        <v>14</v>
      </c>
      <c r="F876" t="s">
        <v>1640</v>
      </c>
    </row>
    <row r="877" spans="1:6" x14ac:dyDescent="0.25">
      <c r="A877" t="s">
        <v>2111</v>
      </c>
      <c r="B877">
        <v>876</v>
      </c>
      <c r="C877">
        <v>384</v>
      </c>
      <c r="D877">
        <v>-67.725217642748106</v>
      </c>
      <c r="E877">
        <v>14</v>
      </c>
      <c r="F877" t="s">
        <v>1640</v>
      </c>
    </row>
    <row r="878" spans="1:6" x14ac:dyDescent="0.25">
      <c r="A878" t="s">
        <v>2113</v>
      </c>
      <c r="B878">
        <v>877</v>
      </c>
      <c r="C878">
        <v>384</v>
      </c>
      <c r="D878">
        <v>-60.000000000000398</v>
      </c>
      <c r="E878">
        <v>14</v>
      </c>
      <c r="F878" t="s">
        <v>1640</v>
      </c>
    </row>
    <row r="879" spans="1:6" x14ac:dyDescent="0.25">
      <c r="A879" t="s">
        <v>2115</v>
      </c>
      <c r="B879">
        <v>878</v>
      </c>
      <c r="C879">
        <v>384</v>
      </c>
      <c r="D879">
        <v>-52.274782357251901</v>
      </c>
      <c r="E879">
        <v>14</v>
      </c>
      <c r="F879" t="s">
        <v>1640</v>
      </c>
    </row>
    <row r="880" spans="1:6" x14ac:dyDescent="0.25">
      <c r="A880" t="s">
        <v>2116</v>
      </c>
      <c r="B880">
        <v>879</v>
      </c>
      <c r="C880">
        <v>384</v>
      </c>
      <c r="D880">
        <v>-52.274782357251901</v>
      </c>
      <c r="E880">
        <v>14</v>
      </c>
      <c r="F880" t="s">
        <v>1640</v>
      </c>
    </row>
    <row r="881" spans="1:6" x14ac:dyDescent="0.25">
      <c r="A881" t="s">
        <v>2118</v>
      </c>
      <c r="B881">
        <v>880</v>
      </c>
      <c r="C881">
        <v>384</v>
      </c>
      <c r="D881">
        <v>-44.730637880275701</v>
      </c>
      <c r="E881">
        <v>14</v>
      </c>
      <c r="F881" t="s">
        <v>1640</v>
      </c>
    </row>
    <row r="882" spans="1:6" x14ac:dyDescent="0.25">
      <c r="A882" t="s">
        <v>2119</v>
      </c>
      <c r="B882">
        <v>881</v>
      </c>
      <c r="C882">
        <v>384</v>
      </c>
      <c r="D882">
        <v>-44.730637880275701</v>
      </c>
      <c r="E882">
        <v>14</v>
      </c>
      <c r="F882" t="s">
        <v>1640</v>
      </c>
    </row>
    <row r="883" spans="1:6" x14ac:dyDescent="0.25">
      <c r="A883" t="s">
        <v>2121</v>
      </c>
      <c r="B883">
        <v>882</v>
      </c>
      <c r="C883">
        <v>384</v>
      </c>
      <c r="D883">
        <v>-37.544395707955303</v>
      </c>
      <c r="E883">
        <v>14</v>
      </c>
      <c r="F883" t="s">
        <v>1640</v>
      </c>
    </row>
    <row r="884" spans="1:6" x14ac:dyDescent="0.25">
      <c r="A884" t="s">
        <v>2122</v>
      </c>
      <c r="B884">
        <v>883</v>
      </c>
      <c r="C884">
        <v>384</v>
      </c>
      <c r="D884">
        <v>-37.544395707955303</v>
      </c>
      <c r="E884">
        <v>14</v>
      </c>
      <c r="F884" t="s">
        <v>1640</v>
      </c>
    </row>
    <row r="885" spans="1:6" x14ac:dyDescent="0.25">
      <c r="A885" t="s">
        <v>2124</v>
      </c>
      <c r="B885">
        <v>884</v>
      </c>
      <c r="C885">
        <v>384</v>
      </c>
      <c r="D885">
        <v>-30.884496509261002</v>
      </c>
      <c r="E885">
        <v>14</v>
      </c>
      <c r="F885" t="s">
        <v>1640</v>
      </c>
    </row>
    <row r="886" spans="1:6" x14ac:dyDescent="0.25">
      <c r="A886" t="s">
        <v>2125</v>
      </c>
      <c r="B886">
        <v>885</v>
      </c>
      <c r="C886">
        <v>384</v>
      </c>
      <c r="D886">
        <v>-30.884496509261002</v>
      </c>
      <c r="E886">
        <v>14</v>
      </c>
      <c r="F886" t="s">
        <v>1640</v>
      </c>
    </row>
    <row r="887" spans="1:6" x14ac:dyDescent="0.25">
      <c r="A887" t="s">
        <v>2127</v>
      </c>
      <c r="B887">
        <v>886</v>
      </c>
      <c r="C887">
        <v>384</v>
      </c>
      <c r="D887">
        <v>-24.907044994728899</v>
      </c>
      <c r="E887">
        <v>14</v>
      </c>
      <c r="F887" t="s">
        <v>1640</v>
      </c>
    </row>
    <row r="888" spans="1:6" x14ac:dyDescent="0.25">
      <c r="A888" t="s">
        <v>2128</v>
      </c>
      <c r="B888">
        <v>887</v>
      </c>
      <c r="C888">
        <v>384</v>
      </c>
      <c r="D888">
        <v>-24.907044994728899</v>
      </c>
      <c r="E888">
        <v>14</v>
      </c>
      <c r="F888" t="s">
        <v>1640</v>
      </c>
    </row>
    <row r="889" spans="1:6" x14ac:dyDescent="0.25">
      <c r="A889" t="s">
        <v>2130</v>
      </c>
      <c r="B889">
        <v>888</v>
      </c>
      <c r="C889">
        <v>384</v>
      </c>
      <c r="D889">
        <v>-19.7521526126955</v>
      </c>
      <c r="E889">
        <v>14</v>
      </c>
      <c r="F889" t="s">
        <v>1640</v>
      </c>
    </row>
    <row r="890" spans="1:6" x14ac:dyDescent="0.25">
      <c r="A890" t="s">
        <v>2131</v>
      </c>
      <c r="B890">
        <v>889</v>
      </c>
      <c r="C890">
        <v>384</v>
      </c>
      <c r="D890">
        <v>-19.7521526126955</v>
      </c>
      <c r="E890">
        <v>14</v>
      </c>
      <c r="F890" t="s">
        <v>1640</v>
      </c>
    </row>
    <row r="891" spans="1:6" x14ac:dyDescent="0.25">
      <c r="A891" t="s">
        <v>2133</v>
      </c>
      <c r="B891">
        <v>890</v>
      </c>
      <c r="C891">
        <v>384</v>
      </c>
      <c r="D891">
        <v>-15.5406589339512</v>
      </c>
      <c r="E891">
        <v>14</v>
      </c>
      <c r="F891" t="s">
        <v>1640</v>
      </c>
    </row>
    <row r="892" spans="1:6" x14ac:dyDescent="0.25">
      <c r="A892" t="s">
        <v>2134</v>
      </c>
      <c r="B892">
        <v>891</v>
      </c>
      <c r="C892">
        <v>384</v>
      </c>
      <c r="D892">
        <v>-15.5406589339512</v>
      </c>
      <c r="E892">
        <v>14</v>
      </c>
      <c r="F892" t="s">
        <v>1640</v>
      </c>
    </row>
    <row r="893" spans="1:6" x14ac:dyDescent="0.25">
      <c r="A893" t="s">
        <v>2136</v>
      </c>
      <c r="B893">
        <v>892</v>
      </c>
      <c r="C893">
        <v>384</v>
      </c>
      <c r="D893">
        <v>-12.3713234849732</v>
      </c>
      <c r="E893">
        <v>14</v>
      </c>
      <c r="F893" t="s">
        <v>1640</v>
      </c>
    </row>
    <row r="894" spans="1:6" x14ac:dyDescent="0.25">
      <c r="A894" t="s">
        <v>2137</v>
      </c>
      <c r="B894">
        <v>893</v>
      </c>
      <c r="C894">
        <v>384</v>
      </c>
      <c r="D894">
        <v>-12.3713234849732</v>
      </c>
      <c r="E894">
        <v>14</v>
      </c>
      <c r="F894" t="s">
        <v>1640</v>
      </c>
    </row>
    <row r="895" spans="1:6" x14ac:dyDescent="0.25">
      <c r="A895" t="s">
        <v>2139</v>
      </c>
      <c r="B895">
        <v>894</v>
      </c>
      <c r="C895">
        <v>384</v>
      </c>
      <c r="D895">
        <v>-10.3186882529328</v>
      </c>
      <c r="E895">
        <v>14</v>
      </c>
      <c r="F895" t="s">
        <v>1640</v>
      </c>
    </row>
    <row r="896" spans="1:6" x14ac:dyDescent="0.25">
      <c r="A896" t="s">
        <v>2140</v>
      </c>
      <c r="B896">
        <v>895</v>
      </c>
      <c r="C896">
        <v>384</v>
      </c>
      <c r="D896">
        <v>-10.3186882529328</v>
      </c>
      <c r="E896">
        <v>14</v>
      </c>
      <c r="F896" t="s">
        <v>1640</v>
      </c>
    </row>
    <row r="897" spans="1:6" x14ac:dyDescent="0.25">
      <c r="A897" t="s">
        <v>2142</v>
      </c>
      <c r="B897">
        <v>896</v>
      </c>
      <c r="C897">
        <v>384</v>
      </c>
      <c r="D897">
        <v>-9.4375</v>
      </c>
      <c r="E897">
        <v>14</v>
      </c>
      <c r="F897" t="s">
        <v>1640</v>
      </c>
    </row>
    <row r="898" spans="1:6" x14ac:dyDescent="0.25">
      <c r="A898" t="s">
        <v>2143</v>
      </c>
      <c r="B898">
        <v>897</v>
      </c>
      <c r="C898">
        <v>384</v>
      </c>
      <c r="D898">
        <v>-9.4375</v>
      </c>
      <c r="E898">
        <v>14</v>
      </c>
      <c r="F898" t="s">
        <v>1640</v>
      </c>
    </row>
    <row r="899" spans="1:6" x14ac:dyDescent="0.25">
      <c r="A899" t="s">
        <v>2145</v>
      </c>
      <c r="B899">
        <v>898</v>
      </c>
      <c r="C899">
        <v>388.59375</v>
      </c>
      <c r="D899">
        <v>-110.5625</v>
      </c>
      <c r="E899">
        <v>14</v>
      </c>
      <c r="F899" t="s">
        <v>1640</v>
      </c>
    </row>
    <row r="900" spans="1:6" x14ac:dyDescent="0.25">
      <c r="A900" t="s">
        <v>2146</v>
      </c>
      <c r="B900">
        <v>899</v>
      </c>
      <c r="C900">
        <v>388.59375</v>
      </c>
      <c r="D900">
        <v>-110.5625</v>
      </c>
      <c r="E900">
        <v>14</v>
      </c>
      <c r="F900" t="s">
        <v>1640</v>
      </c>
    </row>
    <row r="901" spans="1:6" x14ac:dyDescent="0.25">
      <c r="A901" t="s">
        <v>2148</v>
      </c>
      <c r="B901">
        <v>900</v>
      </c>
      <c r="C901">
        <v>388.59375</v>
      </c>
      <c r="D901">
        <v>-109.681311747067</v>
      </c>
      <c r="E901">
        <v>14</v>
      </c>
      <c r="F901" t="s">
        <v>1640</v>
      </c>
    </row>
    <row r="902" spans="1:6" x14ac:dyDescent="0.25">
      <c r="A902" t="s">
        <v>2149</v>
      </c>
      <c r="B902">
        <v>901</v>
      </c>
      <c r="C902">
        <v>388.59375</v>
      </c>
      <c r="D902">
        <v>-109.681311747067</v>
      </c>
      <c r="E902">
        <v>14</v>
      </c>
      <c r="F902" t="s">
        <v>1640</v>
      </c>
    </row>
    <row r="903" spans="1:6" x14ac:dyDescent="0.25">
      <c r="A903" t="s">
        <v>2151</v>
      </c>
      <c r="B903">
        <v>902</v>
      </c>
      <c r="C903">
        <v>388.59375</v>
      </c>
      <c r="D903">
        <v>-107.628676515027</v>
      </c>
      <c r="E903">
        <v>14</v>
      </c>
      <c r="F903" t="s">
        <v>1640</v>
      </c>
    </row>
    <row r="904" spans="1:6" x14ac:dyDescent="0.25">
      <c r="A904" t="s">
        <v>2152</v>
      </c>
      <c r="B904">
        <v>903</v>
      </c>
      <c r="C904">
        <v>388.59375</v>
      </c>
      <c r="D904">
        <v>-107.628676515027</v>
      </c>
      <c r="E904">
        <v>14</v>
      </c>
      <c r="F904" t="s">
        <v>1640</v>
      </c>
    </row>
    <row r="905" spans="1:6" x14ac:dyDescent="0.25">
      <c r="A905" t="s">
        <v>2154</v>
      </c>
      <c r="B905">
        <v>904</v>
      </c>
      <c r="C905">
        <v>388.59375</v>
      </c>
      <c r="D905">
        <v>-104.45934106604901</v>
      </c>
      <c r="E905">
        <v>14</v>
      </c>
      <c r="F905" t="s">
        <v>1640</v>
      </c>
    </row>
    <row r="906" spans="1:6" x14ac:dyDescent="0.25">
      <c r="A906" t="s">
        <v>2155</v>
      </c>
      <c r="B906">
        <v>905</v>
      </c>
      <c r="C906">
        <v>388.59375</v>
      </c>
      <c r="D906">
        <v>-104.45934106604901</v>
      </c>
      <c r="E906">
        <v>14</v>
      </c>
      <c r="F906" t="s">
        <v>1640</v>
      </c>
    </row>
    <row r="907" spans="1:6" x14ac:dyDescent="0.25">
      <c r="A907" t="s">
        <v>2157</v>
      </c>
      <c r="B907">
        <v>906</v>
      </c>
      <c r="C907">
        <v>388.59375</v>
      </c>
      <c r="D907">
        <v>-100.24784738730401</v>
      </c>
      <c r="E907">
        <v>14</v>
      </c>
      <c r="F907" t="s">
        <v>1640</v>
      </c>
    </row>
    <row r="908" spans="1:6" x14ac:dyDescent="0.25">
      <c r="A908" t="s">
        <v>2158</v>
      </c>
      <c r="B908">
        <v>907</v>
      </c>
      <c r="C908">
        <v>388.59375</v>
      </c>
      <c r="D908">
        <v>-100.24784738730401</v>
      </c>
      <c r="E908">
        <v>14</v>
      </c>
      <c r="F908" t="s">
        <v>1640</v>
      </c>
    </row>
    <row r="909" spans="1:6" x14ac:dyDescent="0.25">
      <c r="A909" t="s">
        <v>2160</v>
      </c>
      <c r="B909">
        <v>908</v>
      </c>
      <c r="C909">
        <v>388.59375</v>
      </c>
      <c r="D909">
        <v>-95.092955005271094</v>
      </c>
      <c r="E909">
        <v>14</v>
      </c>
      <c r="F909" t="s">
        <v>1640</v>
      </c>
    </row>
    <row r="910" spans="1:6" x14ac:dyDescent="0.25">
      <c r="A910" t="s">
        <v>2161</v>
      </c>
      <c r="B910">
        <v>909</v>
      </c>
      <c r="C910">
        <v>388.59375</v>
      </c>
      <c r="D910">
        <v>-95.092955005271094</v>
      </c>
      <c r="E910">
        <v>14</v>
      </c>
      <c r="F910" t="s">
        <v>1640</v>
      </c>
    </row>
    <row r="911" spans="1:6" x14ac:dyDescent="0.25">
      <c r="A911" t="s">
        <v>2163</v>
      </c>
      <c r="B911">
        <v>910</v>
      </c>
      <c r="C911">
        <v>388.59375</v>
      </c>
      <c r="D911">
        <v>-89.115503490739002</v>
      </c>
      <c r="E911">
        <v>14</v>
      </c>
      <c r="F911" t="s">
        <v>1640</v>
      </c>
    </row>
    <row r="912" spans="1:6" x14ac:dyDescent="0.25">
      <c r="A912" t="s">
        <v>2164</v>
      </c>
      <c r="B912">
        <v>911</v>
      </c>
      <c r="C912">
        <v>388.59375</v>
      </c>
      <c r="D912">
        <v>-89.115503490739002</v>
      </c>
      <c r="E912">
        <v>14</v>
      </c>
      <c r="F912" t="s">
        <v>1640</v>
      </c>
    </row>
    <row r="913" spans="1:6" x14ac:dyDescent="0.25">
      <c r="A913" t="s">
        <v>2166</v>
      </c>
      <c r="B913">
        <v>912</v>
      </c>
      <c r="C913">
        <v>388.59375</v>
      </c>
      <c r="D913">
        <v>-82.455604292044697</v>
      </c>
      <c r="E913">
        <v>14</v>
      </c>
      <c r="F913" t="s">
        <v>1640</v>
      </c>
    </row>
    <row r="914" spans="1:6" x14ac:dyDescent="0.25">
      <c r="A914" t="s">
        <v>2167</v>
      </c>
      <c r="B914">
        <v>913</v>
      </c>
      <c r="C914">
        <v>388.59375</v>
      </c>
      <c r="D914">
        <v>-82.455604292044697</v>
      </c>
      <c r="E914">
        <v>14</v>
      </c>
      <c r="F914" t="s">
        <v>1640</v>
      </c>
    </row>
    <row r="915" spans="1:6" x14ac:dyDescent="0.25">
      <c r="A915" t="s">
        <v>2169</v>
      </c>
      <c r="B915">
        <v>914</v>
      </c>
      <c r="C915">
        <v>388.59375</v>
      </c>
      <c r="D915">
        <v>-75.269362119724306</v>
      </c>
      <c r="E915">
        <v>14</v>
      </c>
      <c r="F915" t="s">
        <v>1640</v>
      </c>
    </row>
    <row r="916" spans="1:6" x14ac:dyDescent="0.25">
      <c r="A916" t="s">
        <v>2170</v>
      </c>
      <c r="B916">
        <v>915</v>
      </c>
      <c r="C916">
        <v>388.59375</v>
      </c>
      <c r="D916">
        <v>-75.269362119724306</v>
      </c>
      <c r="E916">
        <v>14</v>
      </c>
      <c r="F916" t="s">
        <v>1640</v>
      </c>
    </row>
    <row r="917" spans="1:6" x14ac:dyDescent="0.25">
      <c r="A917" t="s">
        <v>2172</v>
      </c>
      <c r="B917">
        <v>916</v>
      </c>
      <c r="C917">
        <v>388.59375</v>
      </c>
      <c r="D917">
        <v>-67.725217642748106</v>
      </c>
      <c r="E917">
        <v>14</v>
      </c>
      <c r="F917" t="s">
        <v>1640</v>
      </c>
    </row>
    <row r="918" spans="1:6" x14ac:dyDescent="0.25">
      <c r="A918" t="s">
        <v>2173</v>
      </c>
      <c r="B918">
        <v>917</v>
      </c>
      <c r="C918">
        <v>388.59375</v>
      </c>
      <c r="D918">
        <v>-67.725217642748106</v>
      </c>
      <c r="E918">
        <v>14</v>
      </c>
      <c r="F918" t="s">
        <v>1640</v>
      </c>
    </row>
    <row r="919" spans="1:6" x14ac:dyDescent="0.25">
      <c r="A919" t="s">
        <v>2175</v>
      </c>
      <c r="B919">
        <v>918</v>
      </c>
      <c r="C919">
        <v>388.59375</v>
      </c>
      <c r="D919">
        <v>-60.000000000000398</v>
      </c>
      <c r="E919">
        <v>14</v>
      </c>
      <c r="F919" t="s">
        <v>1640</v>
      </c>
    </row>
    <row r="920" spans="1:6" x14ac:dyDescent="0.25">
      <c r="A920" t="s">
        <v>2176</v>
      </c>
      <c r="B920">
        <v>919</v>
      </c>
      <c r="C920">
        <v>388.59375</v>
      </c>
      <c r="D920">
        <v>-60.000000000000398</v>
      </c>
      <c r="E920">
        <v>14</v>
      </c>
      <c r="F920" t="s">
        <v>1640</v>
      </c>
    </row>
    <row r="921" spans="1:6" x14ac:dyDescent="0.25">
      <c r="A921" t="s">
        <v>2178</v>
      </c>
      <c r="B921">
        <v>920</v>
      </c>
      <c r="C921">
        <v>388.59375</v>
      </c>
      <c r="D921">
        <v>-52.274782357251901</v>
      </c>
      <c r="E921">
        <v>14</v>
      </c>
      <c r="F921" t="s">
        <v>1640</v>
      </c>
    </row>
    <row r="922" spans="1:6" x14ac:dyDescent="0.25">
      <c r="A922" t="s">
        <v>2179</v>
      </c>
      <c r="B922">
        <v>921</v>
      </c>
      <c r="C922">
        <v>388.59375</v>
      </c>
      <c r="D922">
        <v>-52.274782357251901</v>
      </c>
      <c r="E922">
        <v>14</v>
      </c>
      <c r="F922" t="s">
        <v>1640</v>
      </c>
    </row>
    <row r="923" spans="1:6" x14ac:dyDescent="0.25">
      <c r="A923" t="s">
        <v>2181</v>
      </c>
      <c r="B923">
        <v>922</v>
      </c>
      <c r="C923">
        <v>388.59375</v>
      </c>
      <c r="D923">
        <v>-44.730637880275701</v>
      </c>
      <c r="E923">
        <v>14</v>
      </c>
      <c r="F923" t="s">
        <v>1640</v>
      </c>
    </row>
    <row r="924" spans="1:6" x14ac:dyDescent="0.25">
      <c r="A924" t="s">
        <v>2182</v>
      </c>
      <c r="B924">
        <v>923</v>
      </c>
      <c r="C924">
        <v>388.59375</v>
      </c>
      <c r="D924">
        <v>-44.730637880275701</v>
      </c>
      <c r="E924">
        <v>14</v>
      </c>
      <c r="F924" t="s">
        <v>1640</v>
      </c>
    </row>
    <row r="925" spans="1:6" x14ac:dyDescent="0.25">
      <c r="A925" t="s">
        <v>2184</v>
      </c>
      <c r="B925">
        <v>924</v>
      </c>
      <c r="C925">
        <v>388.59375</v>
      </c>
      <c r="D925">
        <v>-37.544395707955303</v>
      </c>
      <c r="E925">
        <v>14</v>
      </c>
      <c r="F925" t="s">
        <v>1640</v>
      </c>
    </row>
    <row r="926" spans="1:6" x14ac:dyDescent="0.25">
      <c r="A926" t="s">
        <v>2185</v>
      </c>
      <c r="B926">
        <v>925</v>
      </c>
      <c r="C926">
        <v>388.59375</v>
      </c>
      <c r="D926">
        <v>-37.544395707955303</v>
      </c>
      <c r="E926">
        <v>14</v>
      </c>
      <c r="F926" t="s">
        <v>1640</v>
      </c>
    </row>
    <row r="927" spans="1:6" x14ac:dyDescent="0.25">
      <c r="A927" t="s">
        <v>2187</v>
      </c>
      <c r="B927">
        <v>926</v>
      </c>
      <c r="C927">
        <v>388.59375</v>
      </c>
      <c r="D927">
        <v>-30.884496509261002</v>
      </c>
      <c r="E927">
        <v>14</v>
      </c>
      <c r="F927" t="s">
        <v>1640</v>
      </c>
    </row>
    <row r="928" spans="1:6" x14ac:dyDescent="0.25">
      <c r="A928" t="s">
        <v>2188</v>
      </c>
      <c r="B928">
        <v>927</v>
      </c>
      <c r="C928">
        <v>388.59375</v>
      </c>
      <c r="D928">
        <v>-30.884496509261002</v>
      </c>
      <c r="E928">
        <v>14</v>
      </c>
      <c r="F928" t="s">
        <v>1640</v>
      </c>
    </row>
    <row r="929" spans="1:6" x14ac:dyDescent="0.25">
      <c r="A929" t="s">
        <v>2190</v>
      </c>
      <c r="B929">
        <v>928</v>
      </c>
      <c r="C929">
        <v>388.59375</v>
      </c>
      <c r="D929">
        <v>-24.907044994728899</v>
      </c>
      <c r="E929">
        <v>14</v>
      </c>
      <c r="F929" t="s">
        <v>1640</v>
      </c>
    </row>
    <row r="930" spans="1:6" x14ac:dyDescent="0.25">
      <c r="A930" t="s">
        <v>2191</v>
      </c>
      <c r="B930">
        <v>929</v>
      </c>
      <c r="C930">
        <v>388.59375</v>
      </c>
      <c r="D930">
        <v>-24.907044994728899</v>
      </c>
      <c r="E930">
        <v>14</v>
      </c>
      <c r="F930" t="s">
        <v>1640</v>
      </c>
    </row>
    <row r="931" spans="1:6" x14ac:dyDescent="0.25">
      <c r="A931" t="s">
        <v>2193</v>
      </c>
      <c r="B931">
        <v>930</v>
      </c>
      <c r="C931">
        <v>388.59375</v>
      </c>
      <c r="D931">
        <v>-19.7521526126955</v>
      </c>
      <c r="E931">
        <v>14</v>
      </c>
      <c r="F931" t="s">
        <v>1640</v>
      </c>
    </row>
    <row r="932" spans="1:6" x14ac:dyDescent="0.25">
      <c r="A932" t="s">
        <v>2194</v>
      </c>
      <c r="B932">
        <v>931</v>
      </c>
      <c r="C932">
        <v>388.59375</v>
      </c>
      <c r="D932">
        <v>-19.7521526126955</v>
      </c>
      <c r="E932">
        <v>14</v>
      </c>
      <c r="F932" t="s">
        <v>1640</v>
      </c>
    </row>
    <row r="933" spans="1:6" x14ac:dyDescent="0.25">
      <c r="A933" t="s">
        <v>2196</v>
      </c>
      <c r="B933">
        <v>932</v>
      </c>
      <c r="C933">
        <v>388.59375</v>
      </c>
      <c r="D933">
        <v>-15.5406589339512</v>
      </c>
      <c r="E933">
        <v>14</v>
      </c>
      <c r="F933" t="s">
        <v>1640</v>
      </c>
    </row>
    <row r="934" spans="1:6" x14ac:dyDescent="0.25">
      <c r="A934" t="s">
        <v>2197</v>
      </c>
      <c r="B934">
        <v>933</v>
      </c>
      <c r="C934">
        <v>388.59375</v>
      </c>
      <c r="D934">
        <v>-15.5406589339512</v>
      </c>
      <c r="E934">
        <v>14</v>
      </c>
      <c r="F934" t="s">
        <v>1640</v>
      </c>
    </row>
    <row r="935" spans="1:6" x14ac:dyDescent="0.25">
      <c r="A935" t="s">
        <v>2199</v>
      </c>
      <c r="B935">
        <v>934</v>
      </c>
      <c r="C935">
        <v>388.59375</v>
      </c>
      <c r="D935">
        <v>-12.3713234849732</v>
      </c>
      <c r="E935">
        <v>14</v>
      </c>
      <c r="F935" t="s">
        <v>1640</v>
      </c>
    </row>
    <row r="936" spans="1:6" x14ac:dyDescent="0.25">
      <c r="A936" t="s">
        <v>2200</v>
      </c>
      <c r="B936">
        <v>935</v>
      </c>
      <c r="C936">
        <v>388.59375</v>
      </c>
      <c r="D936">
        <v>-12.3713234849732</v>
      </c>
      <c r="E936">
        <v>14</v>
      </c>
      <c r="F936" t="s">
        <v>1640</v>
      </c>
    </row>
    <row r="937" spans="1:6" x14ac:dyDescent="0.25">
      <c r="A937" t="s">
        <v>2202</v>
      </c>
      <c r="B937">
        <v>936</v>
      </c>
      <c r="C937">
        <v>388.59375</v>
      </c>
      <c r="D937">
        <v>-10.3186882529328</v>
      </c>
      <c r="E937">
        <v>14</v>
      </c>
      <c r="F937" t="s">
        <v>1640</v>
      </c>
    </row>
    <row r="938" spans="1:6" x14ac:dyDescent="0.25">
      <c r="A938" t="s">
        <v>2203</v>
      </c>
      <c r="B938">
        <v>937</v>
      </c>
      <c r="C938">
        <v>388.59375</v>
      </c>
      <c r="D938">
        <v>-10.3186882529328</v>
      </c>
      <c r="E938">
        <v>14</v>
      </c>
      <c r="F938" t="s">
        <v>1640</v>
      </c>
    </row>
    <row r="939" spans="1:6" x14ac:dyDescent="0.25">
      <c r="A939" t="s">
        <v>2205</v>
      </c>
      <c r="B939">
        <v>938</v>
      </c>
      <c r="C939">
        <v>388.59375</v>
      </c>
      <c r="D939">
        <v>-9.4375</v>
      </c>
      <c r="E939">
        <v>14</v>
      </c>
      <c r="F939" t="s">
        <v>1640</v>
      </c>
    </row>
    <row r="940" spans="1:6" x14ac:dyDescent="0.25">
      <c r="A940" t="s">
        <v>2206</v>
      </c>
      <c r="B940">
        <v>939</v>
      </c>
      <c r="C940">
        <v>388.59375</v>
      </c>
      <c r="D940">
        <v>-9.4375</v>
      </c>
      <c r="E940">
        <v>14</v>
      </c>
      <c r="F940" t="s">
        <v>1640</v>
      </c>
    </row>
    <row r="941" spans="1:6" x14ac:dyDescent="0.25">
      <c r="A941" t="s">
        <v>1650</v>
      </c>
      <c r="B941">
        <v>940</v>
      </c>
      <c r="C941">
        <v>135.4375</v>
      </c>
      <c r="D941">
        <v>-222.1875</v>
      </c>
      <c r="E941">
        <v>14</v>
      </c>
      <c r="F941" t="s">
        <v>1640</v>
      </c>
    </row>
    <row r="942" spans="1:6" x14ac:dyDescent="0.25">
      <c r="A942" t="s">
        <v>1651</v>
      </c>
      <c r="B942">
        <v>941</v>
      </c>
      <c r="C942">
        <v>135.4375</v>
      </c>
      <c r="D942">
        <v>-222.1875</v>
      </c>
      <c r="E942">
        <v>14</v>
      </c>
      <c r="F942" t="s">
        <v>1640</v>
      </c>
    </row>
    <row r="943" spans="1:6" x14ac:dyDescent="0.25">
      <c r="A943" t="s">
        <v>2208</v>
      </c>
      <c r="B943">
        <v>942</v>
      </c>
      <c r="C943">
        <v>135.4375</v>
      </c>
      <c r="D943">
        <v>-216</v>
      </c>
      <c r="E943">
        <v>14</v>
      </c>
      <c r="F943" t="s">
        <v>1640</v>
      </c>
    </row>
    <row r="944" spans="1:6" x14ac:dyDescent="0.25">
      <c r="A944" t="s">
        <v>2209</v>
      </c>
      <c r="B944">
        <v>943</v>
      </c>
      <c r="C944">
        <v>135.4375</v>
      </c>
      <c r="D944">
        <v>-216</v>
      </c>
      <c r="E944">
        <v>14</v>
      </c>
      <c r="F944" t="s">
        <v>1640</v>
      </c>
    </row>
    <row r="945" spans="1:6" x14ac:dyDescent="0.25">
      <c r="A945" t="s">
        <v>2211</v>
      </c>
      <c r="B945">
        <v>944</v>
      </c>
      <c r="C945">
        <v>135.4375</v>
      </c>
      <c r="D945">
        <v>-209.8125</v>
      </c>
      <c r="E945">
        <v>14</v>
      </c>
      <c r="F945" t="s">
        <v>1640</v>
      </c>
    </row>
    <row r="946" spans="1:6" x14ac:dyDescent="0.25">
      <c r="A946" t="s">
        <v>2212</v>
      </c>
      <c r="B946">
        <v>945</v>
      </c>
      <c r="C946">
        <v>135.4375</v>
      </c>
      <c r="D946">
        <v>-209.8125</v>
      </c>
      <c r="E946">
        <v>14</v>
      </c>
      <c r="F946" t="s">
        <v>1640</v>
      </c>
    </row>
    <row r="947" spans="1:6" x14ac:dyDescent="0.25">
      <c r="A947" t="s">
        <v>2214</v>
      </c>
      <c r="B947">
        <v>946</v>
      </c>
      <c r="C947">
        <v>136.423254473306</v>
      </c>
      <c r="D947">
        <v>-222.1875</v>
      </c>
      <c r="E947">
        <v>14</v>
      </c>
      <c r="F947" t="s">
        <v>1640</v>
      </c>
    </row>
    <row r="948" spans="1:6" x14ac:dyDescent="0.25">
      <c r="A948" t="s">
        <v>2215</v>
      </c>
      <c r="B948">
        <v>947</v>
      </c>
      <c r="C948">
        <v>136.423254473306</v>
      </c>
      <c r="D948">
        <v>-222.1875</v>
      </c>
      <c r="E948">
        <v>14</v>
      </c>
      <c r="F948" t="s">
        <v>1640</v>
      </c>
    </row>
    <row r="949" spans="1:6" x14ac:dyDescent="0.25">
      <c r="A949" t="s">
        <v>2217</v>
      </c>
      <c r="B949">
        <v>948</v>
      </c>
      <c r="C949">
        <v>136.423254473306</v>
      </c>
      <c r="D949">
        <v>-216</v>
      </c>
      <c r="E949">
        <v>14</v>
      </c>
      <c r="F949" t="s">
        <v>1640</v>
      </c>
    </row>
    <row r="950" spans="1:6" x14ac:dyDescent="0.25">
      <c r="A950" t="s">
        <v>2218</v>
      </c>
      <c r="B950">
        <v>949</v>
      </c>
      <c r="C950">
        <v>136.423254473306</v>
      </c>
      <c r="D950">
        <v>-216</v>
      </c>
      <c r="E950">
        <v>14</v>
      </c>
      <c r="F950" t="s">
        <v>1640</v>
      </c>
    </row>
    <row r="951" spans="1:6" x14ac:dyDescent="0.25">
      <c r="A951" t="s">
        <v>2220</v>
      </c>
      <c r="B951">
        <v>950</v>
      </c>
      <c r="C951">
        <v>136.423254473306</v>
      </c>
      <c r="D951">
        <v>-209.8125</v>
      </c>
      <c r="E951">
        <v>14</v>
      </c>
      <c r="F951" t="s">
        <v>1640</v>
      </c>
    </row>
    <row r="952" spans="1:6" x14ac:dyDescent="0.25">
      <c r="A952" t="s">
        <v>2221</v>
      </c>
      <c r="B952">
        <v>951</v>
      </c>
      <c r="C952">
        <v>136.423254473306</v>
      </c>
      <c r="D952">
        <v>-209.8125</v>
      </c>
      <c r="E952">
        <v>14</v>
      </c>
      <c r="F952" t="s">
        <v>1640</v>
      </c>
    </row>
    <row r="953" spans="1:6" x14ac:dyDescent="0.25">
      <c r="A953" t="s">
        <v>2223</v>
      </c>
      <c r="B953">
        <v>952</v>
      </c>
      <c r="C953">
        <v>138.71946570321501</v>
      </c>
      <c r="D953">
        <v>-222.1875</v>
      </c>
      <c r="E953">
        <v>14</v>
      </c>
      <c r="F953" t="s">
        <v>1640</v>
      </c>
    </row>
    <row r="954" spans="1:6" x14ac:dyDescent="0.25">
      <c r="A954" t="s">
        <v>2224</v>
      </c>
      <c r="B954">
        <v>953</v>
      </c>
      <c r="C954">
        <v>138.71946570321501</v>
      </c>
      <c r="D954">
        <v>-222.1875</v>
      </c>
      <c r="E954">
        <v>14</v>
      </c>
      <c r="F954" t="s">
        <v>1640</v>
      </c>
    </row>
    <row r="955" spans="1:6" x14ac:dyDescent="0.25">
      <c r="A955" t="s">
        <v>2226</v>
      </c>
      <c r="B955">
        <v>954</v>
      </c>
      <c r="C955">
        <v>138.71946570321501</v>
      </c>
      <c r="D955">
        <v>-216</v>
      </c>
      <c r="E955">
        <v>14</v>
      </c>
      <c r="F955" t="s">
        <v>1640</v>
      </c>
    </row>
    <row r="956" spans="1:6" x14ac:dyDescent="0.25">
      <c r="A956" t="s">
        <v>2227</v>
      </c>
      <c r="B956">
        <v>955</v>
      </c>
      <c r="C956">
        <v>138.71946570321501</v>
      </c>
      <c r="D956">
        <v>-216</v>
      </c>
      <c r="E956">
        <v>14</v>
      </c>
      <c r="F956" t="s">
        <v>1640</v>
      </c>
    </row>
    <row r="957" spans="1:6" x14ac:dyDescent="0.25">
      <c r="A957" t="s">
        <v>2229</v>
      </c>
      <c r="B957">
        <v>956</v>
      </c>
      <c r="C957">
        <v>138.71946570321501</v>
      </c>
      <c r="D957">
        <v>-209.8125</v>
      </c>
      <c r="E957">
        <v>14</v>
      </c>
      <c r="F957" t="s">
        <v>1640</v>
      </c>
    </row>
    <row r="958" spans="1:6" x14ac:dyDescent="0.25">
      <c r="A958" t="s">
        <v>2230</v>
      </c>
      <c r="B958">
        <v>957</v>
      </c>
      <c r="C958">
        <v>138.71946570321501</v>
      </c>
      <c r="D958">
        <v>-209.8125</v>
      </c>
      <c r="E958">
        <v>14</v>
      </c>
      <c r="F958" t="s">
        <v>1640</v>
      </c>
    </row>
    <row r="959" spans="1:6" x14ac:dyDescent="0.25">
      <c r="A959" t="s">
        <v>2232</v>
      </c>
      <c r="B959">
        <v>958</v>
      </c>
      <c r="C959">
        <v>142.26489040201</v>
      </c>
      <c r="D959">
        <v>-222.1875</v>
      </c>
      <c r="E959">
        <v>14</v>
      </c>
      <c r="F959" t="s">
        <v>1640</v>
      </c>
    </row>
    <row r="960" spans="1:6" x14ac:dyDescent="0.25">
      <c r="A960" t="s">
        <v>2233</v>
      </c>
      <c r="B960">
        <v>959</v>
      </c>
      <c r="C960">
        <v>142.26489040201</v>
      </c>
      <c r="D960">
        <v>-222.1875</v>
      </c>
      <c r="E960">
        <v>14</v>
      </c>
      <c r="F960" t="s">
        <v>1640</v>
      </c>
    </row>
    <row r="961" spans="1:6" x14ac:dyDescent="0.25">
      <c r="A961" t="s">
        <v>2235</v>
      </c>
      <c r="B961">
        <v>960</v>
      </c>
      <c r="C961">
        <v>142.26489040201</v>
      </c>
      <c r="D961">
        <v>-216</v>
      </c>
      <c r="E961">
        <v>14</v>
      </c>
      <c r="F961" t="s">
        <v>1640</v>
      </c>
    </row>
    <row r="962" spans="1:6" x14ac:dyDescent="0.25">
      <c r="A962" t="s">
        <v>2236</v>
      </c>
      <c r="B962">
        <v>961</v>
      </c>
      <c r="C962">
        <v>142.26489040201</v>
      </c>
      <c r="D962">
        <v>-216</v>
      </c>
      <c r="E962">
        <v>14</v>
      </c>
      <c r="F962" t="s">
        <v>1640</v>
      </c>
    </row>
    <row r="963" spans="1:6" x14ac:dyDescent="0.25">
      <c r="A963" t="s">
        <v>2238</v>
      </c>
      <c r="B963">
        <v>962</v>
      </c>
      <c r="C963">
        <v>142.26489040201</v>
      </c>
      <c r="D963">
        <v>-209.8125</v>
      </c>
      <c r="E963">
        <v>14</v>
      </c>
      <c r="F963" t="s">
        <v>1640</v>
      </c>
    </row>
    <row r="964" spans="1:6" x14ac:dyDescent="0.25">
      <c r="A964" t="s">
        <v>2239</v>
      </c>
      <c r="B964">
        <v>963</v>
      </c>
      <c r="C964">
        <v>142.26489040201</v>
      </c>
      <c r="D964">
        <v>-209.8125</v>
      </c>
      <c r="E964">
        <v>14</v>
      </c>
      <c r="F964" t="s">
        <v>1640</v>
      </c>
    </row>
    <row r="965" spans="1:6" x14ac:dyDescent="0.25">
      <c r="A965" t="s">
        <v>2241</v>
      </c>
      <c r="B965">
        <v>964</v>
      </c>
      <c r="C965">
        <v>146.97614105622901</v>
      </c>
      <c r="D965">
        <v>-222.1875</v>
      </c>
      <c r="E965">
        <v>14</v>
      </c>
      <c r="F965" t="s">
        <v>1640</v>
      </c>
    </row>
    <row r="966" spans="1:6" x14ac:dyDescent="0.25">
      <c r="A966" t="s">
        <v>2242</v>
      </c>
      <c r="B966">
        <v>965</v>
      </c>
      <c r="C966">
        <v>146.97614105622901</v>
      </c>
      <c r="D966">
        <v>-222.1875</v>
      </c>
      <c r="E966">
        <v>14</v>
      </c>
      <c r="F966" t="s">
        <v>1640</v>
      </c>
    </row>
    <row r="967" spans="1:6" x14ac:dyDescent="0.25">
      <c r="A967" t="s">
        <v>2244</v>
      </c>
      <c r="B967">
        <v>966</v>
      </c>
      <c r="C967">
        <v>146.97614105622901</v>
      </c>
      <c r="D967">
        <v>-216</v>
      </c>
      <c r="E967">
        <v>14</v>
      </c>
      <c r="F967" t="s">
        <v>1640</v>
      </c>
    </row>
    <row r="968" spans="1:6" x14ac:dyDescent="0.25">
      <c r="A968" t="s">
        <v>2245</v>
      </c>
      <c r="B968">
        <v>967</v>
      </c>
      <c r="C968">
        <v>146.97614105622901</v>
      </c>
      <c r="D968">
        <v>-216</v>
      </c>
      <c r="E968">
        <v>14</v>
      </c>
      <c r="F968" t="s">
        <v>1640</v>
      </c>
    </row>
    <row r="969" spans="1:6" x14ac:dyDescent="0.25">
      <c r="A969" t="s">
        <v>2247</v>
      </c>
      <c r="B969">
        <v>968</v>
      </c>
      <c r="C969">
        <v>146.97614105622901</v>
      </c>
      <c r="D969">
        <v>-209.8125</v>
      </c>
      <c r="E969">
        <v>14</v>
      </c>
      <c r="F969" t="s">
        <v>1640</v>
      </c>
    </row>
    <row r="970" spans="1:6" x14ac:dyDescent="0.25">
      <c r="A970" t="s">
        <v>2248</v>
      </c>
      <c r="B970">
        <v>969</v>
      </c>
      <c r="C970">
        <v>146.97614105622901</v>
      </c>
      <c r="D970">
        <v>-209.8125</v>
      </c>
      <c r="E970">
        <v>14</v>
      </c>
      <c r="F970" t="s">
        <v>1640</v>
      </c>
    </row>
    <row r="971" spans="1:6" x14ac:dyDescent="0.25">
      <c r="A971" t="s">
        <v>2250</v>
      </c>
      <c r="B971">
        <v>970</v>
      </c>
      <c r="C971">
        <v>152.74273883835599</v>
      </c>
      <c r="D971">
        <v>-222.1875</v>
      </c>
      <c r="E971">
        <v>14</v>
      </c>
      <c r="F971" t="s">
        <v>1640</v>
      </c>
    </row>
    <row r="972" spans="1:6" x14ac:dyDescent="0.25">
      <c r="A972" t="s">
        <v>2251</v>
      </c>
      <c r="B972">
        <v>971</v>
      </c>
      <c r="C972">
        <v>152.74273883835599</v>
      </c>
      <c r="D972">
        <v>-222.1875</v>
      </c>
      <c r="E972">
        <v>14</v>
      </c>
      <c r="F972" t="s">
        <v>1640</v>
      </c>
    </row>
    <row r="973" spans="1:6" x14ac:dyDescent="0.25">
      <c r="A973" t="s">
        <v>2253</v>
      </c>
      <c r="B973">
        <v>972</v>
      </c>
      <c r="C973">
        <v>152.74273883835599</v>
      </c>
      <c r="D973">
        <v>-216</v>
      </c>
      <c r="E973">
        <v>14</v>
      </c>
      <c r="F973" t="s">
        <v>1640</v>
      </c>
    </row>
    <row r="974" spans="1:6" x14ac:dyDescent="0.25">
      <c r="A974" t="s">
        <v>2254</v>
      </c>
      <c r="B974">
        <v>973</v>
      </c>
      <c r="C974">
        <v>152.74273883835599</v>
      </c>
      <c r="D974">
        <v>-216</v>
      </c>
      <c r="E974">
        <v>14</v>
      </c>
      <c r="F974" t="s">
        <v>1640</v>
      </c>
    </row>
    <row r="975" spans="1:6" x14ac:dyDescent="0.25">
      <c r="A975" t="s">
        <v>2256</v>
      </c>
      <c r="B975">
        <v>974</v>
      </c>
      <c r="C975">
        <v>152.74273883835599</v>
      </c>
      <c r="D975">
        <v>-209.8125</v>
      </c>
      <c r="E975">
        <v>14</v>
      </c>
      <c r="F975" t="s">
        <v>1640</v>
      </c>
    </row>
    <row r="976" spans="1:6" x14ac:dyDescent="0.25">
      <c r="A976" t="s">
        <v>2257</v>
      </c>
      <c r="B976">
        <v>975</v>
      </c>
      <c r="C976">
        <v>152.74273883835599</v>
      </c>
      <c r="D976">
        <v>-209.8125</v>
      </c>
      <c r="E976">
        <v>14</v>
      </c>
      <c r="F976" t="s">
        <v>1640</v>
      </c>
    </row>
    <row r="977" spans="1:6" x14ac:dyDescent="0.25">
      <c r="A977" t="s">
        <v>2259</v>
      </c>
      <c r="B977">
        <v>976</v>
      </c>
      <c r="C977">
        <v>159.42950474769</v>
      </c>
      <c r="D977">
        <v>-222.1875</v>
      </c>
      <c r="E977">
        <v>14</v>
      </c>
      <c r="F977" t="s">
        <v>1640</v>
      </c>
    </row>
    <row r="978" spans="1:6" x14ac:dyDescent="0.25">
      <c r="A978" t="s">
        <v>2260</v>
      </c>
      <c r="B978">
        <v>977</v>
      </c>
      <c r="C978">
        <v>159.42950474769</v>
      </c>
      <c r="D978">
        <v>-222.1875</v>
      </c>
      <c r="E978">
        <v>14</v>
      </c>
      <c r="F978" t="s">
        <v>1640</v>
      </c>
    </row>
    <row r="979" spans="1:6" x14ac:dyDescent="0.25">
      <c r="A979" t="s">
        <v>2262</v>
      </c>
      <c r="B979">
        <v>978</v>
      </c>
      <c r="C979">
        <v>159.42950474769</v>
      </c>
      <c r="D979">
        <v>-216</v>
      </c>
      <c r="E979">
        <v>14</v>
      </c>
      <c r="F979" t="s">
        <v>1640</v>
      </c>
    </row>
    <row r="980" spans="1:6" x14ac:dyDescent="0.25">
      <c r="A980" t="s">
        <v>2263</v>
      </c>
      <c r="B980">
        <v>979</v>
      </c>
      <c r="C980">
        <v>159.42950474769</v>
      </c>
      <c r="D980">
        <v>-216</v>
      </c>
      <c r="E980">
        <v>14</v>
      </c>
      <c r="F980" t="s">
        <v>1640</v>
      </c>
    </row>
    <row r="981" spans="1:6" x14ac:dyDescent="0.25">
      <c r="A981" t="s">
        <v>2265</v>
      </c>
      <c r="B981">
        <v>980</v>
      </c>
      <c r="C981">
        <v>159.42950474769</v>
      </c>
      <c r="D981">
        <v>-209.8125</v>
      </c>
      <c r="E981">
        <v>14</v>
      </c>
      <c r="F981" t="s">
        <v>1640</v>
      </c>
    </row>
    <row r="982" spans="1:6" x14ac:dyDescent="0.25">
      <c r="A982" t="s">
        <v>2266</v>
      </c>
      <c r="B982">
        <v>981</v>
      </c>
      <c r="C982">
        <v>159.42950474769</v>
      </c>
      <c r="D982">
        <v>-209.8125</v>
      </c>
      <c r="E982">
        <v>14</v>
      </c>
      <c r="F982" t="s">
        <v>1640</v>
      </c>
    </row>
    <row r="983" spans="1:6" x14ac:dyDescent="0.25">
      <c r="A983" t="s">
        <v>2268</v>
      </c>
      <c r="B983">
        <v>982</v>
      </c>
      <c r="C983">
        <v>166.87970100828099</v>
      </c>
      <c r="D983">
        <v>-222.1875</v>
      </c>
      <c r="E983">
        <v>14</v>
      </c>
      <c r="F983" t="s">
        <v>1640</v>
      </c>
    </row>
    <row r="984" spans="1:6" x14ac:dyDescent="0.25">
      <c r="A984" t="s">
        <v>2269</v>
      </c>
      <c r="B984">
        <v>983</v>
      </c>
      <c r="C984">
        <v>166.87970100828099</v>
      </c>
      <c r="D984">
        <v>-222.1875</v>
      </c>
      <c r="E984">
        <v>14</v>
      </c>
      <c r="F984" t="s">
        <v>1640</v>
      </c>
    </row>
    <row r="985" spans="1:6" x14ac:dyDescent="0.25">
      <c r="A985" t="s">
        <v>2271</v>
      </c>
      <c r="B985">
        <v>984</v>
      </c>
      <c r="C985">
        <v>166.87970100828099</v>
      </c>
      <c r="D985">
        <v>-216</v>
      </c>
      <c r="E985">
        <v>14</v>
      </c>
      <c r="F985" t="s">
        <v>1640</v>
      </c>
    </row>
    <row r="986" spans="1:6" x14ac:dyDescent="0.25">
      <c r="A986" t="s">
        <v>2272</v>
      </c>
      <c r="B986">
        <v>985</v>
      </c>
      <c r="C986">
        <v>166.87970100828099</v>
      </c>
      <c r="D986">
        <v>-216</v>
      </c>
      <c r="E986">
        <v>14</v>
      </c>
      <c r="F986" t="s">
        <v>1640</v>
      </c>
    </row>
    <row r="987" spans="1:6" x14ac:dyDescent="0.25">
      <c r="A987" t="s">
        <v>2274</v>
      </c>
      <c r="B987">
        <v>986</v>
      </c>
      <c r="C987">
        <v>166.87970100828099</v>
      </c>
      <c r="D987">
        <v>-209.8125</v>
      </c>
      <c r="E987">
        <v>14</v>
      </c>
      <c r="F987" t="s">
        <v>1640</v>
      </c>
    </row>
    <row r="988" spans="1:6" x14ac:dyDescent="0.25">
      <c r="A988" t="s">
        <v>2275</v>
      </c>
      <c r="B988">
        <v>987</v>
      </c>
      <c r="C988">
        <v>166.87970100828099</v>
      </c>
      <c r="D988">
        <v>-209.8125</v>
      </c>
      <c r="E988">
        <v>14</v>
      </c>
      <c r="F988" t="s">
        <v>1640</v>
      </c>
    </row>
    <row r="989" spans="1:6" x14ac:dyDescent="0.25">
      <c r="A989" t="s">
        <v>2277</v>
      </c>
      <c r="B989">
        <v>988</v>
      </c>
      <c r="C989">
        <v>174.91869874122301</v>
      </c>
      <c r="D989">
        <v>-222.1875</v>
      </c>
      <c r="E989">
        <v>14</v>
      </c>
      <c r="F989" t="s">
        <v>1640</v>
      </c>
    </row>
    <row r="990" spans="1:6" x14ac:dyDescent="0.25">
      <c r="A990" t="s">
        <v>2278</v>
      </c>
      <c r="B990">
        <v>989</v>
      </c>
      <c r="C990">
        <v>174.91869874122301</v>
      </c>
      <c r="D990">
        <v>-222.1875</v>
      </c>
      <c r="E990">
        <v>14</v>
      </c>
      <c r="F990" t="s">
        <v>1640</v>
      </c>
    </row>
    <row r="991" spans="1:6" x14ac:dyDescent="0.25">
      <c r="A991" t="s">
        <v>2280</v>
      </c>
      <c r="B991">
        <v>990</v>
      </c>
      <c r="C991">
        <v>174.91869874122301</v>
      </c>
      <c r="D991">
        <v>-216</v>
      </c>
      <c r="E991">
        <v>14</v>
      </c>
      <c r="F991" t="s">
        <v>1640</v>
      </c>
    </row>
    <row r="992" spans="1:6" x14ac:dyDescent="0.25">
      <c r="A992" t="s">
        <v>2281</v>
      </c>
      <c r="B992">
        <v>991</v>
      </c>
      <c r="C992">
        <v>174.91869874122301</v>
      </c>
      <c r="D992">
        <v>-216</v>
      </c>
      <c r="E992">
        <v>14</v>
      </c>
      <c r="F992" t="s">
        <v>1640</v>
      </c>
    </row>
    <row r="993" spans="1:6" x14ac:dyDescent="0.25">
      <c r="A993" t="s">
        <v>2283</v>
      </c>
      <c r="B993">
        <v>992</v>
      </c>
      <c r="C993">
        <v>174.91869874122301</v>
      </c>
      <c r="D993">
        <v>-209.8125</v>
      </c>
      <c r="E993">
        <v>14</v>
      </c>
      <c r="F993" t="s">
        <v>1640</v>
      </c>
    </row>
    <row r="994" spans="1:6" x14ac:dyDescent="0.25">
      <c r="A994" t="s">
        <v>2284</v>
      </c>
      <c r="B994">
        <v>993</v>
      </c>
      <c r="C994">
        <v>174.91869874122301</v>
      </c>
      <c r="D994">
        <v>-209.8125</v>
      </c>
      <c r="E994">
        <v>14</v>
      </c>
      <c r="F994" t="s">
        <v>1640</v>
      </c>
    </row>
    <row r="995" spans="1:6" x14ac:dyDescent="0.25">
      <c r="A995" t="s">
        <v>2286</v>
      </c>
      <c r="B995">
        <v>994</v>
      </c>
      <c r="C995">
        <v>183.35806926243899</v>
      </c>
      <c r="D995">
        <v>-222.1875</v>
      </c>
      <c r="E995">
        <v>14</v>
      </c>
      <c r="F995" t="s">
        <v>1640</v>
      </c>
    </row>
    <row r="996" spans="1:6" x14ac:dyDescent="0.25">
      <c r="A996" t="s">
        <v>2287</v>
      </c>
      <c r="B996">
        <v>995</v>
      </c>
      <c r="C996">
        <v>183.35806926243899</v>
      </c>
      <c r="D996">
        <v>-222.1875</v>
      </c>
      <c r="E996">
        <v>14</v>
      </c>
      <c r="F996" t="s">
        <v>1640</v>
      </c>
    </row>
    <row r="997" spans="1:6" x14ac:dyDescent="0.25">
      <c r="A997" t="s">
        <v>2289</v>
      </c>
      <c r="B997">
        <v>996</v>
      </c>
      <c r="C997">
        <v>183.35806926243899</v>
      </c>
      <c r="D997">
        <v>-216</v>
      </c>
      <c r="E997">
        <v>14</v>
      </c>
      <c r="F997" t="s">
        <v>1640</v>
      </c>
    </row>
    <row r="998" spans="1:6" x14ac:dyDescent="0.25">
      <c r="A998" t="s">
        <v>2290</v>
      </c>
      <c r="B998">
        <v>997</v>
      </c>
      <c r="C998">
        <v>183.35806926243899</v>
      </c>
      <c r="D998">
        <v>-216</v>
      </c>
      <c r="E998">
        <v>14</v>
      </c>
      <c r="F998" t="s">
        <v>1640</v>
      </c>
    </row>
    <row r="999" spans="1:6" x14ac:dyDescent="0.25">
      <c r="A999" t="s">
        <v>2292</v>
      </c>
      <c r="B999">
        <v>998</v>
      </c>
      <c r="C999">
        <v>183.35806926243899</v>
      </c>
      <c r="D999">
        <v>-209.8125</v>
      </c>
      <c r="E999">
        <v>14</v>
      </c>
      <c r="F999" t="s">
        <v>1640</v>
      </c>
    </row>
    <row r="1000" spans="1:6" x14ac:dyDescent="0.25">
      <c r="A1000" t="s">
        <v>2293</v>
      </c>
      <c r="B1000">
        <v>999</v>
      </c>
      <c r="C1000">
        <v>183.35806926243899</v>
      </c>
      <c r="D1000">
        <v>-209.8125</v>
      </c>
      <c r="E1000">
        <v>14</v>
      </c>
      <c r="F1000" t="s">
        <v>1640</v>
      </c>
    </row>
    <row r="1001" spans="1:6" x14ac:dyDescent="0.25">
      <c r="A1001" t="s">
        <v>2295</v>
      </c>
      <c r="B1001">
        <v>1000</v>
      </c>
      <c r="C1001">
        <v>192</v>
      </c>
      <c r="D1001">
        <v>-222.1875</v>
      </c>
      <c r="E1001">
        <v>14</v>
      </c>
      <c r="F1001" t="s">
        <v>1640</v>
      </c>
    </row>
    <row r="1002" spans="1:6" x14ac:dyDescent="0.25">
      <c r="A1002" t="s">
        <v>2296</v>
      </c>
      <c r="B1002">
        <v>1001</v>
      </c>
      <c r="C1002">
        <v>192</v>
      </c>
      <c r="D1002">
        <v>-222.1875</v>
      </c>
      <c r="E1002">
        <v>14</v>
      </c>
      <c r="F1002" t="s">
        <v>1640</v>
      </c>
    </row>
    <row r="1003" spans="1:6" x14ac:dyDescent="0.25">
      <c r="A1003" t="s">
        <v>2298</v>
      </c>
      <c r="B1003">
        <v>1002</v>
      </c>
      <c r="C1003">
        <v>192</v>
      </c>
      <c r="D1003">
        <v>-216</v>
      </c>
      <c r="E1003">
        <v>14</v>
      </c>
      <c r="F1003" t="s">
        <v>1640</v>
      </c>
    </row>
    <row r="1004" spans="1:6" x14ac:dyDescent="0.25">
      <c r="A1004" t="s">
        <v>2300</v>
      </c>
      <c r="B1004">
        <v>1003</v>
      </c>
      <c r="C1004">
        <v>192</v>
      </c>
      <c r="D1004">
        <v>-209.8125</v>
      </c>
      <c r="E1004">
        <v>14</v>
      </c>
      <c r="F1004" t="s">
        <v>1640</v>
      </c>
    </row>
    <row r="1005" spans="1:6" x14ac:dyDescent="0.25">
      <c r="A1005" t="s">
        <v>2301</v>
      </c>
      <c r="B1005">
        <v>1004</v>
      </c>
      <c r="C1005">
        <v>192</v>
      </c>
      <c r="D1005">
        <v>-209.8125</v>
      </c>
      <c r="E1005">
        <v>14</v>
      </c>
      <c r="F1005" t="s">
        <v>1640</v>
      </c>
    </row>
    <row r="1006" spans="1:6" x14ac:dyDescent="0.25">
      <c r="A1006" t="s">
        <v>2303</v>
      </c>
      <c r="B1006">
        <v>1005</v>
      </c>
      <c r="C1006">
        <v>200.64193073756101</v>
      </c>
      <c r="D1006">
        <v>-222.1875</v>
      </c>
      <c r="E1006">
        <v>14</v>
      </c>
      <c r="F1006" t="s">
        <v>1640</v>
      </c>
    </row>
    <row r="1007" spans="1:6" x14ac:dyDescent="0.25">
      <c r="A1007" t="s">
        <v>2304</v>
      </c>
      <c r="B1007">
        <v>1006</v>
      </c>
      <c r="C1007">
        <v>200.64193073756101</v>
      </c>
      <c r="D1007">
        <v>-222.1875</v>
      </c>
      <c r="E1007">
        <v>14</v>
      </c>
      <c r="F1007" t="s">
        <v>1640</v>
      </c>
    </row>
    <row r="1008" spans="1:6" x14ac:dyDescent="0.25">
      <c r="A1008" t="s">
        <v>2306</v>
      </c>
      <c r="B1008">
        <v>1007</v>
      </c>
      <c r="C1008">
        <v>200.64193073756101</v>
      </c>
      <c r="D1008">
        <v>-216</v>
      </c>
      <c r="E1008">
        <v>14</v>
      </c>
      <c r="F1008" t="s">
        <v>1640</v>
      </c>
    </row>
    <row r="1009" spans="1:6" x14ac:dyDescent="0.25">
      <c r="A1009" t="s">
        <v>2307</v>
      </c>
      <c r="B1009">
        <v>1008</v>
      </c>
      <c r="C1009">
        <v>200.64193073756101</v>
      </c>
      <c r="D1009">
        <v>-216</v>
      </c>
      <c r="E1009">
        <v>14</v>
      </c>
      <c r="F1009" t="s">
        <v>1640</v>
      </c>
    </row>
    <row r="1010" spans="1:6" x14ac:dyDescent="0.25">
      <c r="A1010" t="s">
        <v>2309</v>
      </c>
      <c r="B1010">
        <v>1009</v>
      </c>
      <c r="C1010">
        <v>200.64193073756101</v>
      </c>
      <c r="D1010">
        <v>-209.8125</v>
      </c>
      <c r="E1010">
        <v>14</v>
      </c>
      <c r="F1010" t="s">
        <v>1640</v>
      </c>
    </row>
    <row r="1011" spans="1:6" x14ac:dyDescent="0.25">
      <c r="A1011" t="s">
        <v>2310</v>
      </c>
      <c r="B1011">
        <v>1010</v>
      </c>
      <c r="C1011">
        <v>200.64193073756101</v>
      </c>
      <c r="D1011">
        <v>-209.8125</v>
      </c>
      <c r="E1011">
        <v>14</v>
      </c>
      <c r="F1011" t="s">
        <v>1640</v>
      </c>
    </row>
    <row r="1012" spans="1:6" x14ac:dyDescent="0.25">
      <c r="A1012" t="s">
        <v>2312</v>
      </c>
      <c r="B1012">
        <v>1011</v>
      </c>
      <c r="C1012">
        <v>209.08130125877699</v>
      </c>
      <c r="D1012">
        <v>-222.1875</v>
      </c>
      <c r="E1012">
        <v>14</v>
      </c>
      <c r="F1012" t="s">
        <v>1640</v>
      </c>
    </row>
    <row r="1013" spans="1:6" x14ac:dyDescent="0.25">
      <c r="A1013" t="s">
        <v>2313</v>
      </c>
      <c r="B1013">
        <v>1012</v>
      </c>
      <c r="C1013">
        <v>209.08130125877699</v>
      </c>
      <c r="D1013">
        <v>-222.1875</v>
      </c>
      <c r="E1013">
        <v>14</v>
      </c>
      <c r="F1013" t="s">
        <v>1640</v>
      </c>
    </row>
    <row r="1014" spans="1:6" x14ac:dyDescent="0.25">
      <c r="A1014" t="s">
        <v>2315</v>
      </c>
      <c r="B1014">
        <v>1013</v>
      </c>
      <c r="C1014">
        <v>209.08130125877699</v>
      </c>
      <c r="D1014">
        <v>-216</v>
      </c>
      <c r="E1014">
        <v>14</v>
      </c>
      <c r="F1014" t="s">
        <v>1640</v>
      </c>
    </row>
    <row r="1015" spans="1:6" x14ac:dyDescent="0.25">
      <c r="A1015" t="s">
        <v>2316</v>
      </c>
      <c r="B1015">
        <v>1014</v>
      </c>
      <c r="C1015">
        <v>209.08130125877699</v>
      </c>
      <c r="D1015">
        <v>-216</v>
      </c>
      <c r="E1015">
        <v>14</v>
      </c>
      <c r="F1015" t="s">
        <v>1640</v>
      </c>
    </row>
    <row r="1016" spans="1:6" x14ac:dyDescent="0.25">
      <c r="A1016" t="s">
        <v>2318</v>
      </c>
      <c r="B1016">
        <v>1015</v>
      </c>
      <c r="C1016">
        <v>209.08130125877699</v>
      </c>
      <c r="D1016">
        <v>-209.8125</v>
      </c>
      <c r="E1016">
        <v>14</v>
      </c>
      <c r="F1016" t="s">
        <v>1640</v>
      </c>
    </row>
    <row r="1017" spans="1:6" x14ac:dyDescent="0.25">
      <c r="A1017" t="s">
        <v>2319</v>
      </c>
      <c r="B1017">
        <v>1016</v>
      </c>
      <c r="C1017">
        <v>209.08130125877699</v>
      </c>
      <c r="D1017">
        <v>-209.8125</v>
      </c>
      <c r="E1017">
        <v>14</v>
      </c>
      <c r="F1017" t="s">
        <v>1640</v>
      </c>
    </row>
    <row r="1018" spans="1:6" x14ac:dyDescent="0.25">
      <c r="A1018" t="s">
        <v>2321</v>
      </c>
      <c r="B1018">
        <v>1017</v>
      </c>
      <c r="C1018">
        <v>217.12029899171901</v>
      </c>
      <c r="D1018">
        <v>-222.1875</v>
      </c>
      <c r="E1018">
        <v>14</v>
      </c>
      <c r="F1018" t="s">
        <v>1640</v>
      </c>
    </row>
    <row r="1019" spans="1:6" x14ac:dyDescent="0.25">
      <c r="A1019" t="s">
        <v>2322</v>
      </c>
      <c r="B1019">
        <v>1018</v>
      </c>
      <c r="C1019">
        <v>217.12029899171901</v>
      </c>
      <c r="D1019">
        <v>-222.1875</v>
      </c>
      <c r="E1019">
        <v>14</v>
      </c>
      <c r="F1019" t="s">
        <v>1640</v>
      </c>
    </row>
    <row r="1020" spans="1:6" x14ac:dyDescent="0.25">
      <c r="A1020" t="s">
        <v>2324</v>
      </c>
      <c r="B1020">
        <v>1019</v>
      </c>
      <c r="C1020">
        <v>217.12029899171901</v>
      </c>
      <c r="D1020">
        <v>-216</v>
      </c>
      <c r="E1020">
        <v>14</v>
      </c>
      <c r="F1020" t="s">
        <v>1640</v>
      </c>
    </row>
    <row r="1021" spans="1:6" x14ac:dyDescent="0.25">
      <c r="A1021" t="s">
        <v>2325</v>
      </c>
      <c r="B1021">
        <v>1020</v>
      </c>
      <c r="C1021">
        <v>217.12029899171901</v>
      </c>
      <c r="D1021">
        <v>-216</v>
      </c>
      <c r="E1021">
        <v>14</v>
      </c>
      <c r="F1021" t="s">
        <v>1640</v>
      </c>
    </row>
    <row r="1022" spans="1:6" x14ac:dyDescent="0.25">
      <c r="A1022" t="s">
        <v>2327</v>
      </c>
      <c r="B1022">
        <v>1021</v>
      </c>
      <c r="C1022">
        <v>217.12029899171901</v>
      </c>
      <c r="D1022">
        <v>-209.8125</v>
      </c>
      <c r="E1022">
        <v>14</v>
      </c>
      <c r="F1022" t="s">
        <v>1640</v>
      </c>
    </row>
    <row r="1023" spans="1:6" x14ac:dyDescent="0.25">
      <c r="A1023" t="s">
        <v>2328</v>
      </c>
      <c r="B1023">
        <v>1022</v>
      </c>
      <c r="C1023">
        <v>217.12029899171901</v>
      </c>
      <c r="D1023">
        <v>-209.8125</v>
      </c>
      <c r="E1023">
        <v>14</v>
      </c>
      <c r="F1023" t="s">
        <v>1640</v>
      </c>
    </row>
    <row r="1024" spans="1:6" x14ac:dyDescent="0.25">
      <c r="A1024" t="s">
        <v>2330</v>
      </c>
      <c r="B1024">
        <v>1023</v>
      </c>
      <c r="C1024">
        <v>224.57049525231</v>
      </c>
      <c r="D1024">
        <v>-222.1875</v>
      </c>
      <c r="E1024">
        <v>14</v>
      </c>
      <c r="F1024" t="s">
        <v>1640</v>
      </c>
    </row>
    <row r="1025" spans="1:6" x14ac:dyDescent="0.25">
      <c r="A1025" t="s">
        <v>2331</v>
      </c>
      <c r="B1025">
        <v>1024</v>
      </c>
      <c r="C1025">
        <v>224.57049525231</v>
      </c>
      <c r="D1025">
        <v>-222.1875</v>
      </c>
      <c r="E1025">
        <v>14</v>
      </c>
      <c r="F1025" t="s">
        <v>1640</v>
      </c>
    </row>
    <row r="1026" spans="1:6" x14ac:dyDescent="0.25">
      <c r="A1026" t="s">
        <v>2333</v>
      </c>
      <c r="B1026">
        <v>1025</v>
      </c>
      <c r="C1026">
        <v>224.57049525231</v>
      </c>
      <c r="D1026">
        <v>-216</v>
      </c>
      <c r="E1026">
        <v>14</v>
      </c>
      <c r="F1026" t="s">
        <v>1640</v>
      </c>
    </row>
    <row r="1027" spans="1:6" x14ac:dyDescent="0.25">
      <c r="A1027" t="s">
        <v>2334</v>
      </c>
      <c r="B1027">
        <v>1026</v>
      </c>
      <c r="C1027">
        <v>224.57049525231</v>
      </c>
      <c r="D1027">
        <v>-216</v>
      </c>
      <c r="E1027">
        <v>14</v>
      </c>
      <c r="F1027" t="s">
        <v>1640</v>
      </c>
    </row>
    <row r="1028" spans="1:6" x14ac:dyDescent="0.25">
      <c r="A1028" t="s">
        <v>2336</v>
      </c>
      <c r="B1028">
        <v>1027</v>
      </c>
      <c r="C1028">
        <v>224.57049525231</v>
      </c>
      <c r="D1028">
        <v>-209.8125</v>
      </c>
      <c r="E1028">
        <v>14</v>
      </c>
      <c r="F1028" t="s">
        <v>1640</v>
      </c>
    </row>
    <row r="1029" spans="1:6" x14ac:dyDescent="0.25">
      <c r="A1029" t="s">
        <v>2337</v>
      </c>
      <c r="B1029">
        <v>1028</v>
      </c>
      <c r="C1029">
        <v>224.57049525231</v>
      </c>
      <c r="D1029">
        <v>-209.8125</v>
      </c>
      <c r="E1029">
        <v>14</v>
      </c>
      <c r="F1029" t="s">
        <v>1640</v>
      </c>
    </row>
    <row r="1030" spans="1:6" x14ac:dyDescent="0.25">
      <c r="A1030" t="s">
        <v>2339</v>
      </c>
      <c r="B1030">
        <v>1029</v>
      </c>
      <c r="C1030">
        <v>231.25726116164401</v>
      </c>
      <c r="D1030">
        <v>-222.1875</v>
      </c>
      <c r="E1030">
        <v>14</v>
      </c>
      <c r="F1030" t="s">
        <v>1640</v>
      </c>
    </row>
    <row r="1031" spans="1:6" x14ac:dyDescent="0.25">
      <c r="A1031" t="s">
        <v>2340</v>
      </c>
      <c r="B1031">
        <v>1030</v>
      </c>
      <c r="C1031">
        <v>231.25726116164401</v>
      </c>
      <c r="D1031">
        <v>-222.1875</v>
      </c>
      <c r="E1031">
        <v>14</v>
      </c>
      <c r="F1031" t="s">
        <v>1640</v>
      </c>
    </row>
    <row r="1032" spans="1:6" x14ac:dyDescent="0.25">
      <c r="A1032" t="s">
        <v>2342</v>
      </c>
      <c r="B1032">
        <v>1031</v>
      </c>
      <c r="C1032">
        <v>231.25726116164401</v>
      </c>
      <c r="D1032">
        <v>-216</v>
      </c>
      <c r="E1032">
        <v>14</v>
      </c>
      <c r="F1032" t="s">
        <v>1640</v>
      </c>
    </row>
    <row r="1033" spans="1:6" x14ac:dyDescent="0.25">
      <c r="A1033" t="s">
        <v>2343</v>
      </c>
      <c r="B1033">
        <v>1032</v>
      </c>
      <c r="C1033">
        <v>231.25726116164401</v>
      </c>
      <c r="D1033">
        <v>-216</v>
      </c>
      <c r="E1033">
        <v>14</v>
      </c>
      <c r="F1033" t="s">
        <v>1640</v>
      </c>
    </row>
    <row r="1034" spans="1:6" x14ac:dyDescent="0.25">
      <c r="A1034" t="s">
        <v>2345</v>
      </c>
      <c r="B1034">
        <v>1033</v>
      </c>
      <c r="C1034">
        <v>231.25726116164401</v>
      </c>
      <c r="D1034">
        <v>-209.8125</v>
      </c>
      <c r="E1034">
        <v>14</v>
      </c>
      <c r="F1034" t="s">
        <v>1640</v>
      </c>
    </row>
    <row r="1035" spans="1:6" x14ac:dyDescent="0.25">
      <c r="A1035" t="s">
        <v>2346</v>
      </c>
      <c r="B1035">
        <v>1034</v>
      </c>
      <c r="C1035">
        <v>231.25726116164401</v>
      </c>
      <c r="D1035">
        <v>-209.8125</v>
      </c>
      <c r="E1035">
        <v>14</v>
      </c>
      <c r="F1035" t="s">
        <v>1640</v>
      </c>
    </row>
    <row r="1036" spans="1:6" x14ac:dyDescent="0.25">
      <c r="A1036" t="s">
        <v>2348</v>
      </c>
      <c r="B1036">
        <v>1035</v>
      </c>
      <c r="C1036">
        <v>237.02385894377099</v>
      </c>
      <c r="D1036">
        <v>-222.1875</v>
      </c>
      <c r="E1036">
        <v>14</v>
      </c>
      <c r="F1036" t="s">
        <v>1640</v>
      </c>
    </row>
    <row r="1037" spans="1:6" x14ac:dyDescent="0.25">
      <c r="A1037" t="s">
        <v>2349</v>
      </c>
      <c r="B1037">
        <v>1036</v>
      </c>
      <c r="C1037">
        <v>237.02385894377099</v>
      </c>
      <c r="D1037">
        <v>-222.1875</v>
      </c>
      <c r="E1037">
        <v>14</v>
      </c>
      <c r="F1037" t="s">
        <v>1640</v>
      </c>
    </row>
    <row r="1038" spans="1:6" x14ac:dyDescent="0.25">
      <c r="A1038" t="s">
        <v>2351</v>
      </c>
      <c r="B1038">
        <v>1037</v>
      </c>
      <c r="C1038">
        <v>237.02385894377099</v>
      </c>
      <c r="D1038">
        <v>-216</v>
      </c>
      <c r="E1038">
        <v>14</v>
      </c>
      <c r="F1038" t="s">
        <v>1640</v>
      </c>
    </row>
    <row r="1039" spans="1:6" x14ac:dyDescent="0.25">
      <c r="A1039" t="s">
        <v>2352</v>
      </c>
      <c r="B1039">
        <v>1038</v>
      </c>
      <c r="C1039">
        <v>237.02385894377099</v>
      </c>
      <c r="D1039">
        <v>-216</v>
      </c>
      <c r="E1039">
        <v>14</v>
      </c>
      <c r="F1039" t="s">
        <v>1640</v>
      </c>
    </row>
    <row r="1040" spans="1:6" x14ac:dyDescent="0.25">
      <c r="A1040" t="s">
        <v>2354</v>
      </c>
      <c r="B1040">
        <v>1039</v>
      </c>
      <c r="C1040">
        <v>237.02385894377099</v>
      </c>
      <c r="D1040">
        <v>-209.8125</v>
      </c>
      <c r="E1040">
        <v>14</v>
      </c>
      <c r="F1040" t="s">
        <v>1640</v>
      </c>
    </row>
    <row r="1041" spans="1:6" x14ac:dyDescent="0.25">
      <c r="A1041" t="s">
        <v>2355</v>
      </c>
      <c r="B1041">
        <v>1040</v>
      </c>
      <c r="C1041">
        <v>237.02385894377099</v>
      </c>
      <c r="D1041">
        <v>-209.8125</v>
      </c>
      <c r="E1041">
        <v>14</v>
      </c>
      <c r="F1041" t="s">
        <v>1640</v>
      </c>
    </row>
    <row r="1042" spans="1:6" x14ac:dyDescent="0.25">
      <c r="A1042" t="s">
        <v>2357</v>
      </c>
      <c r="B1042">
        <v>1041</v>
      </c>
      <c r="C1042">
        <v>241.73510959799</v>
      </c>
      <c r="D1042">
        <v>-222.1875</v>
      </c>
      <c r="E1042">
        <v>14</v>
      </c>
      <c r="F1042" t="s">
        <v>1640</v>
      </c>
    </row>
    <row r="1043" spans="1:6" x14ac:dyDescent="0.25">
      <c r="A1043" t="s">
        <v>2358</v>
      </c>
      <c r="B1043">
        <v>1042</v>
      </c>
      <c r="C1043">
        <v>241.73510959799</v>
      </c>
      <c r="D1043">
        <v>-222.1875</v>
      </c>
      <c r="E1043">
        <v>14</v>
      </c>
      <c r="F1043" t="s">
        <v>1640</v>
      </c>
    </row>
    <row r="1044" spans="1:6" x14ac:dyDescent="0.25">
      <c r="A1044" t="s">
        <v>2360</v>
      </c>
      <c r="B1044">
        <v>1043</v>
      </c>
      <c r="C1044">
        <v>241.73510959799</v>
      </c>
      <c r="D1044">
        <v>-216</v>
      </c>
      <c r="E1044">
        <v>14</v>
      </c>
      <c r="F1044" t="s">
        <v>1640</v>
      </c>
    </row>
    <row r="1045" spans="1:6" x14ac:dyDescent="0.25">
      <c r="A1045" t="s">
        <v>2361</v>
      </c>
      <c r="B1045">
        <v>1044</v>
      </c>
      <c r="C1045">
        <v>241.73510959799</v>
      </c>
      <c r="D1045">
        <v>-216</v>
      </c>
      <c r="E1045">
        <v>14</v>
      </c>
      <c r="F1045" t="s">
        <v>1640</v>
      </c>
    </row>
    <row r="1046" spans="1:6" x14ac:dyDescent="0.25">
      <c r="A1046" t="s">
        <v>2363</v>
      </c>
      <c r="B1046">
        <v>1045</v>
      </c>
      <c r="C1046">
        <v>241.73510959799</v>
      </c>
      <c r="D1046">
        <v>-209.8125</v>
      </c>
      <c r="E1046">
        <v>14</v>
      </c>
      <c r="F1046" t="s">
        <v>1640</v>
      </c>
    </row>
    <row r="1047" spans="1:6" x14ac:dyDescent="0.25">
      <c r="A1047" t="s">
        <v>2364</v>
      </c>
      <c r="B1047">
        <v>1046</v>
      </c>
      <c r="C1047">
        <v>241.73510959799</v>
      </c>
      <c r="D1047">
        <v>-209.8125</v>
      </c>
      <c r="E1047">
        <v>14</v>
      </c>
      <c r="F1047" t="s">
        <v>1640</v>
      </c>
    </row>
    <row r="1048" spans="1:6" x14ac:dyDescent="0.25">
      <c r="A1048" t="s">
        <v>2366</v>
      </c>
      <c r="B1048">
        <v>1047</v>
      </c>
      <c r="C1048">
        <v>245.28053429678499</v>
      </c>
      <c r="D1048">
        <v>-222.1875</v>
      </c>
      <c r="E1048">
        <v>14</v>
      </c>
      <c r="F1048" t="s">
        <v>1640</v>
      </c>
    </row>
    <row r="1049" spans="1:6" x14ac:dyDescent="0.25">
      <c r="A1049" t="s">
        <v>2367</v>
      </c>
      <c r="B1049">
        <v>1048</v>
      </c>
      <c r="C1049">
        <v>245.28053429678499</v>
      </c>
      <c r="D1049">
        <v>-222.1875</v>
      </c>
      <c r="E1049">
        <v>14</v>
      </c>
      <c r="F1049" t="s">
        <v>1640</v>
      </c>
    </row>
    <row r="1050" spans="1:6" x14ac:dyDescent="0.25">
      <c r="A1050" t="s">
        <v>2369</v>
      </c>
      <c r="B1050">
        <v>1049</v>
      </c>
      <c r="C1050">
        <v>245.28053429678499</v>
      </c>
      <c r="D1050">
        <v>-216</v>
      </c>
      <c r="E1050">
        <v>14</v>
      </c>
      <c r="F1050" t="s">
        <v>1640</v>
      </c>
    </row>
    <row r="1051" spans="1:6" x14ac:dyDescent="0.25">
      <c r="A1051" t="s">
        <v>2370</v>
      </c>
      <c r="B1051">
        <v>1050</v>
      </c>
      <c r="C1051">
        <v>245.28053429678499</v>
      </c>
      <c r="D1051">
        <v>-216</v>
      </c>
      <c r="E1051">
        <v>14</v>
      </c>
      <c r="F1051" t="s">
        <v>1640</v>
      </c>
    </row>
    <row r="1052" spans="1:6" x14ac:dyDescent="0.25">
      <c r="A1052" t="s">
        <v>2372</v>
      </c>
      <c r="B1052">
        <v>1051</v>
      </c>
      <c r="C1052">
        <v>245.28053429678499</v>
      </c>
      <c r="D1052">
        <v>-209.8125</v>
      </c>
      <c r="E1052">
        <v>14</v>
      </c>
      <c r="F1052" t="s">
        <v>1640</v>
      </c>
    </row>
    <row r="1053" spans="1:6" x14ac:dyDescent="0.25">
      <c r="A1053" t="s">
        <v>2373</v>
      </c>
      <c r="B1053">
        <v>1052</v>
      </c>
      <c r="C1053">
        <v>245.28053429678499</v>
      </c>
      <c r="D1053">
        <v>-209.8125</v>
      </c>
      <c r="E1053">
        <v>14</v>
      </c>
      <c r="F1053" t="s">
        <v>1640</v>
      </c>
    </row>
    <row r="1054" spans="1:6" x14ac:dyDescent="0.25">
      <c r="A1054" t="s">
        <v>2375</v>
      </c>
      <c r="B1054">
        <v>1053</v>
      </c>
      <c r="C1054">
        <v>247.576745526694</v>
      </c>
      <c r="D1054">
        <v>-222.1875</v>
      </c>
      <c r="E1054">
        <v>14</v>
      </c>
      <c r="F1054" t="s">
        <v>1640</v>
      </c>
    </row>
    <row r="1055" spans="1:6" x14ac:dyDescent="0.25">
      <c r="A1055" t="s">
        <v>2376</v>
      </c>
      <c r="B1055">
        <v>1054</v>
      </c>
      <c r="C1055">
        <v>247.576745526694</v>
      </c>
      <c r="D1055">
        <v>-222.1875</v>
      </c>
      <c r="E1055">
        <v>14</v>
      </c>
      <c r="F1055" t="s">
        <v>1640</v>
      </c>
    </row>
    <row r="1056" spans="1:6" x14ac:dyDescent="0.25">
      <c r="A1056" t="s">
        <v>2378</v>
      </c>
      <c r="B1056">
        <v>1055</v>
      </c>
      <c r="C1056">
        <v>247.576745526694</v>
      </c>
      <c r="D1056">
        <v>-216</v>
      </c>
      <c r="E1056">
        <v>14</v>
      </c>
      <c r="F1056" t="s">
        <v>1640</v>
      </c>
    </row>
    <row r="1057" spans="1:6" x14ac:dyDescent="0.25">
      <c r="A1057" t="s">
        <v>2379</v>
      </c>
      <c r="B1057">
        <v>1056</v>
      </c>
      <c r="C1057">
        <v>247.576745526694</v>
      </c>
      <c r="D1057">
        <v>-216</v>
      </c>
      <c r="E1057">
        <v>14</v>
      </c>
      <c r="F1057" t="s">
        <v>1640</v>
      </c>
    </row>
    <row r="1058" spans="1:6" x14ac:dyDescent="0.25">
      <c r="A1058" t="s">
        <v>2381</v>
      </c>
      <c r="B1058">
        <v>1057</v>
      </c>
      <c r="C1058">
        <v>247.576745526694</v>
      </c>
      <c r="D1058">
        <v>-209.8125</v>
      </c>
      <c r="E1058">
        <v>14</v>
      </c>
      <c r="F1058" t="s">
        <v>1640</v>
      </c>
    </row>
    <row r="1059" spans="1:6" x14ac:dyDescent="0.25">
      <c r="A1059" t="s">
        <v>2382</v>
      </c>
      <c r="B1059">
        <v>1058</v>
      </c>
      <c r="C1059">
        <v>247.576745526694</v>
      </c>
      <c r="D1059">
        <v>-209.8125</v>
      </c>
      <c r="E1059">
        <v>14</v>
      </c>
      <c r="F1059" t="s">
        <v>1640</v>
      </c>
    </row>
    <row r="1060" spans="1:6" x14ac:dyDescent="0.25">
      <c r="A1060" t="s">
        <v>2384</v>
      </c>
      <c r="B1060">
        <v>1059</v>
      </c>
      <c r="C1060">
        <v>248.5625</v>
      </c>
      <c r="D1060">
        <v>-222.1875</v>
      </c>
      <c r="E1060">
        <v>14</v>
      </c>
      <c r="F1060" t="s">
        <v>1640</v>
      </c>
    </row>
    <row r="1061" spans="1:6" x14ac:dyDescent="0.25">
      <c r="A1061" t="s">
        <v>2385</v>
      </c>
      <c r="B1061">
        <v>1060</v>
      </c>
      <c r="C1061">
        <v>248.5625</v>
      </c>
      <c r="D1061">
        <v>-222.1875</v>
      </c>
      <c r="E1061">
        <v>14</v>
      </c>
      <c r="F1061" t="s">
        <v>1640</v>
      </c>
    </row>
    <row r="1062" spans="1:6" x14ac:dyDescent="0.25">
      <c r="A1062" t="s">
        <v>2387</v>
      </c>
      <c r="B1062">
        <v>1061</v>
      </c>
      <c r="C1062">
        <v>248.5625</v>
      </c>
      <c r="D1062">
        <v>-216</v>
      </c>
      <c r="E1062">
        <v>14</v>
      </c>
      <c r="F1062" t="s">
        <v>1640</v>
      </c>
    </row>
    <row r="1063" spans="1:6" x14ac:dyDescent="0.25">
      <c r="A1063" t="s">
        <v>2388</v>
      </c>
      <c r="B1063">
        <v>1062</v>
      </c>
      <c r="C1063">
        <v>248.5625</v>
      </c>
      <c r="D1063">
        <v>-216</v>
      </c>
      <c r="E1063">
        <v>14</v>
      </c>
      <c r="F1063" t="s">
        <v>1640</v>
      </c>
    </row>
    <row r="1064" spans="1:6" x14ac:dyDescent="0.25">
      <c r="A1064" t="s">
        <v>2390</v>
      </c>
      <c r="B1064">
        <v>1063</v>
      </c>
      <c r="C1064">
        <v>248.5625</v>
      </c>
      <c r="D1064">
        <v>-209.8125</v>
      </c>
      <c r="E1064">
        <v>14</v>
      </c>
      <c r="F1064" t="s">
        <v>1640</v>
      </c>
    </row>
    <row r="1065" spans="1:6" x14ac:dyDescent="0.25">
      <c r="A1065" t="s">
        <v>2391</v>
      </c>
      <c r="B1065">
        <v>1064</v>
      </c>
      <c r="C1065">
        <v>248.5625</v>
      </c>
      <c r="D1065">
        <v>-209.8125</v>
      </c>
      <c r="E1065">
        <v>14</v>
      </c>
      <c r="F1065" t="s">
        <v>1640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71602-8D2B-47FD-8723-EAB031E9A962}">
  <sheetPr>
    <tabColor indexed="10"/>
  </sheetPr>
  <dimension ref="A1:G297"/>
  <sheetViews>
    <sheetView workbookViewId="0">
      <selection activeCell="H1" sqref="H1:XFD1048576"/>
    </sheetView>
  </sheetViews>
  <sheetFormatPr defaultColWidth="0" defaultRowHeight="15" x14ac:dyDescent="0.25"/>
  <cols>
    <col min="1" max="1" width="20.7109375" bestFit="1" customWidth="1"/>
    <col min="2" max="7" width="8.85546875" customWidth="1"/>
    <col min="8" max="16384" width="8.85546875" hidden="1"/>
  </cols>
  <sheetData>
    <row r="1" spans="1:7" x14ac:dyDescent="0.25">
      <c r="A1" t="s">
        <v>21</v>
      </c>
      <c r="B1" t="s">
        <v>18</v>
      </c>
      <c r="C1" t="s">
        <v>19</v>
      </c>
      <c r="D1" t="s">
        <v>20</v>
      </c>
      <c r="E1" t="s">
        <v>22</v>
      </c>
      <c r="F1" t="s">
        <v>23</v>
      </c>
      <c r="G1" t="s">
        <v>24</v>
      </c>
    </row>
    <row r="2" spans="1:7" x14ac:dyDescent="0.25">
      <c r="A2" t="s">
        <v>183</v>
      </c>
      <c r="B2" t="s">
        <v>25</v>
      </c>
      <c r="C2" t="s">
        <v>25</v>
      </c>
      <c r="D2" t="s">
        <v>25</v>
      </c>
      <c r="E2" t="s">
        <v>165</v>
      </c>
      <c r="F2" t="s">
        <v>165</v>
      </c>
      <c r="G2" t="s">
        <v>165</v>
      </c>
    </row>
    <row r="3" spans="1:7" x14ac:dyDescent="0.25">
      <c r="A3" t="s">
        <v>184</v>
      </c>
      <c r="B3" t="s">
        <v>25</v>
      </c>
      <c r="C3" t="s">
        <v>25</v>
      </c>
      <c r="D3" t="s">
        <v>25</v>
      </c>
      <c r="E3" t="s">
        <v>165</v>
      </c>
      <c r="F3" t="s">
        <v>165</v>
      </c>
      <c r="G3" t="s">
        <v>165</v>
      </c>
    </row>
    <row r="4" spans="1:7" x14ac:dyDescent="0.25">
      <c r="A4" t="s">
        <v>185</v>
      </c>
      <c r="B4" t="s">
        <v>25</v>
      </c>
      <c r="C4" t="s">
        <v>25</v>
      </c>
      <c r="D4" t="s">
        <v>25</v>
      </c>
      <c r="E4" t="s">
        <v>165</v>
      </c>
      <c r="F4" t="s">
        <v>165</v>
      </c>
      <c r="G4" t="s">
        <v>165</v>
      </c>
    </row>
    <row r="5" spans="1:7" x14ac:dyDescent="0.25">
      <c r="A5" t="s">
        <v>186</v>
      </c>
      <c r="B5" t="s">
        <v>25</v>
      </c>
      <c r="C5" t="s">
        <v>25</v>
      </c>
      <c r="D5" t="s">
        <v>25</v>
      </c>
      <c r="E5" t="s">
        <v>165</v>
      </c>
      <c r="F5" t="s">
        <v>165</v>
      </c>
      <c r="G5" t="s">
        <v>165</v>
      </c>
    </row>
    <row r="6" spans="1:7" x14ac:dyDescent="0.25">
      <c r="A6" t="s">
        <v>190</v>
      </c>
      <c r="B6" t="s">
        <v>25</v>
      </c>
      <c r="C6" t="s">
        <v>25</v>
      </c>
      <c r="D6" t="s">
        <v>25</v>
      </c>
      <c r="E6" t="s">
        <v>165</v>
      </c>
      <c r="F6" t="s">
        <v>165</v>
      </c>
      <c r="G6" t="s">
        <v>165</v>
      </c>
    </row>
    <row r="7" spans="1:7" x14ac:dyDescent="0.25">
      <c r="A7" t="s">
        <v>191</v>
      </c>
      <c r="B7" t="s">
        <v>25</v>
      </c>
      <c r="C7" t="s">
        <v>25</v>
      </c>
      <c r="D7" t="s">
        <v>25</v>
      </c>
      <c r="E7" t="s">
        <v>165</v>
      </c>
      <c r="F7" t="s">
        <v>165</v>
      </c>
      <c r="G7" t="s">
        <v>165</v>
      </c>
    </row>
    <row r="8" spans="1:7" x14ac:dyDescent="0.25">
      <c r="A8" t="s">
        <v>192</v>
      </c>
      <c r="B8" t="s">
        <v>25</v>
      </c>
      <c r="C8" t="s">
        <v>25</v>
      </c>
      <c r="D8" t="s">
        <v>25</v>
      </c>
      <c r="E8" t="s">
        <v>165</v>
      </c>
      <c r="F8" t="s">
        <v>165</v>
      </c>
      <c r="G8" t="s">
        <v>165</v>
      </c>
    </row>
    <row r="9" spans="1:7" x14ac:dyDescent="0.25">
      <c r="A9" t="s">
        <v>193</v>
      </c>
      <c r="B9" t="s">
        <v>25</v>
      </c>
      <c r="C9" t="s">
        <v>25</v>
      </c>
      <c r="D9" t="s">
        <v>25</v>
      </c>
      <c r="E9" t="s">
        <v>165</v>
      </c>
      <c r="F9" t="s">
        <v>165</v>
      </c>
      <c r="G9" t="s">
        <v>165</v>
      </c>
    </row>
    <row r="10" spans="1:7" x14ac:dyDescent="0.25">
      <c r="A10" t="s">
        <v>194</v>
      </c>
      <c r="B10" t="s">
        <v>25</v>
      </c>
      <c r="C10" t="s">
        <v>25</v>
      </c>
      <c r="D10" t="s">
        <v>25</v>
      </c>
      <c r="E10" t="s">
        <v>165</v>
      </c>
      <c r="F10" t="s">
        <v>165</v>
      </c>
      <c r="G10" t="s">
        <v>165</v>
      </c>
    </row>
    <row r="11" spans="1:7" x14ac:dyDescent="0.25">
      <c r="A11" t="s">
        <v>195</v>
      </c>
      <c r="B11" t="s">
        <v>25</v>
      </c>
      <c r="C11" t="s">
        <v>25</v>
      </c>
      <c r="D11" t="s">
        <v>25</v>
      </c>
      <c r="E11" t="s">
        <v>165</v>
      </c>
      <c r="F11" t="s">
        <v>165</v>
      </c>
      <c r="G11" t="s">
        <v>165</v>
      </c>
    </row>
    <row r="12" spans="1:7" x14ac:dyDescent="0.25">
      <c r="A12" t="s">
        <v>197</v>
      </c>
      <c r="B12" t="s">
        <v>25</v>
      </c>
      <c r="C12" t="s">
        <v>25</v>
      </c>
      <c r="D12" t="s">
        <v>25</v>
      </c>
      <c r="E12" t="s">
        <v>165</v>
      </c>
      <c r="F12" t="s">
        <v>165</v>
      </c>
      <c r="G12" t="s">
        <v>165</v>
      </c>
    </row>
    <row r="13" spans="1:7" x14ac:dyDescent="0.25">
      <c r="A13" t="s">
        <v>198</v>
      </c>
      <c r="B13" t="s">
        <v>25</v>
      </c>
      <c r="C13" t="s">
        <v>25</v>
      </c>
      <c r="D13" t="s">
        <v>25</v>
      </c>
      <c r="E13" t="s">
        <v>165</v>
      </c>
      <c r="F13" t="s">
        <v>165</v>
      </c>
      <c r="G13" t="s">
        <v>165</v>
      </c>
    </row>
    <row r="14" spans="1:7" x14ac:dyDescent="0.25">
      <c r="A14" t="s">
        <v>199</v>
      </c>
      <c r="B14" t="s">
        <v>25</v>
      </c>
      <c r="C14" t="s">
        <v>25</v>
      </c>
      <c r="D14" t="s">
        <v>25</v>
      </c>
      <c r="E14" t="s">
        <v>165</v>
      </c>
      <c r="F14" t="s">
        <v>165</v>
      </c>
      <c r="G14" t="s">
        <v>165</v>
      </c>
    </row>
    <row r="15" spans="1:7" x14ac:dyDescent="0.25">
      <c r="A15" t="s">
        <v>200</v>
      </c>
      <c r="B15" t="s">
        <v>25</v>
      </c>
      <c r="C15" t="s">
        <v>25</v>
      </c>
      <c r="D15" t="s">
        <v>25</v>
      </c>
      <c r="E15" t="s">
        <v>165</v>
      </c>
      <c r="F15" t="s">
        <v>165</v>
      </c>
      <c r="G15" t="s">
        <v>165</v>
      </c>
    </row>
    <row r="16" spans="1:7" x14ac:dyDescent="0.25">
      <c r="A16" t="s">
        <v>201</v>
      </c>
      <c r="B16" t="s">
        <v>165</v>
      </c>
      <c r="C16" t="s">
        <v>165</v>
      </c>
      <c r="D16" t="s">
        <v>25</v>
      </c>
      <c r="E16" t="s">
        <v>25</v>
      </c>
      <c r="F16" t="s">
        <v>25</v>
      </c>
      <c r="G16" t="s">
        <v>165</v>
      </c>
    </row>
    <row r="17" spans="1:7" x14ac:dyDescent="0.25">
      <c r="A17" t="s">
        <v>224</v>
      </c>
      <c r="B17" t="s">
        <v>165</v>
      </c>
      <c r="C17" t="s">
        <v>165</v>
      </c>
      <c r="D17" t="s">
        <v>25</v>
      </c>
      <c r="E17" t="s">
        <v>25</v>
      </c>
      <c r="F17" t="s">
        <v>25</v>
      </c>
      <c r="G17" t="s">
        <v>165</v>
      </c>
    </row>
    <row r="18" spans="1:7" x14ac:dyDescent="0.25">
      <c r="A18" t="s">
        <v>247</v>
      </c>
      <c r="B18" t="s">
        <v>165</v>
      </c>
      <c r="C18" t="s">
        <v>165</v>
      </c>
      <c r="D18" t="s">
        <v>25</v>
      </c>
      <c r="E18" t="s">
        <v>25</v>
      </c>
      <c r="F18" t="s">
        <v>25</v>
      </c>
      <c r="G18" t="s">
        <v>165</v>
      </c>
    </row>
    <row r="19" spans="1:7" x14ac:dyDescent="0.25">
      <c r="A19" t="s">
        <v>270</v>
      </c>
      <c r="B19" t="s">
        <v>165</v>
      </c>
      <c r="C19" t="s">
        <v>165</v>
      </c>
      <c r="D19" t="s">
        <v>25</v>
      </c>
      <c r="E19" t="s">
        <v>25</v>
      </c>
      <c r="F19" t="s">
        <v>25</v>
      </c>
      <c r="G19" t="s">
        <v>165</v>
      </c>
    </row>
    <row r="20" spans="1:7" x14ac:dyDescent="0.25">
      <c r="A20" t="s">
        <v>293</v>
      </c>
      <c r="B20" t="s">
        <v>165</v>
      </c>
      <c r="C20" t="s">
        <v>165</v>
      </c>
      <c r="D20" t="s">
        <v>25</v>
      </c>
      <c r="E20" t="s">
        <v>25</v>
      </c>
      <c r="F20" t="s">
        <v>25</v>
      </c>
      <c r="G20" t="s">
        <v>165</v>
      </c>
    </row>
    <row r="21" spans="1:7" x14ac:dyDescent="0.25">
      <c r="A21" t="s">
        <v>316</v>
      </c>
      <c r="B21" t="s">
        <v>165</v>
      </c>
      <c r="C21" t="s">
        <v>165</v>
      </c>
      <c r="D21" t="s">
        <v>25</v>
      </c>
      <c r="E21" t="s">
        <v>25</v>
      </c>
      <c r="F21" t="s">
        <v>25</v>
      </c>
      <c r="G21" t="s">
        <v>165</v>
      </c>
    </row>
    <row r="22" spans="1:7" x14ac:dyDescent="0.25">
      <c r="A22" t="s">
        <v>339</v>
      </c>
      <c r="B22" t="s">
        <v>165</v>
      </c>
      <c r="C22" t="s">
        <v>165</v>
      </c>
      <c r="D22" t="s">
        <v>25</v>
      </c>
      <c r="E22" t="s">
        <v>25</v>
      </c>
      <c r="F22" t="s">
        <v>25</v>
      </c>
      <c r="G22" t="s">
        <v>165</v>
      </c>
    </row>
    <row r="23" spans="1:7" x14ac:dyDescent="0.25">
      <c r="A23" t="s">
        <v>362</v>
      </c>
      <c r="B23" t="s">
        <v>165</v>
      </c>
      <c r="C23" t="s">
        <v>165</v>
      </c>
      <c r="D23" t="s">
        <v>25</v>
      </c>
      <c r="E23" t="s">
        <v>25</v>
      </c>
      <c r="F23" t="s">
        <v>25</v>
      </c>
      <c r="G23" t="s">
        <v>165</v>
      </c>
    </row>
    <row r="24" spans="1:7" x14ac:dyDescent="0.25">
      <c r="A24" t="s">
        <v>385</v>
      </c>
      <c r="B24" t="s">
        <v>165</v>
      </c>
      <c r="C24" t="s">
        <v>165</v>
      </c>
      <c r="D24" t="s">
        <v>25</v>
      </c>
      <c r="E24" t="s">
        <v>25</v>
      </c>
      <c r="F24" t="s">
        <v>25</v>
      </c>
      <c r="G24" t="s">
        <v>165</v>
      </c>
    </row>
    <row r="25" spans="1:7" x14ac:dyDescent="0.25">
      <c r="A25" t="s">
        <v>408</v>
      </c>
      <c r="B25" t="s">
        <v>165</v>
      </c>
      <c r="C25" t="s">
        <v>165</v>
      </c>
      <c r="D25" t="s">
        <v>25</v>
      </c>
      <c r="E25" t="s">
        <v>25</v>
      </c>
      <c r="F25" t="s">
        <v>25</v>
      </c>
      <c r="G25" t="s">
        <v>165</v>
      </c>
    </row>
    <row r="26" spans="1:7" x14ac:dyDescent="0.25">
      <c r="A26" t="s">
        <v>1567</v>
      </c>
      <c r="B26" t="s">
        <v>25</v>
      </c>
      <c r="C26" t="s">
        <v>25</v>
      </c>
      <c r="D26" t="s">
        <v>25</v>
      </c>
      <c r="E26" t="s">
        <v>25</v>
      </c>
      <c r="F26" t="s">
        <v>25</v>
      </c>
      <c r="G26" t="s">
        <v>25</v>
      </c>
    </row>
    <row r="27" spans="1:7" x14ac:dyDescent="0.25">
      <c r="A27" t="s">
        <v>1571</v>
      </c>
      <c r="B27" t="s">
        <v>25</v>
      </c>
      <c r="C27" t="s">
        <v>25</v>
      </c>
      <c r="D27" t="s">
        <v>25</v>
      </c>
      <c r="E27" t="s">
        <v>25</v>
      </c>
      <c r="F27" t="s">
        <v>25</v>
      </c>
      <c r="G27" t="s">
        <v>25</v>
      </c>
    </row>
    <row r="28" spans="1:7" x14ac:dyDescent="0.25">
      <c r="A28" t="s">
        <v>1574</v>
      </c>
      <c r="B28" t="s">
        <v>25</v>
      </c>
      <c r="C28" t="s">
        <v>25</v>
      </c>
      <c r="D28" t="s">
        <v>25</v>
      </c>
      <c r="E28" t="s">
        <v>25</v>
      </c>
      <c r="F28" t="s">
        <v>25</v>
      </c>
      <c r="G28" t="s">
        <v>25</v>
      </c>
    </row>
    <row r="29" spans="1:7" x14ac:dyDescent="0.25">
      <c r="A29" t="s">
        <v>1577</v>
      </c>
      <c r="B29" t="s">
        <v>25</v>
      </c>
      <c r="C29" t="s">
        <v>25</v>
      </c>
      <c r="D29" t="s">
        <v>25</v>
      </c>
      <c r="E29" t="s">
        <v>25</v>
      </c>
      <c r="F29" t="s">
        <v>25</v>
      </c>
      <c r="G29" t="s">
        <v>25</v>
      </c>
    </row>
    <row r="30" spans="1:7" x14ac:dyDescent="0.25">
      <c r="A30" t="s">
        <v>1580</v>
      </c>
      <c r="B30" t="s">
        <v>25</v>
      </c>
      <c r="C30" t="s">
        <v>25</v>
      </c>
      <c r="D30" t="s">
        <v>25</v>
      </c>
      <c r="E30" t="s">
        <v>25</v>
      </c>
      <c r="F30" t="s">
        <v>25</v>
      </c>
      <c r="G30" t="s">
        <v>25</v>
      </c>
    </row>
    <row r="31" spans="1:7" x14ac:dyDescent="0.25">
      <c r="A31" t="s">
        <v>1583</v>
      </c>
      <c r="B31" t="s">
        <v>25</v>
      </c>
      <c r="C31" t="s">
        <v>25</v>
      </c>
      <c r="D31" t="s">
        <v>25</v>
      </c>
      <c r="E31" t="s">
        <v>25</v>
      </c>
      <c r="F31" t="s">
        <v>25</v>
      </c>
      <c r="G31" t="s">
        <v>25</v>
      </c>
    </row>
    <row r="32" spans="1:7" x14ac:dyDescent="0.25">
      <c r="A32" t="s">
        <v>1586</v>
      </c>
      <c r="B32" t="s">
        <v>25</v>
      </c>
      <c r="C32" t="s">
        <v>25</v>
      </c>
      <c r="D32" t="s">
        <v>25</v>
      </c>
      <c r="E32" t="s">
        <v>25</v>
      </c>
      <c r="F32" t="s">
        <v>25</v>
      </c>
      <c r="G32" t="s">
        <v>25</v>
      </c>
    </row>
    <row r="33" spans="1:7" x14ac:dyDescent="0.25">
      <c r="A33" t="s">
        <v>1589</v>
      </c>
      <c r="B33" t="s">
        <v>25</v>
      </c>
      <c r="C33" t="s">
        <v>25</v>
      </c>
      <c r="D33" t="s">
        <v>25</v>
      </c>
      <c r="E33" t="s">
        <v>25</v>
      </c>
      <c r="F33" t="s">
        <v>25</v>
      </c>
      <c r="G33" t="s">
        <v>25</v>
      </c>
    </row>
    <row r="34" spans="1:7" x14ac:dyDescent="0.25">
      <c r="A34" t="s">
        <v>1592</v>
      </c>
      <c r="B34" t="s">
        <v>25</v>
      </c>
      <c r="C34" t="s">
        <v>25</v>
      </c>
      <c r="D34" t="s">
        <v>25</v>
      </c>
      <c r="E34" t="s">
        <v>25</v>
      </c>
      <c r="F34" t="s">
        <v>25</v>
      </c>
      <c r="G34" t="s">
        <v>25</v>
      </c>
    </row>
    <row r="35" spans="1:7" x14ac:dyDescent="0.25">
      <c r="A35" t="s">
        <v>1595</v>
      </c>
      <c r="B35" t="s">
        <v>25</v>
      </c>
      <c r="C35" t="s">
        <v>25</v>
      </c>
      <c r="D35" t="s">
        <v>25</v>
      </c>
      <c r="E35" t="s">
        <v>25</v>
      </c>
      <c r="F35" t="s">
        <v>25</v>
      </c>
      <c r="G35" t="s">
        <v>25</v>
      </c>
    </row>
    <row r="36" spans="1:7" x14ac:dyDescent="0.25">
      <c r="A36" t="s">
        <v>1598</v>
      </c>
      <c r="B36" t="s">
        <v>25</v>
      </c>
      <c r="C36" t="s">
        <v>25</v>
      </c>
      <c r="D36" t="s">
        <v>25</v>
      </c>
      <c r="E36" t="s">
        <v>25</v>
      </c>
      <c r="F36" t="s">
        <v>25</v>
      </c>
      <c r="G36" t="s">
        <v>25</v>
      </c>
    </row>
    <row r="37" spans="1:7" x14ac:dyDescent="0.25">
      <c r="A37" t="s">
        <v>1601</v>
      </c>
      <c r="B37" t="s">
        <v>25</v>
      </c>
      <c r="C37" t="s">
        <v>25</v>
      </c>
      <c r="D37" t="s">
        <v>25</v>
      </c>
      <c r="E37" t="s">
        <v>25</v>
      </c>
      <c r="F37" t="s">
        <v>25</v>
      </c>
      <c r="G37" t="s">
        <v>25</v>
      </c>
    </row>
    <row r="38" spans="1:7" x14ac:dyDescent="0.25">
      <c r="A38" t="s">
        <v>1604</v>
      </c>
      <c r="B38" t="s">
        <v>25</v>
      </c>
      <c r="C38" t="s">
        <v>25</v>
      </c>
      <c r="D38" t="s">
        <v>25</v>
      </c>
      <c r="E38" t="s">
        <v>25</v>
      </c>
      <c r="F38" t="s">
        <v>25</v>
      </c>
      <c r="G38" t="s">
        <v>25</v>
      </c>
    </row>
    <row r="39" spans="1:7" x14ac:dyDescent="0.25">
      <c r="A39" t="s">
        <v>1607</v>
      </c>
      <c r="B39" t="s">
        <v>25</v>
      </c>
      <c r="C39" t="s">
        <v>25</v>
      </c>
      <c r="D39" t="s">
        <v>25</v>
      </c>
      <c r="E39" t="s">
        <v>25</v>
      </c>
      <c r="F39" t="s">
        <v>25</v>
      </c>
      <c r="G39" t="s">
        <v>25</v>
      </c>
    </row>
    <row r="40" spans="1:7" x14ac:dyDescent="0.25">
      <c r="A40" t="s">
        <v>1610</v>
      </c>
      <c r="B40" t="s">
        <v>25</v>
      </c>
      <c r="C40" t="s">
        <v>25</v>
      </c>
      <c r="D40" t="s">
        <v>25</v>
      </c>
      <c r="E40" t="s">
        <v>25</v>
      </c>
      <c r="F40" t="s">
        <v>25</v>
      </c>
      <c r="G40" t="s">
        <v>25</v>
      </c>
    </row>
    <row r="41" spans="1:7" x14ac:dyDescent="0.25">
      <c r="A41" t="s">
        <v>1613</v>
      </c>
      <c r="B41" t="s">
        <v>25</v>
      </c>
      <c r="C41" t="s">
        <v>25</v>
      </c>
      <c r="D41" t="s">
        <v>25</v>
      </c>
      <c r="E41" t="s">
        <v>25</v>
      </c>
      <c r="F41" t="s">
        <v>25</v>
      </c>
      <c r="G41" t="s">
        <v>25</v>
      </c>
    </row>
    <row r="42" spans="1:7" x14ac:dyDescent="0.25">
      <c r="A42" t="s">
        <v>187</v>
      </c>
      <c r="B42" t="s">
        <v>25</v>
      </c>
      <c r="C42" t="s">
        <v>25</v>
      </c>
      <c r="D42" t="s">
        <v>165</v>
      </c>
      <c r="E42" t="s">
        <v>165</v>
      </c>
      <c r="F42" t="s">
        <v>165</v>
      </c>
      <c r="G42" t="s">
        <v>25</v>
      </c>
    </row>
    <row r="43" spans="1:7" x14ac:dyDescent="0.25">
      <c r="A43" t="s">
        <v>1639</v>
      </c>
      <c r="B43" t="s">
        <v>25</v>
      </c>
      <c r="C43" t="s">
        <v>25</v>
      </c>
      <c r="D43" t="s">
        <v>25</v>
      </c>
      <c r="E43" t="s">
        <v>25</v>
      </c>
      <c r="F43" t="s">
        <v>25</v>
      </c>
      <c r="G43" t="s">
        <v>25</v>
      </c>
    </row>
    <row r="44" spans="1:7" x14ac:dyDescent="0.25">
      <c r="A44" t="s">
        <v>1653</v>
      </c>
      <c r="B44" t="s">
        <v>25</v>
      </c>
      <c r="C44" t="s">
        <v>25</v>
      </c>
      <c r="D44" t="s">
        <v>25</v>
      </c>
      <c r="E44" t="s">
        <v>25</v>
      </c>
      <c r="F44" t="s">
        <v>25</v>
      </c>
      <c r="G44" t="s">
        <v>25</v>
      </c>
    </row>
    <row r="45" spans="1:7" x14ac:dyDescent="0.25">
      <c r="A45" t="s">
        <v>1656</v>
      </c>
      <c r="B45" t="s">
        <v>25</v>
      </c>
      <c r="C45" t="s">
        <v>25</v>
      </c>
      <c r="D45" t="s">
        <v>25</v>
      </c>
      <c r="E45" t="s">
        <v>25</v>
      </c>
      <c r="F45" t="s">
        <v>25</v>
      </c>
      <c r="G45" t="s">
        <v>25</v>
      </c>
    </row>
    <row r="46" spans="1:7" x14ac:dyDescent="0.25">
      <c r="A46" t="s">
        <v>1659</v>
      </c>
      <c r="B46" t="s">
        <v>25</v>
      </c>
      <c r="C46" t="s">
        <v>25</v>
      </c>
      <c r="D46" t="s">
        <v>25</v>
      </c>
      <c r="E46" t="s">
        <v>25</v>
      </c>
      <c r="F46" t="s">
        <v>25</v>
      </c>
      <c r="G46" t="s">
        <v>25</v>
      </c>
    </row>
    <row r="47" spans="1:7" x14ac:dyDescent="0.25">
      <c r="A47" t="s">
        <v>1662</v>
      </c>
      <c r="B47" t="s">
        <v>25</v>
      </c>
      <c r="C47" t="s">
        <v>25</v>
      </c>
      <c r="D47" t="s">
        <v>25</v>
      </c>
      <c r="E47" t="s">
        <v>25</v>
      </c>
      <c r="F47" t="s">
        <v>25</v>
      </c>
      <c r="G47" t="s">
        <v>25</v>
      </c>
    </row>
    <row r="48" spans="1:7" x14ac:dyDescent="0.25">
      <c r="A48" t="s">
        <v>1665</v>
      </c>
      <c r="B48" t="s">
        <v>25</v>
      </c>
      <c r="C48" t="s">
        <v>25</v>
      </c>
      <c r="D48" t="s">
        <v>25</v>
      </c>
      <c r="E48" t="s">
        <v>25</v>
      </c>
      <c r="F48" t="s">
        <v>25</v>
      </c>
      <c r="G48" t="s">
        <v>25</v>
      </c>
    </row>
    <row r="49" spans="1:7" x14ac:dyDescent="0.25">
      <c r="A49" t="s">
        <v>1668</v>
      </c>
      <c r="B49" t="s">
        <v>25</v>
      </c>
      <c r="C49" t="s">
        <v>25</v>
      </c>
      <c r="D49" t="s">
        <v>25</v>
      </c>
      <c r="E49" t="s">
        <v>25</v>
      </c>
      <c r="F49" t="s">
        <v>25</v>
      </c>
      <c r="G49" t="s">
        <v>25</v>
      </c>
    </row>
    <row r="50" spans="1:7" x14ac:dyDescent="0.25">
      <c r="A50" t="s">
        <v>1671</v>
      </c>
      <c r="B50" t="s">
        <v>25</v>
      </c>
      <c r="C50" t="s">
        <v>25</v>
      </c>
      <c r="D50" t="s">
        <v>25</v>
      </c>
      <c r="E50" t="s">
        <v>25</v>
      </c>
      <c r="F50" t="s">
        <v>25</v>
      </c>
      <c r="G50" t="s">
        <v>25</v>
      </c>
    </row>
    <row r="51" spans="1:7" x14ac:dyDescent="0.25">
      <c r="A51" t="s">
        <v>1674</v>
      </c>
      <c r="B51" t="s">
        <v>25</v>
      </c>
      <c r="C51" t="s">
        <v>25</v>
      </c>
      <c r="D51" t="s">
        <v>25</v>
      </c>
      <c r="E51" t="s">
        <v>25</v>
      </c>
      <c r="F51" t="s">
        <v>25</v>
      </c>
      <c r="G51" t="s">
        <v>25</v>
      </c>
    </row>
    <row r="52" spans="1:7" x14ac:dyDescent="0.25">
      <c r="A52" t="s">
        <v>1677</v>
      </c>
      <c r="B52" t="s">
        <v>25</v>
      </c>
      <c r="C52" t="s">
        <v>25</v>
      </c>
      <c r="D52" t="s">
        <v>25</v>
      </c>
      <c r="E52" t="s">
        <v>25</v>
      </c>
      <c r="F52" t="s">
        <v>25</v>
      </c>
      <c r="G52" t="s">
        <v>25</v>
      </c>
    </row>
    <row r="53" spans="1:7" x14ac:dyDescent="0.25">
      <c r="A53" t="s">
        <v>1680</v>
      </c>
      <c r="B53" t="s">
        <v>25</v>
      </c>
      <c r="C53" t="s">
        <v>25</v>
      </c>
      <c r="D53" t="s">
        <v>25</v>
      </c>
      <c r="E53" t="s">
        <v>25</v>
      </c>
      <c r="F53" t="s">
        <v>25</v>
      </c>
      <c r="G53" t="s">
        <v>25</v>
      </c>
    </row>
    <row r="54" spans="1:7" x14ac:dyDescent="0.25">
      <c r="A54" t="s">
        <v>1683</v>
      </c>
      <c r="B54" t="s">
        <v>25</v>
      </c>
      <c r="C54" t="s">
        <v>25</v>
      </c>
      <c r="D54" t="s">
        <v>25</v>
      </c>
      <c r="E54" t="s">
        <v>25</v>
      </c>
      <c r="F54" t="s">
        <v>25</v>
      </c>
      <c r="G54" t="s">
        <v>25</v>
      </c>
    </row>
    <row r="55" spans="1:7" x14ac:dyDescent="0.25">
      <c r="A55" t="s">
        <v>1686</v>
      </c>
      <c r="B55" t="s">
        <v>25</v>
      </c>
      <c r="C55" t="s">
        <v>25</v>
      </c>
      <c r="D55" t="s">
        <v>25</v>
      </c>
      <c r="E55" t="s">
        <v>25</v>
      </c>
      <c r="F55" t="s">
        <v>25</v>
      </c>
      <c r="G55" t="s">
        <v>25</v>
      </c>
    </row>
    <row r="56" spans="1:7" x14ac:dyDescent="0.25">
      <c r="A56" t="s">
        <v>1689</v>
      </c>
      <c r="B56" t="s">
        <v>25</v>
      </c>
      <c r="C56" t="s">
        <v>25</v>
      </c>
      <c r="D56" t="s">
        <v>25</v>
      </c>
      <c r="E56" t="s">
        <v>25</v>
      </c>
      <c r="F56" t="s">
        <v>25</v>
      </c>
      <c r="G56" t="s">
        <v>25</v>
      </c>
    </row>
    <row r="57" spans="1:7" x14ac:dyDescent="0.25">
      <c r="A57" t="s">
        <v>1692</v>
      </c>
      <c r="B57" t="s">
        <v>25</v>
      </c>
      <c r="C57" t="s">
        <v>25</v>
      </c>
      <c r="D57" t="s">
        <v>25</v>
      </c>
      <c r="E57" t="s">
        <v>25</v>
      </c>
      <c r="F57" t="s">
        <v>25</v>
      </c>
      <c r="G57" t="s">
        <v>25</v>
      </c>
    </row>
    <row r="58" spans="1:7" x14ac:dyDescent="0.25">
      <c r="A58" t="s">
        <v>1695</v>
      </c>
      <c r="B58" t="s">
        <v>25</v>
      </c>
      <c r="C58" t="s">
        <v>25</v>
      </c>
      <c r="D58" t="s">
        <v>25</v>
      </c>
      <c r="E58" t="s">
        <v>25</v>
      </c>
      <c r="F58" t="s">
        <v>25</v>
      </c>
      <c r="G58" t="s">
        <v>25</v>
      </c>
    </row>
    <row r="59" spans="1:7" x14ac:dyDescent="0.25">
      <c r="A59" t="s">
        <v>1698</v>
      </c>
      <c r="B59" t="s">
        <v>25</v>
      </c>
      <c r="C59" t="s">
        <v>25</v>
      </c>
      <c r="D59" t="s">
        <v>25</v>
      </c>
      <c r="E59" t="s">
        <v>25</v>
      </c>
      <c r="F59" t="s">
        <v>25</v>
      </c>
      <c r="G59" t="s">
        <v>25</v>
      </c>
    </row>
    <row r="60" spans="1:7" x14ac:dyDescent="0.25">
      <c r="A60" t="s">
        <v>1701</v>
      </c>
      <c r="B60" t="s">
        <v>25</v>
      </c>
      <c r="C60" t="s">
        <v>25</v>
      </c>
      <c r="D60" t="s">
        <v>25</v>
      </c>
      <c r="E60" t="s">
        <v>25</v>
      </c>
      <c r="F60" t="s">
        <v>25</v>
      </c>
      <c r="G60" t="s">
        <v>25</v>
      </c>
    </row>
    <row r="61" spans="1:7" x14ac:dyDescent="0.25">
      <c r="A61" t="s">
        <v>1704</v>
      </c>
      <c r="B61" t="s">
        <v>25</v>
      </c>
      <c r="C61" t="s">
        <v>25</v>
      </c>
      <c r="D61" t="s">
        <v>25</v>
      </c>
      <c r="E61" t="s">
        <v>25</v>
      </c>
      <c r="F61" t="s">
        <v>25</v>
      </c>
      <c r="G61" t="s">
        <v>25</v>
      </c>
    </row>
    <row r="62" spans="1:7" x14ac:dyDescent="0.25">
      <c r="A62" t="s">
        <v>1707</v>
      </c>
      <c r="B62" t="s">
        <v>25</v>
      </c>
      <c r="C62" t="s">
        <v>25</v>
      </c>
      <c r="D62" t="s">
        <v>25</v>
      </c>
      <c r="E62" t="s">
        <v>25</v>
      </c>
      <c r="F62" t="s">
        <v>25</v>
      </c>
      <c r="G62" t="s">
        <v>25</v>
      </c>
    </row>
    <row r="63" spans="1:7" x14ac:dyDescent="0.25">
      <c r="A63" t="s">
        <v>1710</v>
      </c>
      <c r="B63" t="s">
        <v>25</v>
      </c>
      <c r="C63" t="s">
        <v>25</v>
      </c>
      <c r="D63" t="s">
        <v>25</v>
      </c>
      <c r="E63" t="s">
        <v>25</v>
      </c>
      <c r="F63" t="s">
        <v>25</v>
      </c>
      <c r="G63" t="s">
        <v>25</v>
      </c>
    </row>
    <row r="64" spans="1:7" x14ac:dyDescent="0.25">
      <c r="A64" t="s">
        <v>1713</v>
      </c>
      <c r="B64" t="s">
        <v>25</v>
      </c>
      <c r="C64" t="s">
        <v>25</v>
      </c>
      <c r="D64" t="s">
        <v>25</v>
      </c>
      <c r="E64" t="s">
        <v>25</v>
      </c>
      <c r="F64" t="s">
        <v>25</v>
      </c>
      <c r="G64" t="s">
        <v>25</v>
      </c>
    </row>
    <row r="65" spans="1:7" x14ac:dyDescent="0.25">
      <c r="A65" t="s">
        <v>1716</v>
      </c>
      <c r="B65" t="s">
        <v>25</v>
      </c>
      <c r="C65" t="s">
        <v>25</v>
      </c>
      <c r="D65" t="s">
        <v>25</v>
      </c>
      <c r="E65" t="s">
        <v>25</v>
      </c>
      <c r="F65" t="s">
        <v>25</v>
      </c>
      <c r="G65" t="s">
        <v>25</v>
      </c>
    </row>
    <row r="66" spans="1:7" x14ac:dyDescent="0.25">
      <c r="A66" t="s">
        <v>1719</v>
      </c>
      <c r="B66" t="s">
        <v>25</v>
      </c>
      <c r="C66" t="s">
        <v>25</v>
      </c>
      <c r="D66" t="s">
        <v>25</v>
      </c>
      <c r="E66" t="s">
        <v>25</v>
      </c>
      <c r="F66" t="s">
        <v>25</v>
      </c>
      <c r="G66" t="s">
        <v>25</v>
      </c>
    </row>
    <row r="67" spans="1:7" x14ac:dyDescent="0.25">
      <c r="A67" t="s">
        <v>1722</v>
      </c>
      <c r="B67" t="s">
        <v>25</v>
      </c>
      <c r="C67" t="s">
        <v>25</v>
      </c>
      <c r="D67" t="s">
        <v>25</v>
      </c>
      <c r="E67" t="s">
        <v>25</v>
      </c>
      <c r="F67" t="s">
        <v>25</v>
      </c>
      <c r="G67" t="s">
        <v>25</v>
      </c>
    </row>
    <row r="68" spans="1:7" x14ac:dyDescent="0.25">
      <c r="A68" t="s">
        <v>1725</v>
      </c>
      <c r="B68" t="s">
        <v>25</v>
      </c>
      <c r="C68" t="s">
        <v>25</v>
      </c>
      <c r="D68" t="s">
        <v>25</v>
      </c>
      <c r="E68" t="s">
        <v>25</v>
      </c>
      <c r="F68" t="s">
        <v>25</v>
      </c>
      <c r="G68" t="s">
        <v>25</v>
      </c>
    </row>
    <row r="69" spans="1:7" x14ac:dyDescent="0.25">
      <c r="A69" t="s">
        <v>1728</v>
      </c>
      <c r="B69" t="s">
        <v>25</v>
      </c>
      <c r="C69" t="s">
        <v>25</v>
      </c>
      <c r="D69" t="s">
        <v>25</v>
      </c>
      <c r="E69" t="s">
        <v>25</v>
      </c>
      <c r="F69" t="s">
        <v>25</v>
      </c>
      <c r="G69" t="s">
        <v>25</v>
      </c>
    </row>
    <row r="70" spans="1:7" x14ac:dyDescent="0.25">
      <c r="A70" t="s">
        <v>1731</v>
      </c>
      <c r="B70" t="s">
        <v>25</v>
      </c>
      <c r="C70" t="s">
        <v>25</v>
      </c>
      <c r="D70" t="s">
        <v>25</v>
      </c>
      <c r="E70" t="s">
        <v>25</v>
      </c>
      <c r="F70" t="s">
        <v>25</v>
      </c>
      <c r="G70" t="s">
        <v>25</v>
      </c>
    </row>
    <row r="71" spans="1:7" x14ac:dyDescent="0.25">
      <c r="A71" t="s">
        <v>1734</v>
      </c>
      <c r="B71" t="s">
        <v>25</v>
      </c>
      <c r="C71" t="s">
        <v>25</v>
      </c>
      <c r="D71" t="s">
        <v>25</v>
      </c>
      <c r="E71" t="s">
        <v>25</v>
      </c>
      <c r="F71" t="s">
        <v>25</v>
      </c>
      <c r="G71" t="s">
        <v>25</v>
      </c>
    </row>
    <row r="72" spans="1:7" x14ac:dyDescent="0.25">
      <c r="A72" t="s">
        <v>1737</v>
      </c>
      <c r="B72" t="s">
        <v>25</v>
      </c>
      <c r="C72" t="s">
        <v>25</v>
      </c>
      <c r="D72" t="s">
        <v>25</v>
      </c>
      <c r="E72" t="s">
        <v>25</v>
      </c>
      <c r="F72" t="s">
        <v>25</v>
      </c>
      <c r="G72" t="s">
        <v>25</v>
      </c>
    </row>
    <row r="73" spans="1:7" x14ac:dyDescent="0.25">
      <c r="A73" t="s">
        <v>1740</v>
      </c>
      <c r="B73" t="s">
        <v>25</v>
      </c>
      <c r="C73" t="s">
        <v>25</v>
      </c>
      <c r="D73" t="s">
        <v>25</v>
      </c>
      <c r="E73" t="s">
        <v>25</v>
      </c>
      <c r="F73" t="s">
        <v>25</v>
      </c>
      <c r="G73" t="s">
        <v>25</v>
      </c>
    </row>
    <row r="74" spans="1:7" x14ac:dyDescent="0.25">
      <c r="A74" t="s">
        <v>1743</v>
      </c>
      <c r="B74" t="s">
        <v>25</v>
      </c>
      <c r="C74" t="s">
        <v>25</v>
      </c>
      <c r="D74" t="s">
        <v>25</v>
      </c>
      <c r="E74" t="s">
        <v>25</v>
      </c>
      <c r="F74" t="s">
        <v>25</v>
      </c>
      <c r="G74" t="s">
        <v>25</v>
      </c>
    </row>
    <row r="75" spans="1:7" x14ac:dyDescent="0.25">
      <c r="A75" t="s">
        <v>1745</v>
      </c>
      <c r="B75" t="s">
        <v>25</v>
      </c>
      <c r="C75" t="s">
        <v>25</v>
      </c>
      <c r="D75" t="s">
        <v>25</v>
      </c>
      <c r="E75" t="s">
        <v>25</v>
      </c>
      <c r="F75" t="s">
        <v>25</v>
      </c>
      <c r="G75" t="s">
        <v>25</v>
      </c>
    </row>
    <row r="76" spans="1:7" x14ac:dyDescent="0.25">
      <c r="A76" t="s">
        <v>1748</v>
      </c>
      <c r="B76" t="s">
        <v>25</v>
      </c>
      <c r="C76" t="s">
        <v>25</v>
      </c>
      <c r="D76" t="s">
        <v>25</v>
      </c>
      <c r="E76" t="s">
        <v>25</v>
      </c>
      <c r="F76" t="s">
        <v>25</v>
      </c>
      <c r="G76" t="s">
        <v>25</v>
      </c>
    </row>
    <row r="77" spans="1:7" x14ac:dyDescent="0.25">
      <c r="A77" t="s">
        <v>1751</v>
      </c>
      <c r="B77" t="s">
        <v>25</v>
      </c>
      <c r="C77" t="s">
        <v>25</v>
      </c>
      <c r="D77" t="s">
        <v>25</v>
      </c>
      <c r="E77" t="s">
        <v>25</v>
      </c>
      <c r="F77" t="s">
        <v>25</v>
      </c>
      <c r="G77" t="s">
        <v>25</v>
      </c>
    </row>
    <row r="78" spans="1:7" x14ac:dyDescent="0.25">
      <c r="A78" t="s">
        <v>1754</v>
      </c>
      <c r="B78" t="s">
        <v>25</v>
      </c>
      <c r="C78" t="s">
        <v>25</v>
      </c>
      <c r="D78" t="s">
        <v>25</v>
      </c>
      <c r="E78" t="s">
        <v>25</v>
      </c>
      <c r="F78" t="s">
        <v>25</v>
      </c>
      <c r="G78" t="s">
        <v>25</v>
      </c>
    </row>
    <row r="79" spans="1:7" x14ac:dyDescent="0.25">
      <c r="A79" t="s">
        <v>1757</v>
      </c>
      <c r="B79" t="s">
        <v>25</v>
      </c>
      <c r="C79" t="s">
        <v>25</v>
      </c>
      <c r="D79" t="s">
        <v>25</v>
      </c>
      <c r="E79" t="s">
        <v>25</v>
      </c>
      <c r="F79" t="s">
        <v>25</v>
      </c>
      <c r="G79" t="s">
        <v>25</v>
      </c>
    </row>
    <row r="80" spans="1:7" x14ac:dyDescent="0.25">
      <c r="A80" t="s">
        <v>1760</v>
      </c>
      <c r="B80" t="s">
        <v>25</v>
      </c>
      <c r="C80" t="s">
        <v>25</v>
      </c>
      <c r="D80" t="s">
        <v>25</v>
      </c>
      <c r="E80" t="s">
        <v>25</v>
      </c>
      <c r="F80" t="s">
        <v>25</v>
      </c>
      <c r="G80" t="s">
        <v>25</v>
      </c>
    </row>
    <row r="81" spans="1:7" x14ac:dyDescent="0.25">
      <c r="A81" t="s">
        <v>1763</v>
      </c>
      <c r="B81" t="s">
        <v>25</v>
      </c>
      <c r="C81" t="s">
        <v>25</v>
      </c>
      <c r="D81" t="s">
        <v>25</v>
      </c>
      <c r="E81" t="s">
        <v>25</v>
      </c>
      <c r="F81" t="s">
        <v>25</v>
      </c>
      <c r="G81" t="s">
        <v>25</v>
      </c>
    </row>
    <row r="82" spans="1:7" x14ac:dyDescent="0.25">
      <c r="A82" t="s">
        <v>1766</v>
      </c>
      <c r="B82" t="s">
        <v>25</v>
      </c>
      <c r="C82" t="s">
        <v>25</v>
      </c>
      <c r="D82" t="s">
        <v>25</v>
      </c>
      <c r="E82" t="s">
        <v>25</v>
      </c>
      <c r="F82" t="s">
        <v>25</v>
      </c>
      <c r="G82" t="s">
        <v>25</v>
      </c>
    </row>
    <row r="83" spans="1:7" x14ac:dyDescent="0.25">
      <c r="A83" t="s">
        <v>1769</v>
      </c>
      <c r="B83" t="s">
        <v>25</v>
      </c>
      <c r="C83" t="s">
        <v>25</v>
      </c>
      <c r="D83" t="s">
        <v>25</v>
      </c>
      <c r="E83" t="s">
        <v>25</v>
      </c>
      <c r="F83" t="s">
        <v>25</v>
      </c>
      <c r="G83" t="s">
        <v>25</v>
      </c>
    </row>
    <row r="84" spans="1:7" x14ac:dyDescent="0.25">
      <c r="A84" t="s">
        <v>1772</v>
      </c>
      <c r="B84" t="s">
        <v>25</v>
      </c>
      <c r="C84" t="s">
        <v>25</v>
      </c>
      <c r="D84" t="s">
        <v>25</v>
      </c>
      <c r="E84" t="s">
        <v>25</v>
      </c>
      <c r="F84" t="s">
        <v>25</v>
      </c>
      <c r="G84" t="s">
        <v>25</v>
      </c>
    </row>
    <row r="85" spans="1:7" x14ac:dyDescent="0.25">
      <c r="A85" t="s">
        <v>1775</v>
      </c>
      <c r="B85" t="s">
        <v>25</v>
      </c>
      <c r="C85" t="s">
        <v>25</v>
      </c>
      <c r="D85" t="s">
        <v>25</v>
      </c>
      <c r="E85" t="s">
        <v>25</v>
      </c>
      <c r="F85" t="s">
        <v>25</v>
      </c>
      <c r="G85" t="s">
        <v>25</v>
      </c>
    </row>
    <row r="86" spans="1:7" x14ac:dyDescent="0.25">
      <c r="A86" t="s">
        <v>1778</v>
      </c>
      <c r="B86" t="s">
        <v>25</v>
      </c>
      <c r="C86" t="s">
        <v>25</v>
      </c>
      <c r="D86" t="s">
        <v>25</v>
      </c>
      <c r="E86" t="s">
        <v>25</v>
      </c>
      <c r="F86" t="s">
        <v>25</v>
      </c>
      <c r="G86" t="s">
        <v>25</v>
      </c>
    </row>
    <row r="87" spans="1:7" x14ac:dyDescent="0.25">
      <c r="A87" t="s">
        <v>1781</v>
      </c>
      <c r="B87" t="s">
        <v>25</v>
      </c>
      <c r="C87" t="s">
        <v>25</v>
      </c>
      <c r="D87" t="s">
        <v>25</v>
      </c>
      <c r="E87" t="s">
        <v>25</v>
      </c>
      <c r="F87" t="s">
        <v>25</v>
      </c>
      <c r="G87" t="s">
        <v>25</v>
      </c>
    </row>
    <row r="88" spans="1:7" x14ac:dyDescent="0.25">
      <c r="A88" t="s">
        <v>1784</v>
      </c>
      <c r="B88" t="s">
        <v>25</v>
      </c>
      <c r="C88" t="s">
        <v>25</v>
      </c>
      <c r="D88" t="s">
        <v>25</v>
      </c>
      <c r="E88" t="s">
        <v>25</v>
      </c>
      <c r="F88" t="s">
        <v>25</v>
      </c>
      <c r="G88" t="s">
        <v>25</v>
      </c>
    </row>
    <row r="89" spans="1:7" x14ac:dyDescent="0.25">
      <c r="A89" t="s">
        <v>1787</v>
      </c>
      <c r="B89" t="s">
        <v>25</v>
      </c>
      <c r="C89" t="s">
        <v>25</v>
      </c>
      <c r="D89" t="s">
        <v>25</v>
      </c>
      <c r="E89" t="s">
        <v>25</v>
      </c>
      <c r="F89" t="s">
        <v>25</v>
      </c>
      <c r="G89" t="s">
        <v>25</v>
      </c>
    </row>
    <row r="90" spans="1:7" x14ac:dyDescent="0.25">
      <c r="A90" t="s">
        <v>1790</v>
      </c>
      <c r="B90" t="s">
        <v>25</v>
      </c>
      <c r="C90" t="s">
        <v>25</v>
      </c>
      <c r="D90" t="s">
        <v>25</v>
      </c>
      <c r="E90" t="s">
        <v>25</v>
      </c>
      <c r="F90" t="s">
        <v>25</v>
      </c>
      <c r="G90" t="s">
        <v>25</v>
      </c>
    </row>
    <row r="91" spans="1:7" x14ac:dyDescent="0.25">
      <c r="A91" t="s">
        <v>1793</v>
      </c>
      <c r="B91" t="s">
        <v>25</v>
      </c>
      <c r="C91" t="s">
        <v>25</v>
      </c>
      <c r="D91" t="s">
        <v>25</v>
      </c>
      <c r="E91" t="s">
        <v>25</v>
      </c>
      <c r="F91" t="s">
        <v>25</v>
      </c>
      <c r="G91" t="s">
        <v>25</v>
      </c>
    </row>
    <row r="92" spans="1:7" x14ac:dyDescent="0.25">
      <c r="A92" t="s">
        <v>1796</v>
      </c>
      <c r="B92" t="s">
        <v>25</v>
      </c>
      <c r="C92" t="s">
        <v>25</v>
      </c>
      <c r="D92" t="s">
        <v>25</v>
      </c>
      <c r="E92" t="s">
        <v>25</v>
      </c>
      <c r="F92" t="s">
        <v>25</v>
      </c>
      <c r="G92" t="s">
        <v>25</v>
      </c>
    </row>
    <row r="93" spans="1:7" x14ac:dyDescent="0.25">
      <c r="A93" t="s">
        <v>1799</v>
      </c>
      <c r="B93" t="s">
        <v>25</v>
      </c>
      <c r="C93" t="s">
        <v>25</v>
      </c>
      <c r="D93" t="s">
        <v>25</v>
      </c>
      <c r="E93" t="s">
        <v>25</v>
      </c>
      <c r="F93" t="s">
        <v>25</v>
      </c>
      <c r="G93" t="s">
        <v>25</v>
      </c>
    </row>
    <row r="94" spans="1:7" x14ac:dyDescent="0.25">
      <c r="A94" t="s">
        <v>1802</v>
      </c>
      <c r="B94" t="s">
        <v>25</v>
      </c>
      <c r="C94" t="s">
        <v>25</v>
      </c>
      <c r="D94" t="s">
        <v>25</v>
      </c>
      <c r="E94" t="s">
        <v>25</v>
      </c>
      <c r="F94" t="s">
        <v>25</v>
      </c>
      <c r="G94" t="s">
        <v>25</v>
      </c>
    </row>
    <row r="95" spans="1:7" x14ac:dyDescent="0.25">
      <c r="A95" t="s">
        <v>1805</v>
      </c>
      <c r="B95" t="s">
        <v>25</v>
      </c>
      <c r="C95" t="s">
        <v>25</v>
      </c>
      <c r="D95" t="s">
        <v>25</v>
      </c>
      <c r="E95" t="s">
        <v>25</v>
      </c>
      <c r="F95" t="s">
        <v>25</v>
      </c>
      <c r="G95" t="s">
        <v>25</v>
      </c>
    </row>
    <row r="96" spans="1:7" x14ac:dyDescent="0.25">
      <c r="A96" t="s">
        <v>1808</v>
      </c>
      <c r="B96" t="s">
        <v>25</v>
      </c>
      <c r="C96" t="s">
        <v>25</v>
      </c>
      <c r="D96" t="s">
        <v>25</v>
      </c>
      <c r="E96" t="s">
        <v>25</v>
      </c>
      <c r="F96" t="s">
        <v>25</v>
      </c>
      <c r="G96" t="s">
        <v>25</v>
      </c>
    </row>
    <row r="97" spans="1:7" x14ac:dyDescent="0.25">
      <c r="A97" t="s">
        <v>1811</v>
      </c>
      <c r="B97" t="s">
        <v>25</v>
      </c>
      <c r="C97" t="s">
        <v>25</v>
      </c>
      <c r="D97" t="s">
        <v>25</v>
      </c>
      <c r="E97" t="s">
        <v>25</v>
      </c>
      <c r="F97" t="s">
        <v>25</v>
      </c>
      <c r="G97" t="s">
        <v>25</v>
      </c>
    </row>
    <row r="98" spans="1:7" x14ac:dyDescent="0.25">
      <c r="A98" t="s">
        <v>1814</v>
      </c>
      <c r="B98" t="s">
        <v>25</v>
      </c>
      <c r="C98" t="s">
        <v>25</v>
      </c>
      <c r="D98" t="s">
        <v>25</v>
      </c>
      <c r="E98" t="s">
        <v>25</v>
      </c>
      <c r="F98" t="s">
        <v>25</v>
      </c>
      <c r="G98" t="s">
        <v>25</v>
      </c>
    </row>
    <row r="99" spans="1:7" x14ac:dyDescent="0.25">
      <c r="A99" t="s">
        <v>1817</v>
      </c>
      <c r="B99" t="s">
        <v>25</v>
      </c>
      <c r="C99" t="s">
        <v>25</v>
      </c>
      <c r="D99" t="s">
        <v>25</v>
      </c>
      <c r="E99" t="s">
        <v>25</v>
      </c>
      <c r="F99" t="s">
        <v>25</v>
      </c>
      <c r="G99" t="s">
        <v>25</v>
      </c>
    </row>
    <row r="100" spans="1:7" x14ac:dyDescent="0.25">
      <c r="A100" t="s">
        <v>1820</v>
      </c>
      <c r="B100" t="s">
        <v>25</v>
      </c>
      <c r="C100" t="s">
        <v>25</v>
      </c>
      <c r="D100" t="s">
        <v>25</v>
      </c>
      <c r="E100" t="s">
        <v>25</v>
      </c>
      <c r="F100" t="s">
        <v>25</v>
      </c>
      <c r="G100" t="s">
        <v>25</v>
      </c>
    </row>
    <row r="101" spans="1:7" x14ac:dyDescent="0.25">
      <c r="A101" t="s">
        <v>1823</v>
      </c>
      <c r="B101" t="s">
        <v>25</v>
      </c>
      <c r="C101" t="s">
        <v>25</v>
      </c>
      <c r="D101" t="s">
        <v>25</v>
      </c>
      <c r="E101" t="s">
        <v>25</v>
      </c>
      <c r="F101" t="s">
        <v>25</v>
      </c>
      <c r="G101" t="s">
        <v>25</v>
      </c>
    </row>
    <row r="102" spans="1:7" x14ac:dyDescent="0.25">
      <c r="A102" t="s">
        <v>1826</v>
      </c>
      <c r="B102" t="s">
        <v>25</v>
      </c>
      <c r="C102" t="s">
        <v>25</v>
      </c>
      <c r="D102" t="s">
        <v>25</v>
      </c>
      <c r="E102" t="s">
        <v>25</v>
      </c>
      <c r="F102" t="s">
        <v>25</v>
      </c>
      <c r="G102" t="s">
        <v>25</v>
      </c>
    </row>
    <row r="103" spans="1:7" x14ac:dyDescent="0.25">
      <c r="A103" t="s">
        <v>1829</v>
      </c>
      <c r="B103" t="s">
        <v>25</v>
      </c>
      <c r="C103" t="s">
        <v>25</v>
      </c>
      <c r="D103" t="s">
        <v>25</v>
      </c>
      <c r="E103" t="s">
        <v>25</v>
      </c>
      <c r="F103" t="s">
        <v>25</v>
      </c>
      <c r="G103" t="s">
        <v>25</v>
      </c>
    </row>
    <row r="104" spans="1:7" x14ac:dyDescent="0.25">
      <c r="A104" t="s">
        <v>1832</v>
      </c>
      <c r="B104" t="s">
        <v>25</v>
      </c>
      <c r="C104" t="s">
        <v>25</v>
      </c>
      <c r="D104" t="s">
        <v>25</v>
      </c>
      <c r="E104" t="s">
        <v>25</v>
      </c>
      <c r="F104" t="s">
        <v>25</v>
      </c>
      <c r="G104" t="s">
        <v>25</v>
      </c>
    </row>
    <row r="105" spans="1:7" x14ac:dyDescent="0.25">
      <c r="A105" t="s">
        <v>1835</v>
      </c>
      <c r="B105" t="s">
        <v>25</v>
      </c>
      <c r="C105" t="s">
        <v>25</v>
      </c>
      <c r="D105" t="s">
        <v>25</v>
      </c>
      <c r="E105" t="s">
        <v>25</v>
      </c>
      <c r="F105" t="s">
        <v>25</v>
      </c>
      <c r="G105" t="s">
        <v>25</v>
      </c>
    </row>
    <row r="106" spans="1:7" x14ac:dyDescent="0.25">
      <c r="A106" t="s">
        <v>188</v>
      </c>
      <c r="B106" t="s">
        <v>25</v>
      </c>
      <c r="C106" t="s">
        <v>25</v>
      </c>
      <c r="D106" t="s">
        <v>165</v>
      </c>
      <c r="E106" t="s">
        <v>165</v>
      </c>
      <c r="F106" t="s">
        <v>165</v>
      </c>
      <c r="G106" t="s">
        <v>25</v>
      </c>
    </row>
    <row r="107" spans="1:7" x14ac:dyDescent="0.25">
      <c r="A107" t="s">
        <v>1644</v>
      </c>
      <c r="B107" t="s">
        <v>25</v>
      </c>
      <c r="C107" t="s">
        <v>25</v>
      </c>
      <c r="D107" t="s">
        <v>25</v>
      </c>
      <c r="E107" t="s">
        <v>25</v>
      </c>
      <c r="F107" t="s">
        <v>25</v>
      </c>
      <c r="G107" t="s">
        <v>25</v>
      </c>
    </row>
    <row r="108" spans="1:7" x14ac:dyDescent="0.25">
      <c r="A108" t="s">
        <v>1838</v>
      </c>
      <c r="B108" t="s">
        <v>25</v>
      </c>
      <c r="C108" t="s">
        <v>25</v>
      </c>
      <c r="D108" t="s">
        <v>25</v>
      </c>
      <c r="E108" t="s">
        <v>25</v>
      </c>
      <c r="F108" t="s">
        <v>25</v>
      </c>
      <c r="G108" t="s">
        <v>25</v>
      </c>
    </row>
    <row r="109" spans="1:7" x14ac:dyDescent="0.25">
      <c r="A109" t="s">
        <v>1841</v>
      </c>
      <c r="B109" t="s">
        <v>25</v>
      </c>
      <c r="C109" t="s">
        <v>25</v>
      </c>
      <c r="D109" t="s">
        <v>25</v>
      </c>
      <c r="E109" t="s">
        <v>25</v>
      </c>
      <c r="F109" t="s">
        <v>25</v>
      </c>
      <c r="G109" t="s">
        <v>25</v>
      </c>
    </row>
    <row r="110" spans="1:7" x14ac:dyDescent="0.25">
      <c r="A110" t="s">
        <v>1844</v>
      </c>
      <c r="B110" t="s">
        <v>25</v>
      </c>
      <c r="C110" t="s">
        <v>25</v>
      </c>
      <c r="D110" t="s">
        <v>25</v>
      </c>
      <c r="E110" t="s">
        <v>25</v>
      </c>
      <c r="F110" t="s">
        <v>25</v>
      </c>
      <c r="G110" t="s">
        <v>25</v>
      </c>
    </row>
    <row r="111" spans="1:7" x14ac:dyDescent="0.25">
      <c r="A111" t="s">
        <v>1847</v>
      </c>
      <c r="B111" t="s">
        <v>25</v>
      </c>
      <c r="C111" t="s">
        <v>25</v>
      </c>
      <c r="D111" t="s">
        <v>25</v>
      </c>
      <c r="E111" t="s">
        <v>25</v>
      </c>
      <c r="F111" t="s">
        <v>25</v>
      </c>
      <c r="G111" t="s">
        <v>25</v>
      </c>
    </row>
    <row r="112" spans="1:7" x14ac:dyDescent="0.25">
      <c r="A112" t="s">
        <v>1850</v>
      </c>
      <c r="B112" t="s">
        <v>25</v>
      </c>
      <c r="C112" t="s">
        <v>25</v>
      </c>
      <c r="D112" t="s">
        <v>25</v>
      </c>
      <c r="E112" t="s">
        <v>25</v>
      </c>
      <c r="F112" t="s">
        <v>25</v>
      </c>
      <c r="G112" t="s">
        <v>25</v>
      </c>
    </row>
    <row r="113" spans="1:7" x14ac:dyDescent="0.25">
      <c r="A113" t="s">
        <v>1853</v>
      </c>
      <c r="B113" t="s">
        <v>25</v>
      </c>
      <c r="C113" t="s">
        <v>25</v>
      </c>
      <c r="D113" t="s">
        <v>25</v>
      </c>
      <c r="E113" t="s">
        <v>25</v>
      </c>
      <c r="F113" t="s">
        <v>25</v>
      </c>
      <c r="G113" t="s">
        <v>25</v>
      </c>
    </row>
    <row r="114" spans="1:7" x14ac:dyDescent="0.25">
      <c r="A114" t="s">
        <v>1856</v>
      </c>
      <c r="B114" t="s">
        <v>25</v>
      </c>
      <c r="C114" t="s">
        <v>25</v>
      </c>
      <c r="D114" t="s">
        <v>25</v>
      </c>
      <c r="E114" t="s">
        <v>25</v>
      </c>
      <c r="F114" t="s">
        <v>25</v>
      </c>
      <c r="G114" t="s">
        <v>25</v>
      </c>
    </row>
    <row r="115" spans="1:7" x14ac:dyDescent="0.25">
      <c r="A115" t="s">
        <v>1859</v>
      </c>
      <c r="B115" t="s">
        <v>25</v>
      </c>
      <c r="C115" t="s">
        <v>25</v>
      </c>
      <c r="D115" t="s">
        <v>25</v>
      </c>
      <c r="E115" t="s">
        <v>25</v>
      </c>
      <c r="F115" t="s">
        <v>25</v>
      </c>
      <c r="G115" t="s">
        <v>25</v>
      </c>
    </row>
    <row r="116" spans="1:7" x14ac:dyDescent="0.25">
      <c r="A116" t="s">
        <v>1862</v>
      </c>
      <c r="B116" t="s">
        <v>25</v>
      </c>
      <c r="C116" t="s">
        <v>25</v>
      </c>
      <c r="D116" t="s">
        <v>25</v>
      </c>
      <c r="E116" t="s">
        <v>25</v>
      </c>
      <c r="F116" t="s">
        <v>25</v>
      </c>
      <c r="G116" t="s">
        <v>25</v>
      </c>
    </row>
    <row r="117" spans="1:7" x14ac:dyDescent="0.25">
      <c r="A117" t="s">
        <v>1865</v>
      </c>
      <c r="B117" t="s">
        <v>25</v>
      </c>
      <c r="C117" t="s">
        <v>25</v>
      </c>
      <c r="D117" t="s">
        <v>25</v>
      </c>
      <c r="E117" t="s">
        <v>25</v>
      </c>
      <c r="F117" t="s">
        <v>25</v>
      </c>
      <c r="G117" t="s">
        <v>25</v>
      </c>
    </row>
    <row r="118" spans="1:7" x14ac:dyDescent="0.25">
      <c r="A118" t="s">
        <v>1868</v>
      </c>
      <c r="B118" t="s">
        <v>25</v>
      </c>
      <c r="C118" t="s">
        <v>25</v>
      </c>
      <c r="D118" t="s">
        <v>25</v>
      </c>
      <c r="E118" t="s">
        <v>25</v>
      </c>
      <c r="F118" t="s">
        <v>25</v>
      </c>
      <c r="G118" t="s">
        <v>25</v>
      </c>
    </row>
    <row r="119" spans="1:7" x14ac:dyDescent="0.25">
      <c r="A119" t="s">
        <v>1871</v>
      </c>
      <c r="B119" t="s">
        <v>25</v>
      </c>
      <c r="C119" t="s">
        <v>25</v>
      </c>
      <c r="D119" t="s">
        <v>25</v>
      </c>
      <c r="E119" t="s">
        <v>25</v>
      </c>
      <c r="F119" t="s">
        <v>25</v>
      </c>
      <c r="G119" t="s">
        <v>25</v>
      </c>
    </row>
    <row r="120" spans="1:7" x14ac:dyDescent="0.25">
      <c r="A120" t="s">
        <v>1874</v>
      </c>
      <c r="B120" t="s">
        <v>25</v>
      </c>
      <c r="C120" t="s">
        <v>25</v>
      </c>
      <c r="D120" t="s">
        <v>25</v>
      </c>
      <c r="E120" t="s">
        <v>25</v>
      </c>
      <c r="F120" t="s">
        <v>25</v>
      </c>
      <c r="G120" t="s">
        <v>25</v>
      </c>
    </row>
    <row r="121" spans="1:7" x14ac:dyDescent="0.25">
      <c r="A121" t="s">
        <v>1877</v>
      </c>
      <c r="B121" t="s">
        <v>25</v>
      </c>
      <c r="C121" t="s">
        <v>25</v>
      </c>
      <c r="D121" t="s">
        <v>25</v>
      </c>
      <c r="E121" t="s">
        <v>25</v>
      </c>
      <c r="F121" t="s">
        <v>25</v>
      </c>
      <c r="G121" t="s">
        <v>25</v>
      </c>
    </row>
    <row r="122" spans="1:7" x14ac:dyDescent="0.25">
      <c r="A122" t="s">
        <v>1880</v>
      </c>
      <c r="B122" t="s">
        <v>25</v>
      </c>
      <c r="C122" t="s">
        <v>25</v>
      </c>
      <c r="D122" t="s">
        <v>25</v>
      </c>
      <c r="E122" t="s">
        <v>25</v>
      </c>
      <c r="F122" t="s">
        <v>25</v>
      </c>
      <c r="G122" t="s">
        <v>25</v>
      </c>
    </row>
    <row r="123" spans="1:7" x14ac:dyDescent="0.25">
      <c r="A123" t="s">
        <v>1883</v>
      </c>
      <c r="B123" t="s">
        <v>25</v>
      </c>
      <c r="C123" t="s">
        <v>25</v>
      </c>
      <c r="D123" t="s">
        <v>25</v>
      </c>
      <c r="E123" t="s">
        <v>25</v>
      </c>
      <c r="F123" t="s">
        <v>25</v>
      </c>
      <c r="G123" t="s">
        <v>25</v>
      </c>
    </row>
    <row r="124" spans="1:7" x14ac:dyDescent="0.25">
      <c r="A124" t="s">
        <v>1886</v>
      </c>
      <c r="B124" t="s">
        <v>25</v>
      </c>
      <c r="C124" t="s">
        <v>25</v>
      </c>
      <c r="D124" t="s">
        <v>25</v>
      </c>
      <c r="E124" t="s">
        <v>25</v>
      </c>
      <c r="F124" t="s">
        <v>25</v>
      </c>
      <c r="G124" t="s">
        <v>25</v>
      </c>
    </row>
    <row r="125" spans="1:7" x14ac:dyDescent="0.25">
      <c r="A125" t="s">
        <v>1889</v>
      </c>
      <c r="B125" t="s">
        <v>25</v>
      </c>
      <c r="C125" t="s">
        <v>25</v>
      </c>
      <c r="D125" t="s">
        <v>25</v>
      </c>
      <c r="E125" t="s">
        <v>25</v>
      </c>
      <c r="F125" t="s">
        <v>25</v>
      </c>
      <c r="G125" t="s">
        <v>25</v>
      </c>
    </row>
    <row r="126" spans="1:7" x14ac:dyDescent="0.25">
      <c r="A126" t="s">
        <v>1892</v>
      </c>
      <c r="B126" t="s">
        <v>25</v>
      </c>
      <c r="C126" t="s">
        <v>25</v>
      </c>
      <c r="D126" t="s">
        <v>25</v>
      </c>
      <c r="E126" t="s">
        <v>25</v>
      </c>
      <c r="F126" t="s">
        <v>25</v>
      </c>
      <c r="G126" t="s">
        <v>25</v>
      </c>
    </row>
    <row r="127" spans="1:7" x14ac:dyDescent="0.25">
      <c r="A127" t="s">
        <v>1895</v>
      </c>
      <c r="B127" t="s">
        <v>25</v>
      </c>
      <c r="C127" t="s">
        <v>25</v>
      </c>
      <c r="D127" t="s">
        <v>25</v>
      </c>
      <c r="E127" t="s">
        <v>25</v>
      </c>
      <c r="F127" t="s">
        <v>25</v>
      </c>
      <c r="G127" t="s">
        <v>25</v>
      </c>
    </row>
    <row r="128" spans="1:7" x14ac:dyDescent="0.25">
      <c r="A128" t="s">
        <v>1898</v>
      </c>
      <c r="B128" t="s">
        <v>25</v>
      </c>
      <c r="C128" t="s">
        <v>25</v>
      </c>
      <c r="D128" t="s">
        <v>25</v>
      </c>
      <c r="E128" t="s">
        <v>25</v>
      </c>
      <c r="F128" t="s">
        <v>25</v>
      </c>
      <c r="G128" t="s">
        <v>25</v>
      </c>
    </row>
    <row r="129" spans="1:7" x14ac:dyDescent="0.25">
      <c r="A129" t="s">
        <v>1901</v>
      </c>
      <c r="B129" t="s">
        <v>25</v>
      </c>
      <c r="C129" t="s">
        <v>25</v>
      </c>
      <c r="D129" t="s">
        <v>25</v>
      </c>
      <c r="E129" t="s">
        <v>25</v>
      </c>
      <c r="F129" t="s">
        <v>25</v>
      </c>
      <c r="G129" t="s">
        <v>25</v>
      </c>
    </row>
    <row r="130" spans="1:7" x14ac:dyDescent="0.25">
      <c r="A130" t="s">
        <v>1904</v>
      </c>
      <c r="B130" t="s">
        <v>25</v>
      </c>
      <c r="C130" t="s">
        <v>25</v>
      </c>
      <c r="D130" t="s">
        <v>25</v>
      </c>
      <c r="E130" t="s">
        <v>25</v>
      </c>
      <c r="F130" t="s">
        <v>25</v>
      </c>
      <c r="G130" t="s">
        <v>25</v>
      </c>
    </row>
    <row r="131" spans="1:7" x14ac:dyDescent="0.25">
      <c r="A131" t="s">
        <v>1907</v>
      </c>
      <c r="B131" t="s">
        <v>25</v>
      </c>
      <c r="C131" t="s">
        <v>25</v>
      </c>
      <c r="D131" t="s">
        <v>25</v>
      </c>
      <c r="E131" t="s">
        <v>25</v>
      </c>
      <c r="F131" t="s">
        <v>25</v>
      </c>
      <c r="G131" t="s">
        <v>25</v>
      </c>
    </row>
    <row r="132" spans="1:7" x14ac:dyDescent="0.25">
      <c r="A132" t="s">
        <v>1910</v>
      </c>
      <c r="B132" t="s">
        <v>25</v>
      </c>
      <c r="C132" t="s">
        <v>25</v>
      </c>
      <c r="D132" t="s">
        <v>25</v>
      </c>
      <c r="E132" t="s">
        <v>25</v>
      </c>
      <c r="F132" t="s">
        <v>25</v>
      </c>
      <c r="G132" t="s">
        <v>25</v>
      </c>
    </row>
    <row r="133" spans="1:7" x14ac:dyDescent="0.25">
      <c r="A133" t="s">
        <v>1913</v>
      </c>
      <c r="B133" t="s">
        <v>25</v>
      </c>
      <c r="C133" t="s">
        <v>25</v>
      </c>
      <c r="D133" t="s">
        <v>25</v>
      </c>
      <c r="E133" t="s">
        <v>25</v>
      </c>
      <c r="F133" t="s">
        <v>25</v>
      </c>
      <c r="G133" t="s">
        <v>25</v>
      </c>
    </row>
    <row r="134" spans="1:7" x14ac:dyDescent="0.25">
      <c r="A134" t="s">
        <v>1916</v>
      </c>
      <c r="B134" t="s">
        <v>25</v>
      </c>
      <c r="C134" t="s">
        <v>25</v>
      </c>
      <c r="D134" t="s">
        <v>25</v>
      </c>
      <c r="E134" t="s">
        <v>25</v>
      </c>
      <c r="F134" t="s">
        <v>25</v>
      </c>
      <c r="G134" t="s">
        <v>25</v>
      </c>
    </row>
    <row r="135" spans="1:7" x14ac:dyDescent="0.25">
      <c r="A135" t="s">
        <v>1919</v>
      </c>
      <c r="B135" t="s">
        <v>25</v>
      </c>
      <c r="C135" t="s">
        <v>25</v>
      </c>
      <c r="D135" t="s">
        <v>25</v>
      </c>
      <c r="E135" t="s">
        <v>25</v>
      </c>
      <c r="F135" t="s">
        <v>25</v>
      </c>
      <c r="G135" t="s">
        <v>25</v>
      </c>
    </row>
    <row r="136" spans="1:7" x14ac:dyDescent="0.25">
      <c r="A136" t="s">
        <v>1922</v>
      </c>
      <c r="B136" t="s">
        <v>25</v>
      </c>
      <c r="C136" t="s">
        <v>25</v>
      </c>
      <c r="D136" t="s">
        <v>25</v>
      </c>
      <c r="E136" t="s">
        <v>25</v>
      </c>
      <c r="F136" t="s">
        <v>25</v>
      </c>
      <c r="G136" t="s">
        <v>25</v>
      </c>
    </row>
    <row r="137" spans="1:7" x14ac:dyDescent="0.25">
      <c r="A137" t="s">
        <v>1925</v>
      </c>
      <c r="B137" t="s">
        <v>25</v>
      </c>
      <c r="C137" t="s">
        <v>25</v>
      </c>
      <c r="D137" t="s">
        <v>25</v>
      </c>
      <c r="E137" t="s">
        <v>25</v>
      </c>
      <c r="F137" t="s">
        <v>25</v>
      </c>
      <c r="G137" t="s">
        <v>25</v>
      </c>
    </row>
    <row r="138" spans="1:7" x14ac:dyDescent="0.25">
      <c r="A138" t="s">
        <v>1928</v>
      </c>
      <c r="B138" t="s">
        <v>25</v>
      </c>
      <c r="C138" t="s">
        <v>25</v>
      </c>
      <c r="D138" t="s">
        <v>25</v>
      </c>
      <c r="E138" t="s">
        <v>25</v>
      </c>
      <c r="F138" t="s">
        <v>25</v>
      </c>
      <c r="G138" t="s">
        <v>25</v>
      </c>
    </row>
    <row r="139" spans="1:7" x14ac:dyDescent="0.25">
      <c r="A139" t="s">
        <v>1930</v>
      </c>
      <c r="B139" t="s">
        <v>25</v>
      </c>
      <c r="C139" t="s">
        <v>25</v>
      </c>
      <c r="D139" t="s">
        <v>25</v>
      </c>
      <c r="E139" t="s">
        <v>25</v>
      </c>
      <c r="F139" t="s">
        <v>25</v>
      </c>
      <c r="G139" t="s">
        <v>25</v>
      </c>
    </row>
    <row r="140" spans="1:7" x14ac:dyDescent="0.25">
      <c r="A140" t="s">
        <v>1933</v>
      </c>
      <c r="B140" t="s">
        <v>25</v>
      </c>
      <c r="C140" t="s">
        <v>25</v>
      </c>
      <c r="D140" t="s">
        <v>25</v>
      </c>
      <c r="E140" t="s">
        <v>25</v>
      </c>
      <c r="F140" t="s">
        <v>25</v>
      </c>
      <c r="G140" t="s">
        <v>25</v>
      </c>
    </row>
    <row r="141" spans="1:7" x14ac:dyDescent="0.25">
      <c r="A141" t="s">
        <v>1936</v>
      </c>
      <c r="B141" t="s">
        <v>25</v>
      </c>
      <c r="C141" t="s">
        <v>25</v>
      </c>
      <c r="D141" t="s">
        <v>25</v>
      </c>
      <c r="E141" t="s">
        <v>25</v>
      </c>
      <c r="F141" t="s">
        <v>25</v>
      </c>
      <c r="G141" t="s">
        <v>25</v>
      </c>
    </row>
    <row r="142" spans="1:7" x14ac:dyDescent="0.25">
      <c r="A142" t="s">
        <v>1939</v>
      </c>
      <c r="B142" t="s">
        <v>25</v>
      </c>
      <c r="C142" t="s">
        <v>25</v>
      </c>
      <c r="D142" t="s">
        <v>25</v>
      </c>
      <c r="E142" t="s">
        <v>25</v>
      </c>
      <c r="F142" t="s">
        <v>25</v>
      </c>
      <c r="G142" t="s">
        <v>25</v>
      </c>
    </row>
    <row r="143" spans="1:7" x14ac:dyDescent="0.25">
      <c r="A143" t="s">
        <v>1942</v>
      </c>
      <c r="B143" t="s">
        <v>25</v>
      </c>
      <c r="C143" t="s">
        <v>25</v>
      </c>
      <c r="D143" t="s">
        <v>25</v>
      </c>
      <c r="E143" t="s">
        <v>25</v>
      </c>
      <c r="F143" t="s">
        <v>25</v>
      </c>
      <c r="G143" t="s">
        <v>25</v>
      </c>
    </row>
    <row r="144" spans="1:7" x14ac:dyDescent="0.25">
      <c r="A144" t="s">
        <v>1945</v>
      </c>
      <c r="B144" t="s">
        <v>25</v>
      </c>
      <c r="C144" t="s">
        <v>25</v>
      </c>
      <c r="D144" t="s">
        <v>25</v>
      </c>
      <c r="E144" t="s">
        <v>25</v>
      </c>
      <c r="F144" t="s">
        <v>25</v>
      </c>
      <c r="G144" t="s">
        <v>25</v>
      </c>
    </row>
    <row r="145" spans="1:7" x14ac:dyDescent="0.25">
      <c r="A145" t="s">
        <v>1948</v>
      </c>
      <c r="B145" t="s">
        <v>25</v>
      </c>
      <c r="C145" t="s">
        <v>25</v>
      </c>
      <c r="D145" t="s">
        <v>25</v>
      </c>
      <c r="E145" t="s">
        <v>25</v>
      </c>
      <c r="F145" t="s">
        <v>25</v>
      </c>
      <c r="G145" t="s">
        <v>25</v>
      </c>
    </row>
    <row r="146" spans="1:7" x14ac:dyDescent="0.25">
      <c r="A146" t="s">
        <v>1951</v>
      </c>
      <c r="B146" t="s">
        <v>25</v>
      </c>
      <c r="C146" t="s">
        <v>25</v>
      </c>
      <c r="D146" t="s">
        <v>25</v>
      </c>
      <c r="E146" t="s">
        <v>25</v>
      </c>
      <c r="F146" t="s">
        <v>25</v>
      </c>
      <c r="G146" t="s">
        <v>25</v>
      </c>
    </row>
    <row r="147" spans="1:7" x14ac:dyDescent="0.25">
      <c r="A147" t="s">
        <v>1954</v>
      </c>
      <c r="B147" t="s">
        <v>25</v>
      </c>
      <c r="C147" t="s">
        <v>25</v>
      </c>
      <c r="D147" t="s">
        <v>25</v>
      </c>
      <c r="E147" t="s">
        <v>25</v>
      </c>
      <c r="F147" t="s">
        <v>25</v>
      </c>
      <c r="G147" t="s">
        <v>25</v>
      </c>
    </row>
    <row r="148" spans="1:7" x14ac:dyDescent="0.25">
      <c r="A148" t="s">
        <v>1957</v>
      </c>
      <c r="B148" t="s">
        <v>25</v>
      </c>
      <c r="C148" t="s">
        <v>25</v>
      </c>
      <c r="D148" t="s">
        <v>25</v>
      </c>
      <c r="E148" t="s">
        <v>25</v>
      </c>
      <c r="F148" t="s">
        <v>25</v>
      </c>
      <c r="G148" t="s">
        <v>25</v>
      </c>
    </row>
    <row r="149" spans="1:7" x14ac:dyDescent="0.25">
      <c r="A149" t="s">
        <v>1960</v>
      </c>
      <c r="B149" t="s">
        <v>25</v>
      </c>
      <c r="C149" t="s">
        <v>25</v>
      </c>
      <c r="D149" t="s">
        <v>25</v>
      </c>
      <c r="E149" t="s">
        <v>25</v>
      </c>
      <c r="F149" t="s">
        <v>25</v>
      </c>
      <c r="G149" t="s">
        <v>25</v>
      </c>
    </row>
    <row r="150" spans="1:7" x14ac:dyDescent="0.25">
      <c r="A150" t="s">
        <v>1963</v>
      </c>
      <c r="B150" t="s">
        <v>25</v>
      </c>
      <c r="C150" t="s">
        <v>25</v>
      </c>
      <c r="D150" t="s">
        <v>25</v>
      </c>
      <c r="E150" t="s">
        <v>25</v>
      </c>
      <c r="F150" t="s">
        <v>25</v>
      </c>
      <c r="G150" t="s">
        <v>25</v>
      </c>
    </row>
    <row r="151" spans="1:7" x14ac:dyDescent="0.25">
      <c r="A151" t="s">
        <v>1966</v>
      </c>
      <c r="B151" t="s">
        <v>25</v>
      </c>
      <c r="C151" t="s">
        <v>25</v>
      </c>
      <c r="D151" t="s">
        <v>25</v>
      </c>
      <c r="E151" t="s">
        <v>25</v>
      </c>
      <c r="F151" t="s">
        <v>25</v>
      </c>
      <c r="G151" t="s">
        <v>25</v>
      </c>
    </row>
    <row r="152" spans="1:7" x14ac:dyDescent="0.25">
      <c r="A152" t="s">
        <v>1969</v>
      </c>
      <c r="B152" t="s">
        <v>25</v>
      </c>
      <c r="C152" t="s">
        <v>25</v>
      </c>
      <c r="D152" t="s">
        <v>25</v>
      </c>
      <c r="E152" t="s">
        <v>25</v>
      </c>
      <c r="F152" t="s">
        <v>25</v>
      </c>
      <c r="G152" t="s">
        <v>25</v>
      </c>
    </row>
    <row r="153" spans="1:7" x14ac:dyDescent="0.25">
      <c r="A153" t="s">
        <v>1972</v>
      </c>
      <c r="B153" t="s">
        <v>25</v>
      </c>
      <c r="C153" t="s">
        <v>25</v>
      </c>
      <c r="D153" t="s">
        <v>25</v>
      </c>
      <c r="E153" t="s">
        <v>25</v>
      </c>
      <c r="F153" t="s">
        <v>25</v>
      </c>
      <c r="G153" t="s">
        <v>25</v>
      </c>
    </row>
    <row r="154" spans="1:7" x14ac:dyDescent="0.25">
      <c r="A154" t="s">
        <v>1975</v>
      </c>
      <c r="B154" t="s">
        <v>25</v>
      </c>
      <c r="C154" t="s">
        <v>25</v>
      </c>
      <c r="D154" t="s">
        <v>25</v>
      </c>
      <c r="E154" t="s">
        <v>25</v>
      </c>
      <c r="F154" t="s">
        <v>25</v>
      </c>
      <c r="G154" t="s">
        <v>25</v>
      </c>
    </row>
    <row r="155" spans="1:7" x14ac:dyDescent="0.25">
      <c r="A155" t="s">
        <v>1978</v>
      </c>
      <c r="B155" t="s">
        <v>25</v>
      </c>
      <c r="C155" t="s">
        <v>25</v>
      </c>
      <c r="D155" t="s">
        <v>25</v>
      </c>
      <c r="E155" t="s">
        <v>25</v>
      </c>
      <c r="F155" t="s">
        <v>25</v>
      </c>
      <c r="G155" t="s">
        <v>25</v>
      </c>
    </row>
    <row r="156" spans="1:7" x14ac:dyDescent="0.25">
      <c r="A156" t="s">
        <v>1981</v>
      </c>
      <c r="B156" t="s">
        <v>25</v>
      </c>
      <c r="C156" t="s">
        <v>25</v>
      </c>
      <c r="D156" t="s">
        <v>25</v>
      </c>
      <c r="E156" t="s">
        <v>25</v>
      </c>
      <c r="F156" t="s">
        <v>25</v>
      </c>
      <c r="G156" t="s">
        <v>25</v>
      </c>
    </row>
    <row r="157" spans="1:7" x14ac:dyDescent="0.25">
      <c r="A157" t="s">
        <v>1984</v>
      </c>
      <c r="B157" t="s">
        <v>25</v>
      </c>
      <c r="C157" t="s">
        <v>25</v>
      </c>
      <c r="D157" t="s">
        <v>25</v>
      </c>
      <c r="E157" t="s">
        <v>25</v>
      </c>
      <c r="F157" t="s">
        <v>25</v>
      </c>
      <c r="G157" t="s">
        <v>25</v>
      </c>
    </row>
    <row r="158" spans="1:7" x14ac:dyDescent="0.25">
      <c r="A158" t="s">
        <v>1987</v>
      </c>
      <c r="B158" t="s">
        <v>25</v>
      </c>
      <c r="C158" t="s">
        <v>25</v>
      </c>
      <c r="D158" t="s">
        <v>25</v>
      </c>
      <c r="E158" t="s">
        <v>25</v>
      </c>
      <c r="F158" t="s">
        <v>25</v>
      </c>
      <c r="G158" t="s">
        <v>25</v>
      </c>
    </row>
    <row r="159" spans="1:7" x14ac:dyDescent="0.25">
      <c r="A159" t="s">
        <v>1990</v>
      </c>
      <c r="B159" t="s">
        <v>25</v>
      </c>
      <c r="C159" t="s">
        <v>25</v>
      </c>
      <c r="D159" t="s">
        <v>25</v>
      </c>
      <c r="E159" t="s">
        <v>25</v>
      </c>
      <c r="F159" t="s">
        <v>25</v>
      </c>
      <c r="G159" t="s">
        <v>25</v>
      </c>
    </row>
    <row r="160" spans="1:7" x14ac:dyDescent="0.25">
      <c r="A160" t="s">
        <v>1993</v>
      </c>
      <c r="B160" t="s">
        <v>25</v>
      </c>
      <c r="C160" t="s">
        <v>25</v>
      </c>
      <c r="D160" t="s">
        <v>25</v>
      </c>
      <c r="E160" t="s">
        <v>25</v>
      </c>
      <c r="F160" t="s">
        <v>25</v>
      </c>
      <c r="G160" t="s">
        <v>25</v>
      </c>
    </row>
    <row r="161" spans="1:7" x14ac:dyDescent="0.25">
      <c r="A161" t="s">
        <v>1996</v>
      </c>
      <c r="B161" t="s">
        <v>25</v>
      </c>
      <c r="C161" t="s">
        <v>25</v>
      </c>
      <c r="D161" t="s">
        <v>25</v>
      </c>
      <c r="E161" t="s">
        <v>25</v>
      </c>
      <c r="F161" t="s">
        <v>25</v>
      </c>
      <c r="G161" t="s">
        <v>25</v>
      </c>
    </row>
    <row r="162" spans="1:7" x14ac:dyDescent="0.25">
      <c r="A162" t="s">
        <v>1999</v>
      </c>
      <c r="B162" t="s">
        <v>25</v>
      </c>
      <c r="C162" t="s">
        <v>25</v>
      </c>
      <c r="D162" t="s">
        <v>25</v>
      </c>
      <c r="E162" t="s">
        <v>25</v>
      </c>
      <c r="F162" t="s">
        <v>25</v>
      </c>
      <c r="G162" t="s">
        <v>25</v>
      </c>
    </row>
    <row r="163" spans="1:7" x14ac:dyDescent="0.25">
      <c r="A163" t="s">
        <v>2002</v>
      </c>
      <c r="B163" t="s">
        <v>25</v>
      </c>
      <c r="C163" t="s">
        <v>25</v>
      </c>
      <c r="D163" t="s">
        <v>25</v>
      </c>
      <c r="E163" t="s">
        <v>25</v>
      </c>
      <c r="F163" t="s">
        <v>25</v>
      </c>
      <c r="G163" t="s">
        <v>25</v>
      </c>
    </row>
    <row r="164" spans="1:7" x14ac:dyDescent="0.25">
      <c r="A164" t="s">
        <v>2005</v>
      </c>
      <c r="B164" t="s">
        <v>25</v>
      </c>
      <c r="C164" t="s">
        <v>25</v>
      </c>
      <c r="D164" t="s">
        <v>25</v>
      </c>
      <c r="E164" t="s">
        <v>25</v>
      </c>
      <c r="F164" t="s">
        <v>25</v>
      </c>
      <c r="G164" t="s">
        <v>25</v>
      </c>
    </row>
    <row r="165" spans="1:7" x14ac:dyDescent="0.25">
      <c r="A165" t="s">
        <v>2008</v>
      </c>
      <c r="B165" t="s">
        <v>25</v>
      </c>
      <c r="C165" t="s">
        <v>25</v>
      </c>
      <c r="D165" t="s">
        <v>25</v>
      </c>
      <c r="E165" t="s">
        <v>25</v>
      </c>
      <c r="F165" t="s">
        <v>25</v>
      </c>
      <c r="G165" t="s">
        <v>25</v>
      </c>
    </row>
    <row r="166" spans="1:7" x14ac:dyDescent="0.25">
      <c r="A166" t="s">
        <v>2011</v>
      </c>
      <c r="B166" t="s">
        <v>25</v>
      </c>
      <c r="C166" t="s">
        <v>25</v>
      </c>
      <c r="D166" t="s">
        <v>25</v>
      </c>
      <c r="E166" t="s">
        <v>25</v>
      </c>
      <c r="F166" t="s">
        <v>25</v>
      </c>
      <c r="G166" t="s">
        <v>25</v>
      </c>
    </row>
    <row r="167" spans="1:7" x14ac:dyDescent="0.25">
      <c r="A167" t="s">
        <v>2014</v>
      </c>
      <c r="B167" t="s">
        <v>25</v>
      </c>
      <c r="C167" t="s">
        <v>25</v>
      </c>
      <c r="D167" t="s">
        <v>25</v>
      </c>
      <c r="E167" t="s">
        <v>25</v>
      </c>
      <c r="F167" t="s">
        <v>25</v>
      </c>
      <c r="G167" t="s">
        <v>25</v>
      </c>
    </row>
    <row r="168" spans="1:7" x14ac:dyDescent="0.25">
      <c r="A168" t="s">
        <v>2017</v>
      </c>
      <c r="B168" t="s">
        <v>25</v>
      </c>
      <c r="C168" t="s">
        <v>25</v>
      </c>
      <c r="D168" t="s">
        <v>25</v>
      </c>
      <c r="E168" t="s">
        <v>25</v>
      </c>
      <c r="F168" t="s">
        <v>25</v>
      </c>
      <c r="G168" t="s">
        <v>25</v>
      </c>
    </row>
    <row r="169" spans="1:7" x14ac:dyDescent="0.25">
      <c r="A169" t="s">
        <v>2020</v>
      </c>
      <c r="B169" t="s">
        <v>25</v>
      </c>
      <c r="C169" t="s">
        <v>25</v>
      </c>
      <c r="D169" t="s">
        <v>25</v>
      </c>
      <c r="E169" t="s">
        <v>25</v>
      </c>
      <c r="F169" t="s">
        <v>25</v>
      </c>
      <c r="G169" t="s">
        <v>25</v>
      </c>
    </row>
    <row r="170" spans="1:7" x14ac:dyDescent="0.25">
      <c r="A170" t="s">
        <v>189</v>
      </c>
      <c r="B170" t="s">
        <v>25</v>
      </c>
      <c r="C170" t="s">
        <v>25</v>
      </c>
      <c r="D170" t="s">
        <v>165</v>
      </c>
      <c r="E170" t="s">
        <v>165</v>
      </c>
      <c r="F170" t="s">
        <v>165</v>
      </c>
      <c r="G170" t="s">
        <v>25</v>
      </c>
    </row>
    <row r="171" spans="1:7" x14ac:dyDescent="0.25">
      <c r="A171" t="s">
        <v>1647</v>
      </c>
      <c r="B171" t="s">
        <v>25</v>
      </c>
      <c r="C171" t="s">
        <v>25</v>
      </c>
      <c r="D171" t="s">
        <v>25</v>
      </c>
      <c r="E171" t="s">
        <v>25</v>
      </c>
      <c r="F171" t="s">
        <v>25</v>
      </c>
      <c r="G171" t="s">
        <v>25</v>
      </c>
    </row>
    <row r="172" spans="1:7" x14ac:dyDescent="0.25">
      <c r="A172" t="s">
        <v>2023</v>
      </c>
      <c r="B172" t="s">
        <v>25</v>
      </c>
      <c r="C172" t="s">
        <v>25</v>
      </c>
      <c r="D172" t="s">
        <v>25</v>
      </c>
      <c r="E172" t="s">
        <v>25</v>
      </c>
      <c r="F172" t="s">
        <v>25</v>
      </c>
      <c r="G172" t="s">
        <v>25</v>
      </c>
    </row>
    <row r="173" spans="1:7" x14ac:dyDescent="0.25">
      <c r="A173" t="s">
        <v>2026</v>
      </c>
      <c r="B173" t="s">
        <v>25</v>
      </c>
      <c r="C173" t="s">
        <v>25</v>
      </c>
      <c r="D173" t="s">
        <v>25</v>
      </c>
      <c r="E173" t="s">
        <v>25</v>
      </c>
      <c r="F173" t="s">
        <v>25</v>
      </c>
      <c r="G173" t="s">
        <v>25</v>
      </c>
    </row>
    <row r="174" spans="1:7" x14ac:dyDescent="0.25">
      <c r="A174" t="s">
        <v>2029</v>
      </c>
      <c r="B174" t="s">
        <v>25</v>
      </c>
      <c r="C174" t="s">
        <v>25</v>
      </c>
      <c r="D174" t="s">
        <v>25</v>
      </c>
      <c r="E174" t="s">
        <v>25</v>
      </c>
      <c r="F174" t="s">
        <v>25</v>
      </c>
      <c r="G174" t="s">
        <v>25</v>
      </c>
    </row>
    <row r="175" spans="1:7" x14ac:dyDescent="0.25">
      <c r="A175" t="s">
        <v>2032</v>
      </c>
      <c r="B175" t="s">
        <v>25</v>
      </c>
      <c r="C175" t="s">
        <v>25</v>
      </c>
      <c r="D175" t="s">
        <v>25</v>
      </c>
      <c r="E175" t="s">
        <v>25</v>
      </c>
      <c r="F175" t="s">
        <v>25</v>
      </c>
      <c r="G175" t="s">
        <v>25</v>
      </c>
    </row>
    <row r="176" spans="1:7" x14ac:dyDescent="0.25">
      <c r="A176" t="s">
        <v>2035</v>
      </c>
      <c r="B176" t="s">
        <v>25</v>
      </c>
      <c r="C176" t="s">
        <v>25</v>
      </c>
      <c r="D176" t="s">
        <v>25</v>
      </c>
      <c r="E176" t="s">
        <v>25</v>
      </c>
      <c r="F176" t="s">
        <v>25</v>
      </c>
      <c r="G176" t="s">
        <v>25</v>
      </c>
    </row>
    <row r="177" spans="1:7" x14ac:dyDescent="0.25">
      <c r="A177" t="s">
        <v>2038</v>
      </c>
      <c r="B177" t="s">
        <v>25</v>
      </c>
      <c r="C177" t="s">
        <v>25</v>
      </c>
      <c r="D177" t="s">
        <v>25</v>
      </c>
      <c r="E177" t="s">
        <v>25</v>
      </c>
      <c r="F177" t="s">
        <v>25</v>
      </c>
      <c r="G177" t="s">
        <v>25</v>
      </c>
    </row>
    <row r="178" spans="1:7" x14ac:dyDescent="0.25">
      <c r="A178" t="s">
        <v>2041</v>
      </c>
      <c r="B178" t="s">
        <v>25</v>
      </c>
      <c r="C178" t="s">
        <v>25</v>
      </c>
      <c r="D178" t="s">
        <v>25</v>
      </c>
      <c r="E178" t="s">
        <v>25</v>
      </c>
      <c r="F178" t="s">
        <v>25</v>
      </c>
      <c r="G178" t="s">
        <v>25</v>
      </c>
    </row>
    <row r="179" spans="1:7" x14ac:dyDescent="0.25">
      <c r="A179" t="s">
        <v>2044</v>
      </c>
      <c r="B179" t="s">
        <v>25</v>
      </c>
      <c r="C179" t="s">
        <v>25</v>
      </c>
      <c r="D179" t="s">
        <v>25</v>
      </c>
      <c r="E179" t="s">
        <v>25</v>
      </c>
      <c r="F179" t="s">
        <v>25</v>
      </c>
      <c r="G179" t="s">
        <v>25</v>
      </c>
    </row>
    <row r="180" spans="1:7" x14ac:dyDescent="0.25">
      <c r="A180" t="s">
        <v>2047</v>
      </c>
      <c r="B180" t="s">
        <v>25</v>
      </c>
      <c r="C180" t="s">
        <v>25</v>
      </c>
      <c r="D180" t="s">
        <v>25</v>
      </c>
      <c r="E180" t="s">
        <v>25</v>
      </c>
      <c r="F180" t="s">
        <v>25</v>
      </c>
      <c r="G180" t="s">
        <v>25</v>
      </c>
    </row>
    <row r="181" spans="1:7" x14ac:dyDescent="0.25">
      <c r="A181" t="s">
        <v>2050</v>
      </c>
      <c r="B181" t="s">
        <v>25</v>
      </c>
      <c r="C181" t="s">
        <v>25</v>
      </c>
      <c r="D181" t="s">
        <v>25</v>
      </c>
      <c r="E181" t="s">
        <v>25</v>
      </c>
      <c r="F181" t="s">
        <v>25</v>
      </c>
      <c r="G181" t="s">
        <v>25</v>
      </c>
    </row>
    <row r="182" spans="1:7" x14ac:dyDescent="0.25">
      <c r="A182" t="s">
        <v>2053</v>
      </c>
      <c r="B182" t="s">
        <v>25</v>
      </c>
      <c r="C182" t="s">
        <v>25</v>
      </c>
      <c r="D182" t="s">
        <v>25</v>
      </c>
      <c r="E182" t="s">
        <v>25</v>
      </c>
      <c r="F182" t="s">
        <v>25</v>
      </c>
      <c r="G182" t="s">
        <v>25</v>
      </c>
    </row>
    <row r="183" spans="1:7" x14ac:dyDescent="0.25">
      <c r="A183" t="s">
        <v>2056</v>
      </c>
      <c r="B183" t="s">
        <v>25</v>
      </c>
      <c r="C183" t="s">
        <v>25</v>
      </c>
      <c r="D183" t="s">
        <v>25</v>
      </c>
      <c r="E183" t="s">
        <v>25</v>
      </c>
      <c r="F183" t="s">
        <v>25</v>
      </c>
      <c r="G183" t="s">
        <v>25</v>
      </c>
    </row>
    <row r="184" spans="1:7" x14ac:dyDescent="0.25">
      <c r="A184" t="s">
        <v>2059</v>
      </c>
      <c r="B184" t="s">
        <v>25</v>
      </c>
      <c r="C184" t="s">
        <v>25</v>
      </c>
      <c r="D184" t="s">
        <v>25</v>
      </c>
      <c r="E184" t="s">
        <v>25</v>
      </c>
      <c r="F184" t="s">
        <v>25</v>
      </c>
      <c r="G184" t="s">
        <v>25</v>
      </c>
    </row>
    <row r="185" spans="1:7" x14ac:dyDescent="0.25">
      <c r="A185" t="s">
        <v>2062</v>
      </c>
      <c r="B185" t="s">
        <v>25</v>
      </c>
      <c r="C185" t="s">
        <v>25</v>
      </c>
      <c r="D185" t="s">
        <v>25</v>
      </c>
      <c r="E185" t="s">
        <v>25</v>
      </c>
      <c r="F185" t="s">
        <v>25</v>
      </c>
      <c r="G185" t="s">
        <v>25</v>
      </c>
    </row>
    <row r="186" spans="1:7" x14ac:dyDescent="0.25">
      <c r="A186" t="s">
        <v>2065</v>
      </c>
      <c r="B186" t="s">
        <v>25</v>
      </c>
      <c r="C186" t="s">
        <v>25</v>
      </c>
      <c r="D186" t="s">
        <v>25</v>
      </c>
      <c r="E186" t="s">
        <v>25</v>
      </c>
      <c r="F186" t="s">
        <v>25</v>
      </c>
      <c r="G186" t="s">
        <v>25</v>
      </c>
    </row>
    <row r="187" spans="1:7" x14ac:dyDescent="0.25">
      <c r="A187" t="s">
        <v>2068</v>
      </c>
      <c r="B187" t="s">
        <v>25</v>
      </c>
      <c r="C187" t="s">
        <v>25</v>
      </c>
      <c r="D187" t="s">
        <v>25</v>
      </c>
      <c r="E187" t="s">
        <v>25</v>
      </c>
      <c r="F187" t="s">
        <v>25</v>
      </c>
      <c r="G187" t="s">
        <v>25</v>
      </c>
    </row>
    <row r="188" spans="1:7" x14ac:dyDescent="0.25">
      <c r="A188" t="s">
        <v>2071</v>
      </c>
      <c r="B188" t="s">
        <v>25</v>
      </c>
      <c r="C188" t="s">
        <v>25</v>
      </c>
      <c r="D188" t="s">
        <v>25</v>
      </c>
      <c r="E188" t="s">
        <v>25</v>
      </c>
      <c r="F188" t="s">
        <v>25</v>
      </c>
      <c r="G188" t="s">
        <v>25</v>
      </c>
    </row>
    <row r="189" spans="1:7" x14ac:dyDescent="0.25">
      <c r="A189" t="s">
        <v>2074</v>
      </c>
      <c r="B189" t="s">
        <v>25</v>
      </c>
      <c r="C189" t="s">
        <v>25</v>
      </c>
      <c r="D189" t="s">
        <v>25</v>
      </c>
      <c r="E189" t="s">
        <v>25</v>
      </c>
      <c r="F189" t="s">
        <v>25</v>
      </c>
      <c r="G189" t="s">
        <v>25</v>
      </c>
    </row>
    <row r="190" spans="1:7" x14ac:dyDescent="0.25">
      <c r="A190" t="s">
        <v>2077</v>
      </c>
      <c r="B190" t="s">
        <v>25</v>
      </c>
      <c r="C190" t="s">
        <v>25</v>
      </c>
      <c r="D190" t="s">
        <v>25</v>
      </c>
      <c r="E190" t="s">
        <v>25</v>
      </c>
      <c r="F190" t="s">
        <v>25</v>
      </c>
      <c r="G190" t="s">
        <v>25</v>
      </c>
    </row>
    <row r="191" spans="1:7" x14ac:dyDescent="0.25">
      <c r="A191" t="s">
        <v>2080</v>
      </c>
      <c r="B191" t="s">
        <v>25</v>
      </c>
      <c r="C191" t="s">
        <v>25</v>
      </c>
      <c r="D191" t="s">
        <v>25</v>
      </c>
      <c r="E191" t="s">
        <v>25</v>
      </c>
      <c r="F191" t="s">
        <v>25</v>
      </c>
      <c r="G191" t="s">
        <v>25</v>
      </c>
    </row>
    <row r="192" spans="1:7" x14ac:dyDescent="0.25">
      <c r="A192" t="s">
        <v>2083</v>
      </c>
      <c r="B192" t="s">
        <v>25</v>
      </c>
      <c r="C192" t="s">
        <v>25</v>
      </c>
      <c r="D192" t="s">
        <v>25</v>
      </c>
      <c r="E192" t="s">
        <v>25</v>
      </c>
      <c r="F192" t="s">
        <v>25</v>
      </c>
      <c r="G192" t="s">
        <v>25</v>
      </c>
    </row>
    <row r="193" spans="1:7" x14ac:dyDescent="0.25">
      <c r="A193" t="s">
        <v>2086</v>
      </c>
      <c r="B193" t="s">
        <v>25</v>
      </c>
      <c r="C193" t="s">
        <v>25</v>
      </c>
      <c r="D193" t="s">
        <v>25</v>
      </c>
      <c r="E193" t="s">
        <v>25</v>
      </c>
      <c r="F193" t="s">
        <v>25</v>
      </c>
      <c r="G193" t="s">
        <v>25</v>
      </c>
    </row>
    <row r="194" spans="1:7" x14ac:dyDescent="0.25">
      <c r="A194" t="s">
        <v>2089</v>
      </c>
      <c r="B194" t="s">
        <v>25</v>
      </c>
      <c r="C194" t="s">
        <v>25</v>
      </c>
      <c r="D194" t="s">
        <v>25</v>
      </c>
      <c r="E194" t="s">
        <v>25</v>
      </c>
      <c r="F194" t="s">
        <v>25</v>
      </c>
      <c r="G194" t="s">
        <v>25</v>
      </c>
    </row>
    <row r="195" spans="1:7" x14ac:dyDescent="0.25">
      <c r="A195" t="s">
        <v>2092</v>
      </c>
      <c r="B195" t="s">
        <v>25</v>
      </c>
      <c r="C195" t="s">
        <v>25</v>
      </c>
      <c r="D195" t="s">
        <v>25</v>
      </c>
      <c r="E195" t="s">
        <v>25</v>
      </c>
      <c r="F195" t="s">
        <v>25</v>
      </c>
      <c r="G195" t="s">
        <v>25</v>
      </c>
    </row>
    <row r="196" spans="1:7" x14ac:dyDescent="0.25">
      <c r="A196" t="s">
        <v>2095</v>
      </c>
      <c r="B196" t="s">
        <v>25</v>
      </c>
      <c r="C196" t="s">
        <v>25</v>
      </c>
      <c r="D196" t="s">
        <v>25</v>
      </c>
      <c r="E196" t="s">
        <v>25</v>
      </c>
      <c r="F196" t="s">
        <v>25</v>
      </c>
      <c r="G196" t="s">
        <v>25</v>
      </c>
    </row>
    <row r="197" spans="1:7" x14ac:dyDescent="0.25">
      <c r="A197" t="s">
        <v>2098</v>
      </c>
      <c r="B197" t="s">
        <v>25</v>
      </c>
      <c r="C197" t="s">
        <v>25</v>
      </c>
      <c r="D197" t="s">
        <v>25</v>
      </c>
      <c r="E197" t="s">
        <v>25</v>
      </c>
      <c r="F197" t="s">
        <v>25</v>
      </c>
      <c r="G197" t="s">
        <v>25</v>
      </c>
    </row>
    <row r="198" spans="1:7" x14ac:dyDescent="0.25">
      <c r="A198" t="s">
        <v>2101</v>
      </c>
      <c r="B198" t="s">
        <v>25</v>
      </c>
      <c r="C198" t="s">
        <v>25</v>
      </c>
      <c r="D198" t="s">
        <v>25</v>
      </c>
      <c r="E198" t="s">
        <v>25</v>
      </c>
      <c r="F198" t="s">
        <v>25</v>
      </c>
      <c r="G198" t="s">
        <v>25</v>
      </c>
    </row>
    <row r="199" spans="1:7" x14ac:dyDescent="0.25">
      <c r="A199" t="s">
        <v>2104</v>
      </c>
      <c r="B199" t="s">
        <v>25</v>
      </c>
      <c r="C199" t="s">
        <v>25</v>
      </c>
      <c r="D199" t="s">
        <v>25</v>
      </c>
      <c r="E199" t="s">
        <v>25</v>
      </c>
      <c r="F199" t="s">
        <v>25</v>
      </c>
      <c r="G199" t="s">
        <v>25</v>
      </c>
    </row>
    <row r="200" spans="1:7" x14ac:dyDescent="0.25">
      <c r="A200" t="s">
        <v>2107</v>
      </c>
      <c r="B200" t="s">
        <v>25</v>
      </c>
      <c r="C200" t="s">
        <v>25</v>
      </c>
      <c r="D200" t="s">
        <v>25</v>
      </c>
      <c r="E200" t="s">
        <v>25</v>
      </c>
      <c r="F200" t="s">
        <v>25</v>
      </c>
      <c r="G200" t="s">
        <v>25</v>
      </c>
    </row>
    <row r="201" spans="1:7" x14ac:dyDescent="0.25">
      <c r="A201" t="s">
        <v>2110</v>
      </c>
      <c r="B201" t="s">
        <v>25</v>
      </c>
      <c r="C201" t="s">
        <v>25</v>
      </c>
      <c r="D201" t="s">
        <v>25</v>
      </c>
      <c r="E201" t="s">
        <v>25</v>
      </c>
      <c r="F201" t="s">
        <v>25</v>
      </c>
      <c r="G201" t="s">
        <v>25</v>
      </c>
    </row>
    <row r="202" spans="1:7" x14ac:dyDescent="0.25">
      <c r="A202" t="s">
        <v>2113</v>
      </c>
      <c r="B202" t="s">
        <v>25</v>
      </c>
      <c r="C202" t="s">
        <v>25</v>
      </c>
      <c r="D202" t="s">
        <v>25</v>
      </c>
      <c r="E202" t="s">
        <v>25</v>
      </c>
      <c r="F202" t="s">
        <v>25</v>
      </c>
      <c r="G202" t="s">
        <v>25</v>
      </c>
    </row>
    <row r="203" spans="1:7" x14ac:dyDescent="0.25">
      <c r="A203" t="s">
        <v>2115</v>
      </c>
      <c r="B203" t="s">
        <v>25</v>
      </c>
      <c r="C203" t="s">
        <v>25</v>
      </c>
      <c r="D203" t="s">
        <v>25</v>
      </c>
      <c r="E203" t="s">
        <v>25</v>
      </c>
      <c r="F203" t="s">
        <v>25</v>
      </c>
      <c r="G203" t="s">
        <v>25</v>
      </c>
    </row>
    <row r="204" spans="1:7" x14ac:dyDescent="0.25">
      <c r="A204" t="s">
        <v>2118</v>
      </c>
      <c r="B204" t="s">
        <v>25</v>
      </c>
      <c r="C204" t="s">
        <v>25</v>
      </c>
      <c r="D204" t="s">
        <v>25</v>
      </c>
      <c r="E204" t="s">
        <v>25</v>
      </c>
      <c r="F204" t="s">
        <v>25</v>
      </c>
      <c r="G204" t="s">
        <v>25</v>
      </c>
    </row>
    <row r="205" spans="1:7" x14ac:dyDescent="0.25">
      <c r="A205" t="s">
        <v>2121</v>
      </c>
      <c r="B205" t="s">
        <v>25</v>
      </c>
      <c r="C205" t="s">
        <v>25</v>
      </c>
      <c r="D205" t="s">
        <v>25</v>
      </c>
      <c r="E205" t="s">
        <v>25</v>
      </c>
      <c r="F205" t="s">
        <v>25</v>
      </c>
      <c r="G205" t="s">
        <v>25</v>
      </c>
    </row>
    <row r="206" spans="1:7" x14ac:dyDescent="0.25">
      <c r="A206" t="s">
        <v>2124</v>
      </c>
      <c r="B206" t="s">
        <v>25</v>
      </c>
      <c r="C206" t="s">
        <v>25</v>
      </c>
      <c r="D206" t="s">
        <v>25</v>
      </c>
      <c r="E206" t="s">
        <v>25</v>
      </c>
      <c r="F206" t="s">
        <v>25</v>
      </c>
      <c r="G206" t="s">
        <v>25</v>
      </c>
    </row>
    <row r="207" spans="1:7" x14ac:dyDescent="0.25">
      <c r="A207" t="s">
        <v>2127</v>
      </c>
      <c r="B207" t="s">
        <v>25</v>
      </c>
      <c r="C207" t="s">
        <v>25</v>
      </c>
      <c r="D207" t="s">
        <v>25</v>
      </c>
      <c r="E207" t="s">
        <v>25</v>
      </c>
      <c r="F207" t="s">
        <v>25</v>
      </c>
      <c r="G207" t="s">
        <v>25</v>
      </c>
    </row>
    <row r="208" spans="1:7" x14ac:dyDescent="0.25">
      <c r="A208" t="s">
        <v>2130</v>
      </c>
      <c r="B208" t="s">
        <v>25</v>
      </c>
      <c r="C208" t="s">
        <v>25</v>
      </c>
      <c r="D208" t="s">
        <v>25</v>
      </c>
      <c r="E208" t="s">
        <v>25</v>
      </c>
      <c r="F208" t="s">
        <v>25</v>
      </c>
      <c r="G208" t="s">
        <v>25</v>
      </c>
    </row>
    <row r="209" spans="1:7" x14ac:dyDescent="0.25">
      <c r="A209" t="s">
        <v>2133</v>
      </c>
      <c r="B209" t="s">
        <v>25</v>
      </c>
      <c r="C209" t="s">
        <v>25</v>
      </c>
      <c r="D209" t="s">
        <v>25</v>
      </c>
      <c r="E209" t="s">
        <v>25</v>
      </c>
      <c r="F209" t="s">
        <v>25</v>
      </c>
      <c r="G209" t="s">
        <v>25</v>
      </c>
    </row>
    <row r="210" spans="1:7" x14ac:dyDescent="0.25">
      <c r="A210" t="s">
        <v>2136</v>
      </c>
      <c r="B210" t="s">
        <v>25</v>
      </c>
      <c r="C210" t="s">
        <v>25</v>
      </c>
      <c r="D210" t="s">
        <v>25</v>
      </c>
      <c r="E210" t="s">
        <v>25</v>
      </c>
      <c r="F210" t="s">
        <v>25</v>
      </c>
      <c r="G210" t="s">
        <v>25</v>
      </c>
    </row>
    <row r="211" spans="1:7" x14ac:dyDescent="0.25">
      <c r="A211" t="s">
        <v>2139</v>
      </c>
      <c r="B211" t="s">
        <v>25</v>
      </c>
      <c r="C211" t="s">
        <v>25</v>
      </c>
      <c r="D211" t="s">
        <v>25</v>
      </c>
      <c r="E211" t="s">
        <v>25</v>
      </c>
      <c r="F211" t="s">
        <v>25</v>
      </c>
      <c r="G211" t="s">
        <v>25</v>
      </c>
    </row>
    <row r="212" spans="1:7" x14ac:dyDescent="0.25">
      <c r="A212" t="s">
        <v>2142</v>
      </c>
      <c r="B212" t="s">
        <v>25</v>
      </c>
      <c r="C212" t="s">
        <v>25</v>
      </c>
      <c r="D212" t="s">
        <v>25</v>
      </c>
      <c r="E212" t="s">
        <v>25</v>
      </c>
      <c r="F212" t="s">
        <v>25</v>
      </c>
      <c r="G212" t="s">
        <v>25</v>
      </c>
    </row>
    <row r="213" spans="1:7" x14ac:dyDescent="0.25">
      <c r="A213" t="s">
        <v>2145</v>
      </c>
      <c r="B213" t="s">
        <v>25</v>
      </c>
      <c r="C213" t="s">
        <v>25</v>
      </c>
      <c r="D213" t="s">
        <v>25</v>
      </c>
      <c r="E213" t="s">
        <v>25</v>
      </c>
      <c r="F213" t="s">
        <v>25</v>
      </c>
      <c r="G213" t="s">
        <v>25</v>
      </c>
    </row>
    <row r="214" spans="1:7" x14ac:dyDescent="0.25">
      <c r="A214" t="s">
        <v>2148</v>
      </c>
      <c r="B214" t="s">
        <v>25</v>
      </c>
      <c r="C214" t="s">
        <v>25</v>
      </c>
      <c r="D214" t="s">
        <v>25</v>
      </c>
      <c r="E214" t="s">
        <v>25</v>
      </c>
      <c r="F214" t="s">
        <v>25</v>
      </c>
      <c r="G214" t="s">
        <v>25</v>
      </c>
    </row>
    <row r="215" spans="1:7" x14ac:dyDescent="0.25">
      <c r="A215" t="s">
        <v>2151</v>
      </c>
      <c r="B215" t="s">
        <v>25</v>
      </c>
      <c r="C215" t="s">
        <v>25</v>
      </c>
      <c r="D215" t="s">
        <v>25</v>
      </c>
      <c r="E215" t="s">
        <v>25</v>
      </c>
      <c r="F215" t="s">
        <v>25</v>
      </c>
      <c r="G215" t="s">
        <v>25</v>
      </c>
    </row>
    <row r="216" spans="1:7" x14ac:dyDescent="0.25">
      <c r="A216" t="s">
        <v>2154</v>
      </c>
      <c r="B216" t="s">
        <v>25</v>
      </c>
      <c r="C216" t="s">
        <v>25</v>
      </c>
      <c r="D216" t="s">
        <v>25</v>
      </c>
      <c r="E216" t="s">
        <v>25</v>
      </c>
      <c r="F216" t="s">
        <v>25</v>
      </c>
      <c r="G216" t="s">
        <v>25</v>
      </c>
    </row>
    <row r="217" spans="1:7" x14ac:dyDescent="0.25">
      <c r="A217" t="s">
        <v>2157</v>
      </c>
      <c r="B217" t="s">
        <v>25</v>
      </c>
      <c r="C217" t="s">
        <v>25</v>
      </c>
      <c r="D217" t="s">
        <v>25</v>
      </c>
      <c r="E217" t="s">
        <v>25</v>
      </c>
      <c r="F217" t="s">
        <v>25</v>
      </c>
      <c r="G217" t="s">
        <v>25</v>
      </c>
    </row>
    <row r="218" spans="1:7" x14ac:dyDescent="0.25">
      <c r="A218" t="s">
        <v>2160</v>
      </c>
      <c r="B218" t="s">
        <v>25</v>
      </c>
      <c r="C218" t="s">
        <v>25</v>
      </c>
      <c r="D218" t="s">
        <v>25</v>
      </c>
      <c r="E218" t="s">
        <v>25</v>
      </c>
      <c r="F218" t="s">
        <v>25</v>
      </c>
      <c r="G218" t="s">
        <v>25</v>
      </c>
    </row>
    <row r="219" spans="1:7" x14ac:dyDescent="0.25">
      <c r="A219" t="s">
        <v>2163</v>
      </c>
      <c r="B219" t="s">
        <v>25</v>
      </c>
      <c r="C219" t="s">
        <v>25</v>
      </c>
      <c r="D219" t="s">
        <v>25</v>
      </c>
      <c r="E219" t="s">
        <v>25</v>
      </c>
      <c r="F219" t="s">
        <v>25</v>
      </c>
      <c r="G219" t="s">
        <v>25</v>
      </c>
    </row>
    <row r="220" spans="1:7" x14ac:dyDescent="0.25">
      <c r="A220" t="s">
        <v>2166</v>
      </c>
      <c r="B220" t="s">
        <v>25</v>
      </c>
      <c r="C220" t="s">
        <v>25</v>
      </c>
      <c r="D220" t="s">
        <v>25</v>
      </c>
      <c r="E220" t="s">
        <v>25</v>
      </c>
      <c r="F220" t="s">
        <v>25</v>
      </c>
      <c r="G220" t="s">
        <v>25</v>
      </c>
    </row>
    <row r="221" spans="1:7" x14ac:dyDescent="0.25">
      <c r="A221" t="s">
        <v>2169</v>
      </c>
      <c r="B221" t="s">
        <v>25</v>
      </c>
      <c r="C221" t="s">
        <v>25</v>
      </c>
      <c r="D221" t="s">
        <v>25</v>
      </c>
      <c r="E221" t="s">
        <v>25</v>
      </c>
      <c r="F221" t="s">
        <v>25</v>
      </c>
      <c r="G221" t="s">
        <v>25</v>
      </c>
    </row>
    <row r="222" spans="1:7" x14ac:dyDescent="0.25">
      <c r="A222" t="s">
        <v>2172</v>
      </c>
      <c r="B222" t="s">
        <v>25</v>
      </c>
      <c r="C222" t="s">
        <v>25</v>
      </c>
      <c r="D222" t="s">
        <v>25</v>
      </c>
      <c r="E222" t="s">
        <v>25</v>
      </c>
      <c r="F222" t="s">
        <v>25</v>
      </c>
      <c r="G222" t="s">
        <v>25</v>
      </c>
    </row>
    <row r="223" spans="1:7" x14ac:dyDescent="0.25">
      <c r="A223" t="s">
        <v>2175</v>
      </c>
      <c r="B223" t="s">
        <v>25</v>
      </c>
      <c r="C223" t="s">
        <v>25</v>
      </c>
      <c r="D223" t="s">
        <v>25</v>
      </c>
      <c r="E223" t="s">
        <v>25</v>
      </c>
      <c r="F223" t="s">
        <v>25</v>
      </c>
      <c r="G223" t="s">
        <v>25</v>
      </c>
    </row>
    <row r="224" spans="1:7" x14ac:dyDescent="0.25">
      <c r="A224" t="s">
        <v>2178</v>
      </c>
      <c r="B224" t="s">
        <v>25</v>
      </c>
      <c r="C224" t="s">
        <v>25</v>
      </c>
      <c r="D224" t="s">
        <v>25</v>
      </c>
      <c r="E224" t="s">
        <v>25</v>
      </c>
      <c r="F224" t="s">
        <v>25</v>
      </c>
      <c r="G224" t="s">
        <v>25</v>
      </c>
    </row>
    <row r="225" spans="1:7" x14ac:dyDescent="0.25">
      <c r="A225" t="s">
        <v>2181</v>
      </c>
      <c r="B225" t="s">
        <v>25</v>
      </c>
      <c r="C225" t="s">
        <v>25</v>
      </c>
      <c r="D225" t="s">
        <v>25</v>
      </c>
      <c r="E225" t="s">
        <v>25</v>
      </c>
      <c r="F225" t="s">
        <v>25</v>
      </c>
      <c r="G225" t="s">
        <v>25</v>
      </c>
    </row>
    <row r="226" spans="1:7" x14ac:dyDescent="0.25">
      <c r="A226" t="s">
        <v>2184</v>
      </c>
      <c r="B226" t="s">
        <v>25</v>
      </c>
      <c r="C226" t="s">
        <v>25</v>
      </c>
      <c r="D226" t="s">
        <v>25</v>
      </c>
      <c r="E226" t="s">
        <v>25</v>
      </c>
      <c r="F226" t="s">
        <v>25</v>
      </c>
      <c r="G226" t="s">
        <v>25</v>
      </c>
    </row>
    <row r="227" spans="1:7" x14ac:dyDescent="0.25">
      <c r="A227" t="s">
        <v>2187</v>
      </c>
      <c r="B227" t="s">
        <v>25</v>
      </c>
      <c r="C227" t="s">
        <v>25</v>
      </c>
      <c r="D227" t="s">
        <v>25</v>
      </c>
      <c r="E227" t="s">
        <v>25</v>
      </c>
      <c r="F227" t="s">
        <v>25</v>
      </c>
      <c r="G227" t="s">
        <v>25</v>
      </c>
    </row>
    <row r="228" spans="1:7" x14ac:dyDescent="0.25">
      <c r="A228" t="s">
        <v>2190</v>
      </c>
      <c r="B228" t="s">
        <v>25</v>
      </c>
      <c r="C228" t="s">
        <v>25</v>
      </c>
      <c r="D228" t="s">
        <v>25</v>
      </c>
      <c r="E228" t="s">
        <v>25</v>
      </c>
      <c r="F228" t="s">
        <v>25</v>
      </c>
      <c r="G228" t="s">
        <v>25</v>
      </c>
    </row>
    <row r="229" spans="1:7" x14ac:dyDescent="0.25">
      <c r="A229" t="s">
        <v>2193</v>
      </c>
      <c r="B229" t="s">
        <v>25</v>
      </c>
      <c r="C229" t="s">
        <v>25</v>
      </c>
      <c r="D229" t="s">
        <v>25</v>
      </c>
      <c r="E229" t="s">
        <v>25</v>
      </c>
      <c r="F229" t="s">
        <v>25</v>
      </c>
      <c r="G229" t="s">
        <v>25</v>
      </c>
    </row>
    <row r="230" spans="1:7" x14ac:dyDescent="0.25">
      <c r="A230" t="s">
        <v>2196</v>
      </c>
      <c r="B230" t="s">
        <v>25</v>
      </c>
      <c r="C230" t="s">
        <v>25</v>
      </c>
      <c r="D230" t="s">
        <v>25</v>
      </c>
      <c r="E230" t="s">
        <v>25</v>
      </c>
      <c r="F230" t="s">
        <v>25</v>
      </c>
      <c r="G230" t="s">
        <v>25</v>
      </c>
    </row>
    <row r="231" spans="1:7" x14ac:dyDescent="0.25">
      <c r="A231" t="s">
        <v>2199</v>
      </c>
      <c r="B231" t="s">
        <v>25</v>
      </c>
      <c r="C231" t="s">
        <v>25</v>
      </c>
      <c r="D231" t="s">
        <v>25</v>
      </c>
      <c r="E231" t="s">
        <v>25</v>
      </c>
      <c r="F231" t="s">
        <v>25</v>
      </c>
      <c r="G231" t="s">
        <v>25</v>
      </c>
    </row>
    <row r="232" spans="1:7" x14ac:dyDescent="0.25">
      <c r="A232" t="s">
        <v>2202</v>
      </c>
      <c r="B232" t="s">
        <v>25</v>
      </c>
      <c r="C232" t="s">
        <v>25</v>
      </c>
      <c r="D232" t="s">
        <v>25</v>
      </c>
      <c r="E232" t="s">
        <v>25</v>
      </c>
      <c r="F232" t="s">
        <v>25</v>
      </c>
      <c r="G232" t="s">
        <v>25</v>
      </c>
    </row>
    <row r="233" spans="1:7" x14ac:dyDescent="0.25">
      <c r="A233" t="s">
        <v>2205</v>
      </c>
      <c r="B233" t="s">
        <v>25</v>
      </c>
      <c r="C233" t="s">
        <v>25</v>
      </c>
      <c r="D233" t="s">
        <v>25</v>
      </c>
      <c r="E233" t="s">
        <v>25</v>
      </c>
      <c r="F233" t="s">
        <v>25</v>
      </c>
      <c r="G233" t="s">
        <v>25</v>
      </c>
    </row>
    <row r="234" spans="1:7" x14ac:dyDescent="0.25">
      <c r="A234" t="s">
        <v>196</v>
      </c>
      <c r="B234" t="s">
        <v>25</v>
      </c>
      <c r="C234" t="s">
        <v>25</v>
      </c>
      <c r="D234" t="s">
        <v>165</v>
      </c>
      <c r="E234" t="s">
        <v>165</v>
      </c>
      <c r="F234" t="s">
        <v>165</v>
      </c>
      <c r="G234" t="s">
        <v>25</v>
      </c>
    </row>
    <row r="235" spans="1:7" x14ac:dyDescent="0.25">
      <c r="A235" t="s">
        <v>1650</v>
      </c>
      <c r="B235" t="s">
        <v>25</v>
      </c>
      <c r="C235" t="s">
        <v>25</v>
      </c>
      <c r="D235" t="s">
        <v>25</v>
      </c>
      <c r="E235" t="s">
        <v>25</v>
      </c>
      <c r="F235" t="s">
        <v>25</v>
      </c>
      <c r="G235" t="s">
        <v>25</v>
      </c>
    </row>
    <row r="236" spans="1:7" x14ac:dyDescent="0.25">
      <c r="A236" t="s">
        <v>2208</v>
      </c>
      <c r="B236" t="s">
        <v>25</v>
      </c>
      <c r="C236" t="s">
        <v>25</v>
      </c>
      <c r="D236" t="s">
        <v>25</v>
      </c>
      <c r="E236" t="s">
        <v>25</v>
      </c>
      <c r="F236" t="s">
        <v>25</v>
      </c>
      <c r="G236" t="s">
        <v>25</v>
      </c>
    </row>
    <row r="237" spans="1:7" x14ac:dyDescent="0.25">
      <c r="A237" t="s">
        <v>2211</v>
      </c>
      <c r="B237" t="s">
        <v>25</v>
      </c>
      <c r="C237" t="s">
        <v>25</v>
      </c>
      <c r="D237" t="s">
        <v>25</v>
      </c>
      <c r="E237" t="s">
        <v>25</v>
      </c>
      <c r="F237" t="s">
        <v>25</v>
      </c>
      <c r="G237" t="s">
        <v>25</v>
      </c>
    </row>
    <row r="238" spans="1:7" x14ac:dyDescent="0.25">
      <c r="A238" t="s">
        <v>2214</v>
      </c>
      <c r="B238" t="s">
        <v>25</v>
      </c>
      <c r="C238" t="s">
        <v>25</v>
      </c>
      <c r="D238" t="s">
        <v>25</v>
      </c>
      <c r="E238" t="s">
        <v>25</v>
      </c>
      <c r="F238" t="s">
        <v>25</v>
      </c>
      <c r="G238" t="s">
        <v>25</v>
      </c>
    </row>
    <row r="239" spans="1:7" x14ac:dyDescent="0.25">
      <c r="A239" t="s">
        <v>2217</v>
      </c>
      <c r="B239" t="s">
        <v>25</v>
      </c>
      <c r="C239" t="s">
        <v>25</v>
      </c>
      <c r="D239" t="s">
        <v>25</v>
      </c>
      <c r="E239" t="s">
        <v>25</v>
      </c>
      <c r="F239" t="s">
        <v>25</v>
      </c>
      <c r="G239" t="s">
        <v>25</v>
      </c>
    </row>
    <row r="240" spans="1:7" x14ac:dyDescent="0.25">
      <c r="A240" t="s">
        <v>2220</v>
      </c>
      <c r="B240" t="s">
        <v>25</v>
      </c>
      <c r="C240" t="s">
        <v>25</v>
      </c>
      <c r="D240" t="s">
        <v>25</v>
      </c>
      <c r="E240" t="s">
        <v>25</v>
      </c>
      <c r="F240" t="s">
        <v>25</v>
      </c>
      <c r="G240" t="s">
        <v>25</v>
      </c>
    </row>
    <row r="241" spans="1:7" x14ac:dyDescent="0.25">
      <c r="A241" t="s">
        <v>2223</v>
      </c>
      <c r="B241" t="s">
        <v>25</v>
      </c>
      <c r="C241" t="s">
        <v>25</v>
      </c>
      <c r="D241" t="s">
        <v>25</v>
      </c>
      <c r="E241" t="s">
        <v>25</v>
      </c>
      <c r="F241" t="s">
        <v>25</v>
      </c>
      <c r="G241" t="s">
        <v>25</v>
      </c>
    </row>
    <row r="242" spans="1:7" x14ac:dyDescent="0.25">
      <c r="A242" t="s">
        <v>2226</v>
      </c>
      <c r="B242" t="s">
        <v>25</v>
      </c>
      <c r="C242" t="s">
        <v>25</v>
      </c>
      <c r="D242" t="s">
        <v>25</v>
      </c>
      <c r="E242" t="s">
        <v>25</v>
      </c>
      <c r="F242" t="s">
        <v>25</v>
      </c>
      <c r="G242" t="s">
        <v>25</v>
      </c>
    </row>
    <row r="243" spans="1:7" x14ac:dyDescent="0.25">
      <c r="A243" t="s">
        <v>2229</v>
      </c>
      <c r="B243" t="s">
        <v>25</v>
      </c>
      <c r="C243" t="s">
        <v>25</v>
      </c>
      <c r="D243" t="s">
        <v>25</v>
      </c>
      <c r="E243" t="s">
        <v>25</v>
      </c>
      <c r="F243" t="s">
        <v>25</v>
      </c>
      <c r="G243" t="s">
        <v>25</v>
      </c>
    </row>
    <row r="244" spans="1:7" x14ac:dyDescent="0.25">
      <c r="A244" t="s">
        <v>2232</v>
      </c>
      <c r="B244" t="s">
        <v>25</v>
      </c>
      <c r="C244" t="s">
        <v>25</v>
      </c>
      <c r="D244" t="s">
        <v>25</v>
      </c>
      <c r="E244" t="s">
        <v>25</v>
      </c>
      <c r="F244" t="s">
        <v>25</v>
      </c>
      <c r="G244" t="s">
        <v>25</v>
      </c>
    </row>
    <row r="245" spans="1:7" x14ac:dyDescent="0.25">
      <c r="A245" t="s">
        <v>2235</v>
      </c>
      <c r="B245" t="s">
        <v>25</v>
      </c>
      <c r="C245" t="s">
        <v>25</v>
      </c>
      <c r="D245" t="s">
        <v>25</v>
      </c>
      <c r="E245" t="s">
        <v>25</v>
      </c>
      <c r="F245" t="s">
        <v>25</v>
      </c>
      <c r="G245" t="s">
        <v>25</v>
      </c>
    </row>
    <row r="246" spans="1:7" x14ac:dyDescent="0.25">
      <c r="A246" t="s">
        <v>2238</v>
      </c>
      <c r="B246" t="s">
        <v>25</v>
      </c>
      <c r="C246" t="s">
        <v>25</v>
      </c>
      <c r="D246" t="s">
        <v>25</v>
      </c>
      <c r="E246" t="s">
        <v>25</v>
      </c>
      <c r="F246" t="s">
        <v>25</v>
      </c>
      <c r="G246" t="s">
        <v>25</v>
      </c>
    </row>
    <row r="247" spans="1:7" x14ac:dyDescent="0.25">
      <c r="A247" t="s">
        <v>2241</v>
      </c>
      <c r="B247" t="s">
        <v>25</v>
      </c>
      <c r="C247" t="s">
        <v>25</v>
      </c>
      <c r="D247" t="s">
        <v>25</v>
      </c>
      <c r="E247" t="s">
        <v>25</v>
      </c>
      <c r="F247" t="s">
        <v>25</v>
      </c>
      <c r="G247" t="s">
        <v>25</v>
      </c>
    </row>
    <row r="248" spans="1:7" x14ac:dyDescent="0.25">
      <c r="A248" t="s">
        <v>2244</v>
      </c>
      <c r="B248" t="s">
        <v>25</v>
      </c>
      <c r="C248" t="s">
        <v>25</v>
      </c>
      <c r="D248" t="s">
        <v>25</v>
      </c>
      <c r="E248" t="s">
        <v>25</v>
      </c>
      <c r="F248" t="s">
        <v>25</v>
      </c>
      <c r="G248" t="s">
        <v>25</v>
      </c>
    </row>
    <row r="249" spans="1:7" x14ac:dyDescent="0.25">
      <c r="A249" t="s">
        <v>2247</v>
      </c>
      <c r="B249" t="s">
        <v>25</v>
      </c>
      <c r="C249" t="s">
        <v>25</v>
      </c>
      <c r="D249" t="s">
        <v>25</v>
      </c>
      <c r="E249" t="s">
        <v>25</v>
      </c>
      <c r="F249" t="s">
        <v>25</v>
      </c>
      <c r="G249" t="s">
        <v>25</v>
      </c>
    </row>
    <row r="250" spans="1:7" x14ac:dyDescent="0.25">
      <c r="A250" t="s">
        <v>2250</v>
      </c>
      <c r="B250" t="s">
        <v>25</v>
      </c>
      <c r="C250" t="s">
        <v>25</v>
      </c>
      <c r="D250" t="s">
        <v>25</v>
      </c>
      <c r="E250" t="s">
        <v>25</v>
      </c>
      <c r="F250" t="s">
        <v>25</v>
      </c>
      <c r="G250" t="s">
        <v>25</v>
      </c>
    </row>
    <row r="251" spans="1:7" x14ac:dyDescent="0.25">
      <c r="A251" t="s">
        <v>2253</v>
      </c>
      <c r="B251" t="s">
        <v>25</v>
      </c>
      <c r="C251" t="s">
        <v>25</v>
      </c>
      <c r="D251" t="s">
        <v>25</v>
      </c>
      <c r="E251" t="s">
        <v>25</v>
      </c>
      <c r="F251" t="s">
        <v>25</v>
      </c>
      <c r="G251" t="s">
        <v>25</v>
      </c>
    </row>
    <row r="252" spans="1:7" x14ac:dyDescent="0.25">
      <c r="A252" t="s">
        <v>2256</v>
      </c>
      <c r="B252" t="s">
        <v>25</v>
      </c>
      <c r="C252" t="s">
        <v>25</v>
      </c>
      <c r="D252" t="s">
        <v>25</v>
      </c>
      <c r="E252" t="s">
        <v>25</v>
      </c>
      <c r="F252" t="s">
        <v>25</v>
      </c>
      <c r="G252" t="s">
        <v>25</v>
      </c>
    </row>
    <row r="253" spans="1:7" x14ac:dyDescent="0.25">
      <c r="A253" t="s">
        <v>2259</v>
      </c>
      <c r="B253" t="s">
        <v>25</v>
      </c>
      <c r="C253" t="s">
        <v>25</v>
      </c>
      <c r="D253" t="s">
        <v>25</v>
      </c>
      <c r="E253" t="s">
        <v>25</v>
      </c>
      <c r="F253" t="s">
        <v>25</v>
      </c>
      <c r="G253" t="s">
        <v>25</v>
      </c>
    </row>
    <row r="254" spans="1:7" x14ac:dyDescent="0.25">
      <c r="A254" t="s">
        <v>2262</v>
      </c>
      <c r="B254" t="s">
        <v>25</v>
      </c>
      <c r="C254" t="s">
        <v>25</v>
      </c>
      <c r="D254" t="s">
        <v>25</v>
      </c>
      <c r="E254" t="s">
        <v>25</v>
      </c>
      <c r="F254" t="s">
        <v>25</v>
      </c>
      <c r="G254" t="s">
        <v>25</v>
      </c>
    </row>
    <row r="255" spans="1:7" x14ac:dyDescent="0.25">
      <c r="A255" t="s">
        <v>2265</v>
      </c>
      <c r="B255" t="s">
        <v>25</v>
      </c>
      <c r="C255" t="s">
        <v>25</v>
      </c>
      <c r="D255" t="s">
        <v>25</v>
      </c>
      <c r="E255" t="s">
        <v>25</v>
      </c>
      <c r="F255" t="s">
        <v>25</v>
      </c>
      <c r="G255" t="s">
        <v>25</v>
      </c>
    </row>
    <row r="256" spans="1:7" x14ac:dyDescent="0.25">
      <c r="A256" t="s">
        <v>2268</v>
      </c>
      <c r="B256" t="s">
        <v>25</v>
      </c>
      <c r="C256" t="s">
        <v>25</v>
      </c>
      <c r="D256" t="s">
        <v>25</v>
      </c>
      <c r="E256" t="s">
        <v>25</v>
      </c>
      <c r="F256" t="s">
        <v>25</v>
      </c>
      <c r="G256" t="s">
        <v>25</v>
      </c>
    </row>
    <row r="257" spans="1:7" x14ac:dyDescent="0.25">
      <c r="A257" t="s">
        <v>2271</v>
      </c>
      <c r="B257" t="s">
        <v>25</v>
      </c>
      <c r="C257" t="s">
        <v>25</v>
      </c>
      <c r="D257" t="s">
        <v>25</v>
      </c>
      <c r="E257" t="s">
        <v>25</v>
      </c>
      <c r="F257" t="s">
        <v>25</v>
      </c>
      <c r="G257" t="s">
        <v>25</v>
      </c>
    </row>
    <row r="258" spans="1:7" x14ac:dyDescent="0.25">
      <c r="A258" t="s">
        <v>2274</v>
      </c>
      <c r="B258" t="s">
        <v>25</v>
      </c>
      <c r="C258" t="s">
        <v>25</v>
      </c>
      <c r="D258" t="s">
        <v>25</v>
      </c>
      <c r="E258" t="s">
        <v>25</v>
      </c>
      <c r="F258" t="s">
        <v>25</v>
      </c>
      <c r="G258" t="s">
        <v>25</v>
      </c>
    </row>
    <row r="259" spans="1:7" x14ac:dyDescent="0.25">
      <c r="A259" t="s">
        <v>2277</v>
      </c>
      <c r="B259" t="s">
        <v>25</v>
      </c>
      <c r="C259" t="s">
        <v>25</v>
      </c>
      <c r="D259" t="s">
        <v>25</v>
      </c>
      <c r="E259" t="s">
        <v>25</v>
      </c>
      <c r="F259" t="s">
        <v>25</v>
      </c>
      <c r="G259" t="s">
        <v>25</v>
      </c>
    </row>
    <row r="260" spans="1:7" x14ac:dyDescent="0.25">
      <c r="A260" t="s">
        <v>2280</v>
      </c>
      <c r="B260" t="s">
        <v>25</v>
      </c>
      <c r="C260" t="s">
        <v>25</v>
      </c>
      <c r="D260" t="s">
        <v>25</v>
      </c>
      <c r="E260" t="s">
        <v>25</v>
      </c>
      <c r="F260" t="s">
        <v>25</v>
      </c>
      <c r="G260" t="s">
        <v>25</v>
      </c>
    </row>
    <row r="261" spans="1:7" x14ac:dyDescent="0.25">
      <c r="A261" t="s">
        <v>2283</v>
      </c>
      <c r="B261" t="s">
        <v>25</v>
      </c>
      <c r="C261" t="s">
        <v>25</v>
      </c>
      <c r="D261" t="s">
        <v>25</v>
      </c>
      <c r="E261" t="s">
        <v>25</v>
      </c>
      <c r="F261" t="s">
        <v>25</v>
      </c>
      <c r="G261" t="s">
        <v>25</v>
      </c>
    </row>
    <row r="262" spans="1:7" x14ac:dyDescent="0.25">
      <c r="A262" t="s">
        <v>2286</v>
      </c>
      <c r="B262" t="s">
        <v>25</v>
      </c>
      <c r="C262" t="s">
        <v>25</v>
      </c>
      <c r="D262" t="s">
        <v>25</v>
      </c>
      <c r="E262" t="s">
        <v>25</v>
      </c>
      <c r="F262" t="s">
        <v>25</v>
      </c>
      <c r="G262" t="s">
        <v>25</v>
      </c>
    </row>
    <row r="263" spans="1:7" x14ac:dyDescent="0.25">
      <c r="A263" t="s">
        <v>2289</v>
      </c>
      <c r="B263" t="s">
        <v>25</v>
      </c>
      <c r="C263" t="s">
        <v>25</v>
      </c>
      <c r="D263" t="s">
        <v>25</v>
      </c>
      <c r="E263" t="s">
        <v>25</v>
      </c>
      <c r="F263" t="s">
        <v>25</v>
      </c>
      <c r="G263" t="s">
        <v>25</v>
      </c>
    </row>
    <row r="264" spans="1:7" x14ac:dyDescent="0.25">
      <c r="A264" t="s">
        <v>2292</v>
      </c>
      <c r="B264" t="s">
        <v>25</v>
      </c>
      <c r="C264" t="s">
        <v>25</v>
      </c>
      <c r="D264" t="s">
        <v>25</v>
      </c>
      <c r="E264" t="s">
        <v>25</v>
      </c>
      <c r="F264" t="s">
        <v>25</v>
      </c>
      <c r="G264" t="s">
        <v>25</v>
      </c>
    </row>
    <row r="265" spans="1:7" x14ac:dyDescent="0.25">
      <c r="A265" t="s">
        <v>2295</v>
      </c>
      <c r="B265" t="s">
        <v>25</v>
      </c>
      <c r="C265" t="s">
        <v>25</v>
      </c>
      <c r="D265" t="s">
        <v>25</v>
      </c>
      <c r="E265" t="s">
        <v>25</v>
      </c>
      <c r="F265" t="s">
        <v>25</v>
      </c>
      <c r="G265" t="s">
        <v>25</v>
      </c>
    </row>
    <row r="266" spans="1:7" x14ac:dyDescent="0.25">
      <c r="A266" t="s">
        <v>2298</v>
      </c>
      <c r="B266" t="s">
        <v>25</v>
      </c>
      <c r="C266" t="s">
        <v>25</v>
      </c>
      <c r="D266" t="s">
        <v>25</v>
      </c>
      <c r="E266" t="s">
        <v>25</v>
      </c>
      <c r="F266" t="s">
        <v>25</v>
      </c>
      <c r="G266" t="s">
        <v>25</v>
      </c>
    </row>
    <row r="267" spans="1:7" x14ac:dyDescent="0.25">
      <c r="A267" t="s">
        <v>2300</v>
      </c>
      <c r="B267" t="s">
        <v>25</v>
      </c>
      <c r="C267" t="s">
        <v>25</v>
      </c>
      <c r="D267" t="s">
        <v>25</v>
      </c>
      <c r="E267" t="s">
        <v>25</v>
      </c>
      <c r="F267" t="s">
        <v>25</v>
      </c>
      <c r="G267" t="s">
        <v>25</v>
      </c>
    </row>
    <row r="268" spans="1:7" x14ac:dyDescent="0.25">
      <c r="A268" t="s">
        <v>2303</v>
      </c>
      <c r="B268" t="s">
        <v>25</v>
      </c>
      <c r="C268" t="s">
        <v>25</v>
      </c>
      <c r="D268" t="s">
        <v>25</v>
      </c>
      <c r="E268" t="s">
        <v>25</v>
      </c>
      <c r="F268" t="s">
        <v>25</v>
      </c>
      <c r="G268" t="s">
        <v>25</v>
      </c>
    </row>
    <row r="269" spans="1:7" x14ac:dyDescent="0.25">
      <c r="A269" t="s">
        <v>2306</v>
      </c>
      <c r="B269" t="s">
        <v>25</v>
      </c>
      <c r="C269" t="s">
        <v>25</v>
      </c>
      <c r="D269" t="s">
        <v>25</v>
      </c>
      <c r="E269" t="s">
        <v>25</v>
      </c>
      <c r="F269" t="s">
        <v>25</v>
      </c>
      <c r="G269" t="s">
        <v>25</v>
      </c>
    </row>
    <row r="270" spans="1:7" x14ac:dyDescent="0.25">
      <c r="A270" t="s">
        <v>2309</v>
      </c>
      <c r="B270" t="s">
        <v>25</v>
      </c>
      <c r="C270" t="s">
        <v>25</v>
      </c>
      <c r="D270" t="s">
        <v>25</v>
      </c>
      <c r="E270" t="s">
        <v>25</v>
      </c>
      <c r="F270" t="s">
        <v>25</v>
      </c>
      <c r="G270" t="s">
        <v>25</v>
      </c>
    </row>
    <row r="271" spans="1:7" x14ac:dyDescent="0.25">
      <c r="A271" t="s">
        <v>2312</v>
      </c>
      <c r="B271" t="s">
        <v>25</v>
      </c>
      <c r="C271" t="s">
        <v>25</v>
      </c>
      <c r="D271" t="s">
        <v>25</v>
      </c>
      <c r="E271" t="s">
        <v>25</v>
      </c>
      <c r="F271" t="s">
        <v>25</v>
      </c>
      <c r="G271" t="s">
        <v>25</v>
      </c>
    </row>
    <row r="272" spans="1:7" x14ac:dyDescent="0.25">
      <c r="A272" t="s">
        <v>2315</v>
      </c>
      <c r="B272" t="s">
        <v>25</v>
      </c>
      <c r="C272" t="s">
        <v>25</v>
      </c>
      <c r="D272" t="s">
        <v>25</v>
      </c>
      <c r="E272" t="s">
        <v>25</v>
      </c>
      <c r="F272" t="s">
        <v>25</v>
      </c>
      <c r="G272" t="s">
        <v>25</v>
      </c>
    </row>
    <row r="273" spans="1:7" x14ac:dyDescent="0.25">
      <c r="A273" t="s">
        <v>2318</v>
      </c>
      <c r="B273" t="s">
        <v>25</v>
      </c>
      <c r="C273" t="s">
        <v>25</v>
      </c>
      <c r="D273" t="s">
        <v>25</v>
      </c>
      <c r="E273" t="s">
        <v>25</v>
      </c>
      <c r="F273" t="s">
        <v>25</v>
      </c>
      <c r="G273" t="s">
        <v>25</v>
      </c>
    </row>
    <row r="274" spans="1:7" x14ac:dyDescent="0.25">
      <c r="A274" t="s">
        <v>2321</v>
      </c>
      <c r="B274" t="s">
        <v>25</v>
      </c>
      <c r="C274" t="s">
        <v>25</v>
      </c>
      <c r="D274" t="s">
        <v>25</v>
      </c>
      <c r="E274" t="s">
        <v>25</v>
      </c>
      <c r="F274" t="s">
        <v>25</v>
      </c>
      <c r="G274" t="s">
        <v>25</v>
      </c>
    </row>
    <row r="275" spans="1:7" x14ac:dyDescent="0.25">
      <c r="A275" t="s">
        <v>2324</v>
      </c>
      <c r="B275" t="s">
        <v>25</v>
      </c>
      <c r="C275" t="s">
        <v>25</v>
      </c>
      <c r="D275" t="s">
        <v>25</v>
      </c>
      <c r="E275" t="s">
        <v>25</v>
      </c>
      <c r="F275" t="s">
        <v>25</v>
      </c>
      <c r="G275" t="s">
        <v>25</v>
      </c>
    </row>
    <row r="276" spans="1:7" x14ac:dyDescent="0.25">
      <c r="A276" t="s">
        <v>2327</v>
      </c>
      <c r="B276" t="s">
        <v>25</v>
      </c>
      <c r="C276" t="s">
        <v>25</v>
      </c>
      <c r="D276" t="s">
        <v>25</v>
      </c>
      <c r="E276" t="s">
        <v>25</v>
      </c>
      <c r="F276" t="s">
        <v>25</v>
      </c>
      <c r="G276" t="s">
        <v>25</v>
      </c>
    </row>
    <row r="277" spans="1:7" x14ac:dyDescent="0.25">
      <c r="A277" t="s">
        <v>2330</v>
      </c>
      <c r="B277" t="s">
        <v>25</v>
      </c>
      <c r="C277" t="s">
        <v>25</v>
      </c>
      <c r="D277" t="s">
        <v>25</v>
      </c>
      <c r="E277" t="s">
        <v>25</v>
      </c>
      <c r="F277" t="s">
        <v>25</v>
      </c>
      <c r="G277" t="s">
        <v>25</v>
      </c>
    </row>
    <row r="278" spans="1:7" x14ac:dyDescent="0.25">
      <c r="A278" t="s">
        <v>2333</v>
      </c>
      <c r="B278" t="s">
        <v>25</v>
      </c>
      <c r="C278" t="s">
        <v>25</v>
      </c>
      <c r="D278" t="s">
        <v>25</v>
      </c>
      <c r="E278" t="s">
        <v>25</v>
      </c>
      <c r="F278" t="s">
        <v>25</v>
      </c>
      <c r="G278" t="s">
        <v>25</v>
      </c>
    </row>
    <row r="279" spans="1:7" x14ac:dyDescent="0.25">
      <c r="A279" t="s">
        <v>2336</v>
      </c>
      <c r="B279" t="s">
        <v>25</v>
      </c>
      <c r="C279" t="s">
        <v>25</v>
      </c>
      <c r="D279" t="s">
        <v>25</v>
      </c>
      <c r="E279" t="s">
        <v>25</v>
      </c>
      <c r="F279" t="s">
        <v>25</v>
      </c>
      <c r="G279" t="s">
        <v>25</v>
      </c>
    </row>
    <row r="280" spans="1:7" x14ac:dyDescent="0.25">
      <c r="A280" t="s">
        <v>2339</v>
      </c>
      <c r="B280" t="s">
        <v>25</v>
      </c>
      <c r="C280" t="s">
        <v>25</v>
      </c>
      <c r="D280" t="s">
        <v>25</v>
      </c>
      <c r="E280" t="s">
        <v>25</v>
      </c>
      <c r="F280" t="s">
        <v>25</v>
      </c>
      <c r="G280" t="s">
        <v>25</v>
      </c>
    </row>
    <row r="281" spans="1:7" x14ac:dyDescent="0.25">
      <c r="A281" t="s">
        <v>2342</v>
      </c>
      <c r="B281" t="s">
        <v>25</v>
      </c>
      <c r="C281" t="s">
        <v>25</v>
      </c>
      <c r="D281" t="s">
        <v>25</v>
      </c>
      <c r="E281" t="s">
        <v>25</v>
      </c>
      <c r="F281" t="s">
        <v>25</v>
      </c>
      <c r="G281" t="s">
        <v>25</v>
      </c>
    </row>
    <row r="282" spans="1:7" x14ac:dyDescent="0.25">
      <c r="A282" t="s">
        <v>2345</v>
      </c>
      <c r="B282" t="s">
        <v>25</v>
      </c>
      <c r="C282" t="s">
        <v>25</v>
      </c>
      <c r="D282" t="s">
        <v>25</v>
      </c>
      <c r="E282" t="s">
        <v>25</v>
      </c>
      <c r="F282" t="s">
        <v>25</v>
      </c>
      <c r="G282" t="s">
        <v>25</v>
      </c>
    </row>
    <row r="283" spans="1:7" x14ac:dyDescent="0.25">
      <c r="A283" t="s">
        <v>2348</v>
      </c>
      <c r="B283" t="s">
        <v>25</v>
      </c>
      <c r="C283" t="s">
        <v>25</v>
      </c>
      <c r="D283" t="s">
        <v>25</v>
      </c>
      <c r="E283" t="s">
        <v>25</v>
      </c>
      <c r="F283" t="s">
        <v>25</v>
      </c>
      <c r="G283" t="s">
        <v>25</v>
      </c>
    </row>
    <row r="284" spans="1:7" x14ac:dyDescent="0.25">
      <c r="A284" t="s">
        <v>2351</v>
      </c>
      <c r="B284" t="s">
        <v>25</v>
      </c>
      <c r="C284" t="s">
        <v>25</v>
      </c>
      <c r="D284" t="s">
        <v>25</v>
      </c>
      <c r="E284" t="s">
        <v>25</v>
      </c>
      <c r="F284" t="s">
        <v>25</v>
      </c>
      <c r="G284" t="s">
        <v>25</v>
      </c>
    </row>
    <row r="285" spans="1:7" x14ac:dyDescent="0.25">
      <c r="A285" t="s">
        <v>2354</v>
      </c>
      <c r="B285" t="s">
        <v>25</v>
      </c>
      <c r="C285" t="s">
        <v>25</v>
      </c>
      <c r="D285" t="s">
        <v>25</v>
      </c>
      <c r="E285" t="s">
        <v>25</v>
      </c>
      <c r="F285" t="s">
        <v>25</v>
      </c>
      <c r="G285" t="s">
        <v>25</v>
      </c>
    </row>
    <row r="286" spans="1:7" x14ac:dyDescent="0.25">
      <c r="A286" t="s">
        <v>2357</v>
      </c>
      <c r="B286" t="s">
        <v>25</v>
      </c>
      <c r="C286" t="s">
        <v>25</v>
      </c>
      <c r="D286" t="s">
        <v>25</v>
      </c>
      <c r="E286" t="s">
        <v>25</v>
      </c>
      <c r="F286" t="s">
        <v>25</v>
      </c>
      <c r="G286" t="s">
        <v>25</v>
      </c>
    </row>
    <row r="287" spans="1:7" x14ac:dyDescent="0.25">
      <c r="A287" t="s">
        <v>2360</v>
      </c>
      <c r="B287" t="s">
        <v>25</v>
      </c>
      <c r="C287" t="s">
        <v>25</v>
      </c>
      <c r="D287" t="s">
        <v>25</v>
      </c>
      <c r="E287" t="s">
        <v>25</v>
      </c>
      <c r="F287" t="s">
        <v>25</v>
      </c>
      <c r="G287" t="s">
        <v>25</v>
      </c>
    </row>
    <row r="288" spans="1:7" x14ac:dyDescent="0.25">
      <c r="A288" t="s">
        <v>2363</v>
      </c>
      <c r="B288" t="s">
        <v>25</v>
      </c>
      <c r="C288" t="s">
        <v>25</v>
      </c>
      <c r="D288" t="s">
        <v>25</v>
      </c>
      <c r="E288" t="s">
        <v>25</v>
      </c>
      <c r="F288" t="s">
        <v>25</v>
      </c>
      <c r="G288" t="s">
        <v>25</v>
      </c>
    </row>
    <row r="289" spans="1:7" x14ac:dyDescent="0.25">
      <c r="A289" t="s">
        <v>2366</v>
      </c>
      <c r="B289" t="s">
        <v>25</v>
      </c>
      <c r="C289" t="s">
        <v>25</v>
      </c>
      <c r="D289" t="s">
        <v>25</v>
      </c>
      <c r="E289" t="s">
        <v>25</v>
      </c>
      <c r="F289" t="s">
        <v>25</v>
      </c>
      <c r="G289" t="s">
        <v>25</v>
      </c>
    </row>
    <row r="290" spans="1:7" x14ac:dyDescent="0.25">
      <c r="A290" t="s">
        <v>2369</v>
      </c>
      <c r="B290" t="s">
        <v>25</v>
      </c>
      <c r="C290" t="s">
        <v>25</v>
      </c>
      <c r="D290" t="s">
        <v>25</v>
      </c>
      <c r="E290" t="s">
        <v>25</v>
      </c>
      <c r="F290" t="s">
        <v>25</v>
      </c>
      <c r="G290" t="s">
        <v>25</v>
      </c>
    </row>
    <row r="291" spans="1:7" x14ac:dyDescent="0.25">
      <c r="A291" t="s">
        <v>2372</v>
      </c>
      <c r="B291" t="s">
        <v>25</v>
      </c>
      <c r="C291" t="s">
        <v>25</v>
      </c>
      <c r="D291" t="s">
        <v>25</v>
      </c>
      <c r="E291" t="s">
        <v>25</v>
      </c>
      <c r="F291" t="s">
        <v>25</v>
      </c>
      <c r="G291" t="s">
        <v>25</v>
      </c>
    </row>
    <row r="292" spans="1:7" x14ac:dyDescent="0.25">
      <c r="A292" t="s">
        <v>2375</v>
      </c>
      <c r="B292" t="s">
        <v>25</v>
      </c>
      <c r="C292" t="s">
        <v>25</v>
      </c>
      <c r="D292" t="s">
        <v>25</v>
      </c>
      <c r="E292" t="s">
        <v>25</v>
      </c>
      <c r="F292" t="s">
        <v>25</v>
      </c>
      <c r="G292" t="s">
        <v>25</v>
      </c>
    </row>
    <row r="293" spans="1:7" x14ac:dyDescent="0.25">
      <c r="A293" t="s">
        <v>2378</v>
      </c>
      <c r="B293" t="s">
        <v>25</v>
      </c>
      <c r="C293" t="s">
        <v>25</v>
      </c>
      <c r="D293" t="s">
        <v>25</v>
      </c>
      <c r="E293" t="s">
        <v>25</v>
      </c>
      <c r="F293" t="s">
        <v>25</v>
      </c>
      <c r="G293" t="s">
        <v>25</v>
      </c>
    </row>
    <row r="294" spans="1:7" x14ac:dyDescent="0.25">
      <c r="A294" t="s">
        <v>2381</v>
      </c>
      <c r="B294" t="s">
        <v>25</v>
      </c>
      <c r="C294" t="s">
        <v>25</v>
      </c>
      <c r="D294" t="s">
        <v>25</v>
      </c>
      <c r="E294" t="s">
        <v>25</v>
      </c>
      <c r="F294" t="s">
        <v>25</v>
      </c>
      <c r="G294" t="s">
        <v>25</v>
      </c>
    </row>
    <row r="295" spans="1:7" x14ac:dyDescent="0.25">
      <c r="A295" t="s">
        <v>2384</v>
      </c>
      <c r="B295" t="s">
        <v>25</v>
      </c>
      <c r="C295" t="s">
        <v>25</v>
      </c>
      <c r="D295" t="s">
        <v>25</v>
      </c>
      <c r="E295" t="s">
        <v>25</v>
      </c>
      <c r="F295" t="s">
        <v>25</v>
      </c>
      <c r="G295" t="s">
        <v>25</v>
      </c>
    </row>
    <row r="296" spans="1:7" x14ac:dyDescent="0.25">
      <c r="A296" t="s">
        <v>2387</v>
      </c>
      <c r="B296" t="s">
        <v>25</v>
      </c>
      <c r="C296" t="s">
        <v>25</v>
      </c>
      <c r="D296" t="s">
        <v>25</v>
      </c>
      <c r="E296" t="s">
        <v>25</v>
      </c>
      <c r="F296" t="s">
        <v>25</v>
      </c>
      <c r="G296" t="s">
        <v>25</v>
      </c>
    </row>
    <row r="297" spans="1:7" x14ac:dyDescent="0.25">
      <c r="A297" t="s">
        <v>2390</v>
      </c>
      <c r="B297" t="s">
        <v>25</v>
      </c>
      <c r="C297" t="s">
        <v>25</v>
      </c>
      <c r="D297" t="s">
        <v>25</v>
      </c>
      <c r="E297" t="s">
        <v>25</v>
      </c>
      <c r="F297" t="s">
        <v>25</v>
      </c>
      <c r="G297" t="s">
        <v>25</v>
      </c>
    </row>
  </sheetData>
  <dataValidations count="1">
    <dataValidation type="list" allowBlank="1" showInputMessage="1" showErrorMessage="1" sqref="B2:G297" xr:uid="{83566633-8C3F-4F72-BF89-ED987EFD5E43}">
      <formula1>"Fixed,Free"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7300A-129D-4723-A58C-802E9B370FE8}">
  <sheetPr>
    <tabColor indexed="10"/>
  </sheetPr>
  <dimension ref="A1:B181"/>
  <sheetViews>
    <sheetView workbookViewId="0">
      <selection activeCell="C1" sqref="C1:XFD1048576"/>
    </sheetView>
  </sheetViews>
  <sheetFormatPr defaultColWidth="0" defaultRowHeight="15" x14ac:dyDescent="0.25"/>
  <cols>
    <col min="1" max="2" width="20.7109375" customWidth="1"/>
    <col min="3" max="16384" width="8.85546875" hidden="1"/>
  </cols>
  <sheetData>
    <row r="1" spans="1:2" x14ac:dyDescent="0.25">
      <c r="A1" t="s">
        <v>181</v>
      </c>
      <c r="B1" t="s">
        <v>182</v>
      </c>
    </row>
    <row r="2" spans="1:2" x14ac:dyDescent="0.25">
      <c r="A2" t="s">
        <v>202</v>
      </c>
      <c r="B2" t="s">
        <v>201</v>
      </c>
    </row>
    <row r="3" spans="1:2" x14ac:dyDescent="0.25">
      <c r="A3" t="s">
        <v>203</v>
      </c>
      <c r="B3" t="s">
        <v>201</v>
      </c>
    </row>
    <row r="4" spans="1:2" x14ac:dyDescent="0.25">
      <c r="A4" t="s">
        <v>204</v>
      </c>
      <c r="B4" t="s">
        <v>201</v>
      </c>
    </row>
    <row r="5" spans="1:2" x14ac:dyDescent="0.25">
      <c r="A5" t="s">
        <v>205</v>
      </c>
      <c r="B5" t="s">
        <v>201</v>
      </c>
    </row>
    <row r="6" spans="1:2" x14ac:dyDescent="0.25">
      <c r="A6" t="s">
        <v>206</v>
      </c>
      <c r="B6" t="s">
        <v>201</v>
      </c>
    </row>
    <row r="7" spans="1:2" x14ac:dyDescent="0.25">
      <c r="A7" t="s">
        <v>209</v>
      </c>
      <c r="B7" t="s">
        <v>201</v>
      </c>
    </row>
    <row r="8" spans="1:2" x14ac:dyDescent="0.25">
      <c r="A8" t="s">
        <v>210</v>
      </c>
      <c r="B8" t="s">
        <v>201</v>
      </c>
    </row>
    <row r="9" spans="1:2" x14ac:dyDescent="0.25">
      <c r="A9" t="s">
        <v>211</v>
      </c>
      <c r="B9" t="s">
        <v>201</v>
      </c>
    </row>
    <row r="10" spans="1:2" x14ac:dyDescent="0.25">
      <c r="A10" t="s">
        <v>212</v>
      </c>
      <c r="B10" t="s">
        <v>201</v>
      </c>
    </row>
    <row r="11" spans="1:2" x14ac:dyDescent="0.25">
      <c r="A11" t="s">
        <v>213</v>
      </c>
      <c r="B11" t="s">
        <v>201</v>
      </c>
    </row>
    <row r="12" spans="1:2" x14ac:dyDescent="0.25">
      <c r="A12" t="s">
        <v>214</v>
      </c>
      <c r="B12" t="s">
        <v>201</v>
      </c>
    </row>
    <row r="13" spans="1:2" x14ac:dyDescent="0.25">
      <c r="A13" t="s">
        <v>215</v>
      </c>
      <c r="B13" t="s">
        <v>201</v>
      </c>
    </row>
    <row r="14" spans="1:2" x14ac:dyDescent="0.25">
      <c r="A14" t="s">
        <v>216</v>
      </c>
      <c r="B14" t="s">
        <v>201</v>
      </c>
    </row>
    <row r="15" spans="1:2" x14ac:dyDescent="0.25">
      <c r="A15" t="s">
        <v>217</v>
      </c>
      <c r="B15" t="s">
        <v>201</v>
      </c>
    </row>
    <row r="16" spans="1:2" x14ac:dyDescent="0.25">
      <c r="A16" t="s">
        <v>220</v>
      </c>
      <c r="B16" t="s">
        <v>201</v>
      </c>
    </row>
    <row r="17" spans="1:2" x14ac:dyDescent="0.25">
      <c r="A17" t="s">
        <v>221</v>
      </c>
      <c r="B17" t="s">
        <v>201</v>
      </c>
    </row>
    <row r="18" spans="1:2" x14ac:dyDescent="0.25">
      <c r="A18" t="s">
        <v>222</v>
      </c>
      <c r="B18" t="s">
        <v>201</v>
      </c>
    </row>
    <row r="19" spans="1:2" x14ac:dyDescent="0.25">
      <c r="A19" t="s">
        <v>223</v>
      </c>
      <c r="B19" t="s">
        <v>201</v>
      </c>
    </row>
    <row r="20" spans="1:2" x14ac:dyDescent="0.25">
      <c r="A20" t="s">
        <v>225</v>
      </c>
      <c r="B20" t="s">
        <v>224</v>
      </c>
    </row>
    <row r="21" spans="1:2" x14ac:dyDescent="0.25">
      <c r="A21" t="s">
        <v>226</v>
      </c>
      <c r="B21" t="s">
        <v>224</v>
      </c>
    </row>
    <row r="22" spans="1:2" x14ac:dyDescent="0.25">
      <c r="A22" t="s">
        <v>227</v>
      </c>
      <c r="B22" t="s">
        <v>224</v>
      </c>
    </row>
    <row r="23" spans="1:2" x14ac:dyDescent="0.25">
      <c r="A23" t="s">
        <v>228</v>
      </c>
      <c r="B23" t="s">
        <v>224</v>
      </c>
    </row>
    <row r="24" spans="1:2" x14ac:dyDescent="0.25">
      <c r="A24" t="s">
        <v>229</v>
      </c>
      <c r="B24" t="s">
        <v>224</v>
      </c>
    </row>
    <row r="25" spans="1:2" x14ac:dyDescent="0.25">
      <c r="A25" t="s">
        <v>232</v>
      </c>
      <c r="B25" t="s">
        <v>224</v>
      </c>
    </row>
    <row r="26" spans="1:2" x14ac:dyDescent="0.25">
      <c r="A26" t="s">
        <v>233</v>
      </c>
      <c r="B26" t="s">
        <v>224</v>
      </c>
    </row>
    <row r="27" spans="1:2" x14ac:dyDescent="0.25">
      <c r="A27" t="s">
        <v>234</v>
      </c>
      <c r="B27" t="s">
        <v>224</v>
      </c>
    </row>
    <row r="28" spans="1:2" x14ac:dyDescent="0.25">
      <c r="A28" t="s">
        <v>235</v>
      </c>
      <c r="B28" t="s">
        <v>224</v>
      </c>
    </row>
    <row r="29" spans="1:2" x14ac:dyDescent="0.25">
      <c r="A29" t="s">
        <v>236</v>
      </c>
      <c r="B29" t="s">
        <v>224</v>
      </c>
    </row>
    <row r="30" spans="1:2" x14ac:dyDescent="0.25">
      <c r="A30" t="s">
        <v>237</v>
      </c>
      <c r="B30" t="s">
        <v>224</v>
      </c>
    </row>
    <row r="31" spans="1:2" x14ac:dyDescent="0.25">
      <c r="A31" t="s">
        <v>238</v>
      </c>
      <c r="B31" t="s">
        <v>224</v>
      </c>
    </row>
    <row r="32" spans="1:2" x14ac:dyDescent="0.25">
      <c r="A32" t="s">
        <v>239</v>
      </c>
      <c r="B32" t="s">
        <v>224</v>
      </c>
    </row>
    <row r="33" spans="1:2" x14ac:dyDescent="0.25">
      <c r="A33" t="s">
        <v>240</v>
      </c>
      <c r="B33" t="s">
        <v>224</v>
      </c>
    </row>
    <row r="34" spans="1:2" x14ac:dyDescent="0.25">
      <c r="A34" t="s">
        <v>243</v>
      </c>
      <c r="B34" t="s">
        <v>224</v>
      </c>
    </row>
    <row r="35" spans="1:2" x14ac:dyDescent="0.25">
      <c r="A35" t="s">
        <v>244</v>
      </c>
      <c r="B35" t="s">
        <v>224</v>
      </c>
    </row>
    <row r="36" spans="1:2" x14ac:dyDescent="0.25">
      <c r="A36" t="s">
        <v>245</v>
      </c>
      <c r="B36" t="s">
        <v>224</v>
      </c>
    </row>
    <row r="37" spans="1:2" x14ac:dyDescent="0.25">
      <c r="A37" t="s">
        <v>246</v>
      </c>
      <c r="B37" t="s">
        <v>224</v>
      </c>
    </row>
    <row r="38" spans="1:2" x14ac:dyDescent="0.25">
      <c r="A38" t="s">
        <v>248</v>
      </c>
      <c r="B38" t="s">
        <v>247</v>
      </c>
    </row>
    <row r="39" spans="1:2" x14ac:dyDescent="0.25">
      <c r="A39" t="s">
        <v>249</v>
      </c>
      <c r="B39" t="s">
        <v>247</v>
      </c>
    </row>
    <row r="40" spans="1:2" x14ac:dyDescent="0.25">
      <c r="A40" t="s">
        <v>250</v>
      </c>
      <c r="B40" t="s">
        <v>247</v>
      </c>
    </row>
    <row r="41" spans="1:2" x14ac:dyDescent="0.25">
      <c r="A41" t="s">
        <v>251</v>
      </c>
      <c r="B41" t="s">
        <v>247</v>
      </c>
    </row>
    <row r="42" spans="1:2" x14ac:dyDescent="0.25">
      <c r="A42" t="s">
        <v>252</v>
      </c>
      <c r="B42" t="s">
        <v>247</v>
      </c>
    </row>
    <row r="43" spans="1:2" x14ac:dyDescent="0.25">
      <c r="A43" t="s">
        <v>255</v>
      </c>
      <c r="B43" t="s">
        <v>247</v>
      </c>
    </row>
    <row r="44" spans="1:2" x14ac:dyDescent="0.25">
      <c r="A44" t="s">
        <v>256</v>
      </c>
      <c r="B44" t="s">
        <v>247</v>
      </c>
    </row>
    <row r="45" spans="1:2" x14ac:dyDescent="0.25">
      <c r="A45" t="s">
        <v>257</v>
      </c>
      <c r="B45" t="s">
        <v>247</v>
      </c>
    </row>
    <row r="46" spans="1:2" x14ac:dyDescent="0.25">
      <c r="A46" t="s">
        <v>258</v>
      </c>
      <c r="B46" t="s">
        <v>247</v>
      </c>
    </row>
    <row r="47" spans="1:2" x14ac:dyDescent="0.25">
      <c r="A47" t="s">
        <v>259</v>
      </c>
      <c r="B47" t="s">
        <v>247</v>
      </c>
    </row>
    <row r="48" spans="1:2" x14ac:dyDescent="0.25">
      <c r="A48" t="s">
        <v>260</v>
      </c>
      <c r="B48" t="s">
        <v>247</v>
      </c>
    </row>
    <row r="49" spans="1:2" x14ac:dyDescent="0.25">
      <c r="A49" t="s">
        <v>261</v>
      </c>
      <c r="B49" t="s">
        <v>247</v>
      </c>
    </row>
    <row r="50" spans="1:2" x14ac:dyDescent="0.25">
      <c r="A50" t="s">
        <v>262</v>
      </c>
      <c r="B50" t="s">
        <v>247</v>
      </c>
    </row>
    <row r="51" spans="1:2" x14ac:dyDescent="0.25">
      <c r="A51" t="s">
        <v>263</v>
      </c>
      <c r="B51" t="s">
        <v>247</v>
      </c>
    </row>
    <row r="52" spans="1:2" x14ac:dyDescent="0.25">
      <c r="A52" t="s">
        <v>266</v>
      </c>
      <c r="B52" t="s">
        <v>247</v>
      </c>
    </row>
    <row r="53" spans="1:2" x14ac:dyDescent="0.25">
      <c r="A53" t="s">
        <v>267</v>
      </c>
      <c r="B53" t="s">
        <v>247</v>
      </c>
    </row>
    <row r="54" spans="1:2" x14ac:dyDescent="0.25">
      <c r="A54" t="s">
        <v>268</v>
      </c>
      <c r="B54" t="s">
        <v>247</v>
      </c>
    </row>
    <row r="55" spans="1:2" x14ac:dyDescent="0.25">
      <c r="A55" t="s">
        <v>269</v>
      </c>
      <c r="B55" t="s">
        <v>247</v>
      </c>
    </row>
    <row r="56" spans="1:2" x14ac:dyDescent="0.25">
      <c r="A56" t="s">
        <v>271</v>
      </c>
      <c r="B56" t="s">
        <v>270</v>
      </c>
    </row>
    <row r="57" spans="1:2" x14ac:dyDescent="0.25">
      <c r="A57" t="s">
        <v>272</v>
      </c>
      <c r="B57" t="s">
        <v>270</v>
      </c>
    </row>
    <row r="58" spans="1:2" x14ac:dyDescent="0.25">
      <c r="A58" t="s">
        <v>273</v>
      </c>
      <c r="B58" t="s">
        <v>270</v>
      </c>
    </row>
    <row r="59" spans="1:2" x14ac:dyDescent="0.25">
      <c r="A59" t="s">
        <v>274</v>
      </c>
      <c r="B59" t="s">
        <v>270</v>
      </c>
    </row>
    <row r="60" spans="1:2" x14ac:dyDescent="0.25">
      <c r="A60" t="s">
        <v>275</v>
      </c>
      <c r="B60" t="s">
        <v>270</v>
      </c>
    </row>
    <row r="61" spans="1:2" x14ac:dyDescent="0.25">
      <c r="A61" t="s">
        <v>278</v>
      </c>
      <c r="B61" t="s">
        <v>270</v>
      </c>
    </row>
    <row r="62" spans="1:2" x14ac:dyDescent="0.25">
      <c r="A62" t="s">
        <v>279</v>
      </c>
      <c r="B62" t="s">
        <v>270</v>
      </c>
    </row>
    <row r="63" spans="1:2" x14ac:dyDescent="0.25">
      <c r="A63" t="s">
        <v>280</v>
      </c>
      <c r="B63" t="s">
        <v>270</v>
      </c>
    </row>
    <row r="64" spans="1:2" x14ac:dyDescent="0.25">
      <c r="A64" t="s">
        <v>281</v>
      </c>
      <c r="B64" t="s">
        <v>270</v>
      </c>
    </row>
    <row r="65" spans="1:2" x14ac:dyDescent="0.25">
      <c r="A65" t="s">
        <v>282</v>
      </c>
      <c r="B65" t="s">
        <v>270</v>
      </c>
    </row>
    <row r="66" spans="1:2" x14ac:dyDescent="0.25">
      <c r="A66" t="s">
        <v>283</v>
      </c>
      <c r="B66" t="s">
        <v>270</v>
      </c>
    </row>
    <row r="67" spans="1:2" x14ac:dyDescent="0.25">
      <c r="A67" t="s">
        <v>284</v>
      </c>
      <c r="B67" t="s">
        <v>270</v>
      </c>
    </row>
    <row r="68" spans="1:2" x14ac:dyDescent="0.25">
      <c r="A68" t="s">
        <v>285</v>
      </c>
      <c r="B68" t="s">
        <v>270</v>
      </c>
    </row>
    <row r="69" spans="1:2" x14ac:dyDescent="0.25">
      <c r="A69" t="s">
        <v>286</v>
      </c>
      <c r="B69" t="s">
        <v>270</v>
      </c>
    </row>
    <row r="70" spans="1:2" x14ac:dyDescent="0.25">
      <c r="A70" t="s">
        <v>289</v>
      </c>
      <c r="B70" t="s">
        <v>270</v>
      </c>
    </row>
    <row r="71" spans="1:2" x14ac:dyDescent="0.25">
      <c r="A71" t="s">
        <v>290</v>
      </c>
      <c r="B71" t="s">
        <v>270</v>
      </c>
    </row>
    <row r="72" spans="1:2" x14ac:dyDescent="0.25">
      <c r="A72" t="s">
        <v>291</v>
      </c>
      <c r="B72" t="s">
        <v>270</v>
      </c>
    </row>
    <row r="73" spans="1:2" x14ac:dyDescent="0.25">
      <c r="A73" t="s">
        <v>292</v>
      </c>
      <c r="B73" t="s">
        <v>270</v>
      </c>
    </row>
    <row r="74" spans="1:2" x14ac:dyDescent="0.25">
      <c r="A74" t="s">
        <v>294</v>
      </c>
      <c r="B74" t="s">
        <v>293</v>
      </c>
    </row>
    <row r="75" spans="1:2" x14ac:dyDescent="0.25">
      <c r="A75" t="s">
        <v>295</v>
      </c>
      <c r="B75" t="s">
        <v>293</v>
      </c>
    </row>
    <row r="76" spans="1:2" x14ac:dyDescent="0.25">
      <c r="A76" t="s">
        <v>296</v>
      </c>
      <c r="B76" t="s">
        <v>293</v>
      </c>
    </row>
    <row r="77" spans="1:2" x14ac:dyDescent="0.25">
      <c r="A77" t="s">
        <v>297</v>
      </c>
      <c r="B77" t="s">
        <v>293</v>
      </c>
    </row>
    <row r="78" spans="1:2" x14ac:dyDescent="0.25">
      <c r="A78" t="s">
        <v>298</v>
      </c>
      <c r="B78" t="s">
        <v>293</v>
      </c>
    </row>
    <row r="79" spans="1:2" x14ac:dyDescent="0.25">
      <c r="A79" t="s">
        <v>301</v>
      </c>
      <c r="B79" t="s">
        <v>293</v>
      </c>
    </row>
    <row r="80" spans="1:2" x14ac:dyDescent="0.25">
      <c r="A80" t="s">
        <v>302</v>
      </c>
      <c r="B80" t="s">
        <v>293</v>
      </c>
    </row>
    <row r="81" spans="1:2" x14ac:dyDescent="0.25">
      <c r="A81" t="s">
        <v>303</v>
      </c>
      <c r="B81" t="s">
        <v>293</v>
      </c>
    </row>
    <row r="82" spans="1:2" x14ac:dyDescent="0.25">
      <c r="A82" t="s">
        <v>304</v>
      </c>
      <c r="B82" t="s">
        <v>293</v>
      </c>
    </row>
    <row r="83" spans="1:2" x14ac:dyDescent="0.25">
      <c r="A83" t="s">
        <v>305</v>
      </c>
      <c r="B83" t="s">
        <v>293</v>
      </c>
    </row>
    <row r="84" spans="1:2" x14ac:dyDescent="0.25">
      <c r="A84" t="s">
        <v>306</v>
      </c>
      <c r="B84" t="s">
        <v>293</v>
      </c>
    </row>
    <row r="85" spans="1:2" x14ac:dyDescent="0.25">
      <c r="A85" t="s">
        <v>307</v>
      </c>
      <c r="B85" t="s">
        <v>293</v>
      </c>
    </row>
    <row r="86" spans="1:2" x14ac:dyDescent="0.25">
      <c r="A86" t="s">
        <v>308</v>
      </c>
      <c r="B86" t="s">
        <v>293</v>
      </c>
    </row>
    <row r="87" spans="1:2" x14ac:dyDescent="0.25">
      <c r="A87" t="s">
        <v>309</v>
      </c>
      <c r="B87" t="s">
        <v>293</v>
      </c>
    </row>
    <row r="88" spans="1:2" x14ac:dyDescent="0.25">
      <c r="A88" t="s">
        <v>312</v>
      </c>
      <c r="B88" t="s">
        <v>293</v>
      </c>
    </row>
    <row r="89" spans="1:2" x14ac:dyDescent="0.25">
      <c r="A89" t="s">
        <v>313</v>
      </c>
      <c r="B89" t="s">
        <v>293</v>
      </c>
    </row>
    <row r="90" spans="1:2" x14ac:dyDescent="0.25">
      <c r="A90" t="s">
        <v>314</v>
      </c>
      <c r="B90" t="s">
        <v>293</v>
      </c>
    </row>
    <row r="91" spans="1:2" x14ac:dyDescent="0.25">
      <c r="A91" t="s">
        <v>315</v>
      </c>
      <c r="B91" t="s">
        <v>293</v>
      </c>
    </row>
    <row r="92" spans="1:2" x14ac:dyDescent="0.25">
      <c r="A92" t="s">
        <v>317</v>
      </c>
      <c r="B92" t="s">
        <v>316</v>
      </c>
    </row>
    <row r="93" spans="1:2" x14ac:dyDescent="0.25">
      <c r="A93" t="s">
        <v>318</v>
      </c>
      <c r="B93" t="s">
        <v>316</v>
      </c>
    </row>
    <row r="94" spans="1:2" x14ac:dyDescent="0.25">
      <c r="A94" t="s">
        <v>319</v>
      </c>
      <c r="B94" t="s">
        <v>316</v>
      </c>
    </row>
    <row r="95" spans="1:2" x14ac:dyDescent="0.25">
      <c r="A95" t="s">
        <v>320</v>
      </c>
      <c r="B95" t="s">
        <v>316</v>
      </c>
    </row>
    <row r="96" spans="1:2" x14ac:dyDescent="0.25">
      <c r="A96" t="s">
        <v>321</v>
      </c>
      <c r="B96" t="s">
        <v>316</v>
      </c>
    </row>
    <row r="97" spans="1:2" x14ac:dyDescent="0.25">
      <c r="A97" t="s">
        <v>324</v>
      </c>
      <c r="B97" t="s">
        <v>316</v>
      </c>
    </row>
    <row r="98" spans="1:2" x14ac:dyDescent="0.25">
      <c r="A98" t="s">
        <v>325</v>
      </c>
      <c r="B98" t="s">
        <v>316</v>
      </c>
    </row>
    <row r="99" spans="1:2" x14ac:dyDescent="0.25">
      <c r="A99" t="s">
        <v>326</v>
      </c>
      <c r="B99" t="s">
        <v>316</v>
      </c>
    </row>
    <row r="100" spans="1:2" x14ac:dyDescent="0.25">
      <c r="A100" t="s">
        <v>327</v>
      </c>
      <c r="B100" t="s">
        <v>316</v>
      </c>
    </row>
    <row r="101" spans="1:2" x14ac:dyDescent="0.25">
      <c r="A101" t="s">
        <v>328</v>
      </c>
      <c r="B101" t="s">
        <v>316</v>
      </c>
    </row>
    <row r="102" spans="1:2" x14ac:dyDescent="0.25">
      <c r="A102" t="s">
        <v>329</v>
      </c>
      <c r="B102" t="s">
        <v>316</v>
      </c>
    </row>
    <row r="103" spans="1:2" x14ac:dyDescent="0.25">
      <c r="A103" t="s">
        <v>330</v>
      </c>
      <c r="B103" t="s">
        <v>316</v>
      </c>
    </row>
    <row r="104" spans="1:2" x14ac:dyDescent="0.25">
      <c r="A104" t="s">
        <v>331</v>
      </c>
      <c r="B104" t="s">
        <v>316</v>
      </c>
    </row>
    <row r="105" spans="1:2" x14ac:dyDescent="0.25">
      <c r="A105" t="s">
        <v>332</v>
      </c>
      <c r="B105" t="s">
        <v>316</v>
      </c>
    </row>
    <row r="106" spans="1:2" x14ac:dyDescent="0.25">
      <c r="A106" t="s">
        <v>335</v>
      </c>
      <c r="B106" t="s">
        <v>316</v>
      </c>
    </row>
    <row r="107" spans="1:2" x14ac:dyDescent="0.25">
      <c r="A107" t="s">
        <v>336</v>
      </c>
      <c r="B107" t="s">
        <v>316</v>
      </c>
    </row>
    <row r="108" spans="1:2" x14ac:dyDescent="0.25">
      <c r="A108" t="s">
        <v>337</v>
      </c>
      <c r="B108" t="s">
        <v>316</v>
      </c>
    </row>
    <row r="109" spans="1:2" x14ac:dyDescent="0.25">
      <c r="A109" t="s">
        <v>338</v>
      </c>
      <c r="B109" t="s">
        <v>316</v>
      </c>
    </row>
    <row r="110" spans="1:2" x14ac:dyDescent="0.25">
      <c r="A110" t="s">
        <v>340</v>
      </c>
      <c r="B110" t="s">
        <v>339</v>
      </c>
    </row>
    <row r="111" spans="1:2" x14ac:dyDescent="0.25">
      <c r="A111" t="s">
        <v>341</v>
      </c>
      <c r="B111" t="s">
        <v>339</v>
      </c>
    </row>
    <row r="112" spans="1:2" x14ac:dyDescent="0.25">
      <c r="A112" t="s">
        <v>342</v>
      </c>
      <c r="B112" t="s">
        <v>339</v>
      </c>
    </row>
    <row r="113" spans="1:2" x14ac:dyDescent="0.25">
      <c r="A113" t="s">
        <v>343</v>
      </c>
      <c r="B113" t="s">
        <v>339</v>
      </c>
    </row>
    <row r="114" spans="1:2" x14ac:dyDescent="0.25">
      <c r="A114" t="s">
        <v>344</v>
      </c>
      <c r="B114" t="s">
        <v>339</v>
      </c>
    </row>
    <row r="115" spans="1:2" x14ac:dyDescent="0.25">
      <c r="A115" t="s">
        <v>347</v>
      </c>
      <c r="B115" t="s">
        <v>339</v>
      </c>
    </row>
    <row r="116" spans="1:2" x14ac:dyDescent="0.25">
      <c r="A116" t="s">
        <v>348</v>
      </c>
      <c r="B116" t="s">
        <v>339</v>
      </c>
    </row>
    <row r="117" spans="1:2" x14ac:dyDescent="0.25">
      <c r="A117" t="s">
        <v>349</v>
      </c>
      <c r="B117" t="s">
        <v>339</v>
      </c>
    </row>
    <row r="118" spans="1:2" x14ac:dyDescent="0.25">
      <c r="A118" t="s">
        <v>350</v>
      </c>
      <c r="B118" t="s">
        <v>339</v>
      </c>
    </row>
    <row r="119" spans="1:2" x14ac:dyDescent="0.25">
      <c r="A119" t="s">
        <v>351</v>
      </c>
      <c r="B119" t="s">
        <v>339</v>
      </c>
    </row>
    <row r="120" spans="1:2" x14ac:dyDescent="0.25">
      <c r="A120" t="s">
        <v>352</v>
      </c>
      <c r="B120" t="s">
        <v>339</v>
      </c>
    </row>
    <row r="121" spans="1:2" x14ac:dyDescent="0.25">
      <c r="A121" t="s">
        <v>353</v>
      </c>
      <c r="B121" t="s">
        <v>339</v>
      </c>
    </row>
    <row r="122" spans="1:2" x14ac:dyDescent="0.25">
      <c r="A122" t="s">
        <v>354</v>
      </c>
      <c r="B122" t="s">
        <v>339</v>
      </c>
    </row>
    <row r="123" spans="1:2" x14ac:dyDescent="0.25">
      <c r="A123" t="s">
        <v>355</v>
      </c>
      <c r="B123" t="s">
        <v>339</v>
      </c>
    </row>
    <row r="124" spans="1:2" x14ac:dyDescent="0.25">
      <c r="A124" t="s">
        <v>358</v>
      </c>
      <c r="B124" t="s">
        <v>339</v>
      </c>
    </row>
    <row r="125" spans="1:2" x14ac:dyDescent="0.25">
      <c r="A125" t="s">
        <v>359</v>
      </c>
      <c r="B125" t="s">
        <v>339</v>
      </c>
    </row>
    <row r="126" spans="1:2" x14ac:dyDescent="0.25">
      <c r="A126" t="s">
        <v>360</v>
      </c>
      <c r="B126" t="s">
        <v>339</v>
      </c>
    </row>
    <row r="127" spans="1:2" x14ac:dyDescent="0.25">
      <c r="A127" t="s">
        <v>361</v>
      </c>
      <c r="B127" t="s">
        <v>339</v>
      </c>
    </row>
    <row r="128" spans="1:2" x14ac:dyDescent="0.25">
      <c r="A128" t="s">
        <v>363</v>
      </c>
      <c r="B128" t="s">
        <v>362</v>
      </c>
    </row>
    <row r="129" spans="1:2" x14ac:dyDescent="0.25">
      <c r="A129" t="s">
        <v>364</v>
      </c>
      <c r="B129" t="s">
        <v>362</v>
      </c>
    </row>
    <row r="130" spans="1:2" x14ac:dyDescent="0.25">
      <c r="A130" t="s">
        <v>365</v>
      </c>
      <c r="B130" t="s">
        <v>362</v>
      </c>
    </row>
    <row r="131" spans="1:2" x14ac:dyDescent="0.25">
      <c r="A131" t="s">
        <v>366</v>
      </c>
      <c r="B131" t="s">
        <v>362</v>
      </c>
    </row>
    <row r="132" spans="1:2" x14ac:dyDescent="0.25">
      <c r="A132" t="s">
        <v>367</v>
      </c>
      <c r="B132" t="s">
        <v>362</v>
      </c>
    </row>
    <row r="133" spans="1:2" x14ac:dyDescent="0.25">
      <c r="A133" t="s">
        <v>370</v>
      </c>
      <c r="B133" t="s">
        <v>362</v>
      </c>
    </row>
    <row r="134" spans="1:2" x14ac:dyDescent="0.25">
      <c r="A134" t="s">
        <v>371</v>
      </c>
      <c r="B134" t="s">
        <v>362</v>
      </c>
    </row>
    <row r="135" spans="1:2" x14ac:dyDescent="0.25">
      <c r="A135" t="s">
        <v>372</v>
      </c>
      <c r="B135" t="s">
        <v>362</v>
      </c>
    </row>
    <row r="136" spans="1:2" x14ac:dyDescent="0.25">
      <c r="A136" t="s">
        <v>373</v>
      </c>
      <c r="B136" t="s">
        <v>362</v>
      </c>
    </row>
    <row r="137" spans="1:2" x14ac:dyDescent="0.25">
      <c r="A137" t="s">
        <v>374</v>
      </c>
      <c r="B137" t="s">
        <v>362</v>
      </c>
    </row>
    <row r="138" spans="1:2" x14ac:dyDescent="0.25">
      <c r="A138" t="s">
        <v>375</v>
      </c>
      <c r="B138" t="s">
        <v>362</v>
      </c>
    </row>
    <row r="139" spans="1:2" x14ac:dyDescent="0.25">
      <c r="A139" t="s">
        <v>376</v>
      </c>
      <c r="B139" t="s">
        <v>362</v>
      </c>
    </row>
    <row r="140" spans="1:2" x14ac:dyDescent="0.25">
      <c r="A140" t="s">
        <v>377</v>
      </c>
      <c r="B140" t="s">
        <v>362</v>
      </c>
    </row>
    <row r="141" spans="1:2" x14ac:dyDescent="0.25">
      <c r="A141" t="s">
        <v>378</v>
      </c>
      <c r="B141" t="s">
        <v>362</v>
      </c>
    </row>
    <row r="142" spans="1:2" x14ac:dyDescent="0.25">
      <c r="A142" t="s">
        <v>381</v>
      </c>
      <c r="B142" t="s">
        <v>362</v>
      </c>
    </row>
    <row r="143" spans="1:2" x14ac:dyDescent="0.25">
      <c r="A143" t="s">
        <v>382</v>
      </c>
      <c r="B143" t="s">
        <v>362</v>
      </c>
    </row>
    <row r="144" spans="1:2" x14ac:dyDescent="0.25">
      <c r="A144" t="s">
        <v>383</v>
      </c>
      <c r="B144" t="s">
        <v>362</v>
      </c>
    </row>
    <row r="145" spans="1:2" x14ac:dyDescent="0.25">
      <c r="A145" t="s">
        <v>384</v>
      </c>
      <c r="B145" t="s">
        <v>362</v>
      </c>
    </row>
    <row r="146" spans="1:2" x14ac:dyDescent="0.25">
      <c r="A146" t="s">
        <v>386</v>
      </c>
      <c r="B146" t="s">
        <v>385</v>
      </c>
    </row>
    <row r="147" spans="1:2" x14ac:dyDescent="0.25">
      <c r="A147" t="s">
        <v>387</v>
      </c>
      <c r="B147" t="s">
        <v>385</v>
      </c>
    </row>
    <row r="148" spans="1:2" x14ac:dyDescent="0.25">
      <c r="A148" t="s">
        <v>388</v>
      </c>
      <c r="B148" t="s">
        <v>385</v>
      </c>
    </row>
    <row r="149" spans="1:2" x14ac:dyDescent="0.25">
      <c r="A149" t="s">
        <v>389</v>
      </c>
      <c r="B149" t="s">
        <v>385</v>
      </c>
    </row>
    <row r="150" spans="1:2" x14ac:dyDescent="0.25">
      <c r="A150" t="s">
        <v>390</v>
      </c>
      <c r="B150" t="s">
        <v>385</v>
      </c>
    </row>
    <row r="151" spans="1:2" x14ac:dyDescent="0.25">
      <c r="A151" t="s">
        <v>393</v>
      </c>
      <c r="B151" t="s">
        <v>385</v>
      </c>
    </row>
    <row r="152" spans="1:2" x14ac:dyDescent="0.25">
      <c r="A152" t="s">
        <v>394</v>
      </c>
      <c r="B152" t="s">
        <v>385</v>
      </c>
    </row>
    <row r="153" spans="1:2" x14ac:dyDescent="0.25">
      <c r="A153" t="s">
        <v>395</v>
      </c>
      <c r="B153" t="s">
        <v>385</v>
      </c>
    </row>
    <row r="154" spans="1:2" x14ac:dyDescent="0.25">
      <c r="A154" t="s">
        <v>396</v>
      </c>
      <c r="B154" t="s">
        <v>385</v>
      </c>
    </row>
    <row r="155" spans="1:2" x14ac:dyDescent="0.25">
      <c r="A155" t="s">
        <v>397</v>
      </c>
      <c r="B155" t="s">
        <v>385</v>
      </c>
    </row>
    <row r="156" spans="1:2" x14ac:dyDescent="0.25">
      <c r="A156" t="s">
        <v>398</v>
      </c>
      <c r="B156" t="s">
        <v>385</v>
      </c>
    </row>
    <row r="157" spans="1:2" x14ac:dyDescent="0.25">
      <c r="A157" t="s">
        <v>399</v>
      </c>
      <c r="B157" t="s">
        <v>385</v>
      </c>
    </row>
    <row r="158" spans="1:2" x14ac:dyDescent="0.25">
      <c r="A158" t="s">
        <v>400</v>
      </c>
      <c r="B158" t="s">
        <v>385</v>
      </c>
    </row>
    <row r="159" spans="1:2" x14ac:dyDescent="0.25">
      <c r="A159" t="s">
        <v>401</v>
      </c>
      <c r="B159" t="s">
        <v>385</v>
      </c>
    </row>
    <row r="160" spans="1:2" x14ac:dyDescent="0.25">
      <c r="A160" t="s">
        <v>404</v>
      </c>
      <c r="B160" t="s">
        <v>385</v>
      </c>
    </row>
    <row r="161" spans="1:2" x14ac:dyDescent="0.25">
      <c r="A161" t="s">
        <v>405</v>
      </c>
      <c r="B161" t="s">
        <v>385</v>
      </c>
    </row>
    <row r="162" spans="1:2" x14ac:dyDescent="0.25">
      <c r="A162" t="s">
        <v>406</v>
      </c>
      <c r="B162" t="s">
        <v>385</v>
      </c>
    </row>
    <row r="163" spans="1:2" x14ac:dyDescent="0.25">
      <c r="A163" t="s">
        <v>407</v>
      </c>
      <c r="B163" t="s">
        <v>385</v>
      </c>
    </row>
    <row r="164" spans="1:2" x14ac:dyDescent="0.25">
      <c r="A164" t="s">
        <v>409</v>
      </c>
      <c r="B164" t="s">
        <v>408</v>
      </c>
    </row>
    <row r="165" spans="1:2" x14ac:dyDescent="0.25">
      <c r="A165" t="s">
        <v>410</v>
      </c>
      <c r="B165" t="s">
        <v>408</v>
      </c>
    </row>
    <row r="166" spans="1:2" x14ac:dyDescent="0.25">
      <c r="A166" t="s">
        <v>411</v>
      </c>
      <c r="B166" t="s">
        <v>408</v>
      </c>
    </row>
    <row r="167" spans="1:2" x14ac:dyDescent="0.25">
      <c r="A167" t="s">
        <v>412</v>
      </c>
      <c r="B167" t="s">
        <v>408</v>
      </c>
    </row>
    <row r="168" spans="1:2" x14ac:dyDescent="0.25">
      <c r="A168" t="s">
        <v>413</v>
      </c>
      <c r="B168" t="s">
        <v>408</v>
      </c>
    </row>
    <row r="169" spans="1:2" x14ac:dyDescent="0.25">
      <c r="A169" t="s">
        <v>416</v>
      </c>
      <c r="B169" t="s">
        <v>408</v>
      </c>
    </row>
    <row r="170" spans="1:2" x14ac:dyDescent="0.25">
      <c r="A170" t="s">
        <v>417</v>
      </c>
      <c r="B170" t="s">
        <v>408</v>
      </c>
    </row>
    <row r="171" spans="1:2" x14ac:dyDescent="0.25">
      <c r="A171" t="s">
        <v>418</v>
      </c>
      <c r="B171" t="s">
        <v>408</v>
      </c>
    </row>
    <row r="172" spans="1:2" x14ac:dyDescent="0.25">
      <c r="A172" t="s">
        <v>419</v>
      </c>
      <c r="B172" t="s">
        <v>408</v>
      </c>
    </row>
    <row r="173" spans="1:2" x14ac:dyDescent="0.25">
      <c r="A173" t="s">
        <v>420</v>
      </c>
      <c r="B173" t="s">
        <v>408</v>
      </c>
    </row>
    <row r="174" spans="1:2" x14ac:dyDescent="0.25">
      <c r="A174" t="s">
        <v>421</v>
      </c>
      <c r="B174" t="s">
        <v>408</v>
      </c>
    </row>
    <row r="175" spans="1:2" x14ac:dyDescent="0.25">
      <c r="A175" t="s">
        <v>422</v>
      </c>
      <c r="B175" t="s">
        <v>408</v>
      </c>
    </row>
    <row r="176" spans="1:2" x14ac:dyDescent="0.25">
      <c r="A176" t="s">
        <v>423</v>
      </c>
      <c r="B176" t="s">
        <v>408</v>
      </c>
    </row>
    <row r="177" spans="1:2" x14ac:dyDescent="0.25">
      <c r="A177" t="s">
        <v>424</v>
      </c>
      <c r="B177" t="s">
        <v>408</v>
      </c>
    </row>
    <row r="178" spans="1:2" x14ac:dyDescent="0.25">
      <c r="A178" t="s">
        <v>427</v>
      </c>
      <c r="B178" t="s">
        <v>408</v>
      </c>
    </row>
    <row r="179" spans="1:2" x14ac:dyDescent="0.25">
      <c r="A179" t="s">
        <v>428</v>
      </c>
      <c r="B179" t="s">
        <v>408</v>
      </c>
    </row>
    <row r="180" spans="1:2" x14ac:dyDescent="0.25">
      <c r="A180" t="s">
        <v>429</v>
      </c>
      <c r="B180" t="s">
        <v>408</v>
      </c>
    </row>
    <row r="181" spans="1:2" x14ac:dyDescent="0.25">
      <c r="A181" t="s">
        <v>430</v>
      </c>
      <c r="B181" t="s">
        <v>408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E7316-E758-4F2E-BB7E-E691246185C4}">
  <sheetPr>
    <tabColor indexed="10"/>
  </sheetPr>
  <dimension ref="A1:G11"/>
  <sheetViews>
    <sheetView workbookViewId="0">
      <selection activeCell="H1" sqref="H1:XFD1048576"/>
    </sheetView>
  </sheetViews>
  <sheetFormatPr defaultColWidth="0" defaultRowHeight="15" x14ac:dyDescent="0.25"/>
  <cols>
    <col min="1" max="1" width="10.140625" bestFit="1" customWidth="1"/>
    <col min="2" max="7" width="8.85546875" customWidth="1"/>
    <col min="8" max="16384" width="8.85546875" hidden="1"/>
  </cols>
  <sheetData>
    <row r="1" spans="1:7" x14ac:dyDescent="0.25">
      <c r="A1" t="s">
        <v>17</v>
      </c>
      <c r="B1" t="s">
        <v>18</v>
      </c>
      <c r="C1" t="s">
        <v>19</v>
      </c>
      <c r="D1" t="s">
        <v>20</v>
      </c>
      <c r="E1" t="s">
        <v>22</v>
      </c>
      <c r="F1" t="s">
        <v>23</v>
      </c>
      <c r="G1" t="s">
        <v>24</v>
      </c>
    </row>
    <row r="2" spans="1:7" x14ac:dyDescent="0.25">
      <c r="A2" t="s">
        <v>201</v>
      </c>
      <c r="B2">
        <v>0.18555900621118013</v>
      </c>
      <c r="C2">
        <v>0.18555900621118013</v>
      </c>
      <c r="D2">
        <v>0</v>
      </c>
      <c r="E2">
        <v>0</v>
      </c>
      <c r="F2">
        <v>0</v>
      </c>
      <c r="G2">
        <v>15.383022774327122</v>
      </c>
    </row>
    <row r="3" spans="1:7" x14ac:dyDescent="0.25">
      <c r="A3" t="s">
        <v>224</v>
      </c>
      <c r="B3">
        <v>0.17494824016563146</v>
      </c>
      <c r="C3">
        <v>0.17494824016563146</v>
      </c>
      <c r="D3">
        <v>0</v>
      </c>
      <c r="E3">
        <v>0</v>
      </c>
      <c r="F3">
        <v>0</v>
      </c>
      <c r="G3">
        <v>13.729296066252587</v>
      </c>
    </row>
    <row r="4" spans="1:7" x14ac:dyDescent="0.25">
      <c r="A4" t="s">
        <v>247</v>
      </c>
      <c r="B4">
        <v>0.15217391304347824</v>
      </c>
      <c r="C4">
        <v>0.15217391304347824</v>
      </c>
      <c r="D4">
        <v>0</v>
      </c>
      <c r="E4">
        <v>0</v>
      </c>
      <c r="F4">
        <v>0</v>
      </c>
      <c r="G4">
        <v>10.706521739130435</v>
      </c>
    </row>
    <row r="5" spans="1:7" x14ac:dyDescent="0.25">
      <c r="A5" t="s">
        <v>270</v>
      </c>
      <c r="B5">
        <v>0.14518633540372669</v>
      </c>
      <c r="C5">
        <v>0.14518633540372669</v>
      </c>
      <c r="D5">
        <v>0</v>
      </c>
      <c r="E5">
        <v>0</v>
      </c>
      <c r="F5">
        <v>0</v>
      </c>
      <c r="G5">
        <v>9.0320910973084878</v>
      </c>
    </row>
    <row r="6" spans="1:7" x14ac:dyDescent="0.25">
      <c r="A6" t="s">
        <v>293</v>
      </c>
      <c r="B6">
        <v>0.15916149068322979</v>
      </c>
      <c r="C6">
        <v>0.15916149068322979</v>
      </c>
      <c r="D6">
        <v>0</v>
      </c>
      <c r="E6">
        <v>0</v>
      </c>
      <c r="F6">
        <v>0</v>
      </c>
      <c r="G6">
        <v>9.3271221532091086</v>
      </c>
    </row>
    <row r="7" spans="1:7" x14ac:dyDescent="0.25">
      <c r="A7" t="s">
        <v>316</v>
      </c>
      <c r="B7">
        <v>0.14389233954451344</v>
      </c>
      <c r="C7">
        <v>0.14389233954451344</v>
      </c>
      <c r="D7">
        <v>0</v>
      </c>
      <c r="E7">
        <v>0</v>
      </c>
      <c r="F7">
        <v>0</v>
      </c>
      <c r="G7">
        <v>8.8586956521739122</v>
      </c>
    </row>
    <row r="8" spans="1:7" x14ac:dyDescent="0.25">
      <c r="A8" t="s">
        <v>339</v>
      </c>
      <c r="B8">
        <v>0.15320910973084886</v>
      </c>
      <c r="C8">
        <v>0.15320910973084886</v>
      </c>
      <c r="D8">
        <v>0</v>
      </c>
      <c r="E8">
        <v>0</v>
      </c>
      <c r="F8">
        <v>0</v>
      </c>
      <c r="G8">
        <v>9.6350931677018625</v>
      </c>
    </row>
    <row r="9" spans="1:7" x14ac:dyDescent="0.25">
      <c r="A9" t="s">
        <v>362</v>
      </c>
      <c r="B9">
        <v>0.14932712215320912</v>
      </c>
      <c r="C9">
        <v>0.14932712215320912</v>
      </c>
      <c r="D9">
        <v>0</v>
      </c>
      <c r="E9">
        <v>0</v>
      </c>
      <c r="F9">
        <v>0</v>
      </c>
      <c r="G9">
        <v>9.604037267080745</v>
      </c>
    </row>
    <row r="10" spans="1:7" x14ac:dyDescent="0.25">
      <c r="A10" t="s">
        <v>385</v>
      </c>
      <c r="B10">
        <v>0.14363354037267079</v>
      </c>
      <c r="C10">
        <v>0.14363354037267079</v>
      </c>
      <c r="D10">
        <v>0</v>
      </c>
      <c r="E10">
        <v>0</v>
      </c>
      <c r="F10">
        <v>0</v>
      </c>
      <c r="G10">
        <v>9.4409937888198758</v>
      </c>
    </row>
    <row r="11" spans="1:7" x14ac:dyDescent="0.25">
      <c r="A11" t="s">
        <v>408</v>
      </c>
      <c r="B11">
        <v>0.11464803312629397</v>
      </c>
      <c r="C11">
        <v>0.11464803312629397</v>
      </c>
      <c r="D11">
        <v>0</v>
      </c>
      <c r="E11">
        <v>0</v>
      </c>
      <c r="F11">
        <v>0</v>
      </c>
      <c r="G11">
        <v>7.8157349896480319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10EE4-F270-4A04-851A-377E4ED175AD}">
  <sheetPr>
    <tabColor indexed="10"/>
  </sheetPr>
  <dimension ref="A1:H1257"/>
  <sheetViews>
    <sheetView workbookViewId="0">
      <selection activeCell="I1" sqref="I1:XFD1048576"/>
    </sheetView>
  </sheetViews>
  <sheetFormatPr defaultColWidth="0" defaultRowHeight="15" x14ac:dyDescent="0.25"/>
  <cols>
    <col min="1" max="1" width="19.5703125" bestFit="1" customWidth="1"/>
    <col min="2" max="2" width="8.85546875" customWidth="1"/>
    <col min="3" max="3" width="19.28515625" customWidth="1"/>
    <col min="4" max="4" width="20.7109375" bestFit="1" customWidth="1"/>
    <col min="5" max="5" width="20.140625" bestFit="1" customWidth="1"/>
    <col min="6" max="7" width="14.5703125" customWidth="1"/>
    <col min="8" max="8" width="16.85546875" bestFit="1" customWidth="1"/>
    <col min="9" max="16384" width="8.85546875" hidden="1"/>
  </cols>
  <sheetData>
    <row r="1" spans="1:8" x14ac:dyDescent="0.25">
      <c r="A1" t="s">
        <v>0</v>
      </c>
      <c r="B1" t="s">
        <v>4</v>
      </c>
      <c r="C1" t="s">
        <v>1</v>
      </c>
      <c r="D1" t="s">
        <v>2</v>
      </c>
      <c r="E1" t="s">
        <v>3</v>
      </c>
      <c r="F1" t="s">
        <v>10</v>
      </c>
      <c r="G1" t="s">
        <v>26</v>
      </c>
      <c r="H1" t="s">
        <v>39</v>
      </c>
    </row>
    <row r="2" spans="1:8" x14ac:dyDescent="0.25">
      <c r="A2" t="s">
        <v>431</v>
      </c>
      <c r="B2">
        <v>1</v>
      </c>
      <c r="C2" t="s">
        <v>5</v>
      </c>
      <c r="D2" t="s">
        <v>202</v>
      </c>
      <c r="E2" t="s">
        <v>203</v>
      </c>
      <c r="F2" t="s">
        <v>1532</v>
      </c>
      <c r="G2" t="s">
        <v>150</v>
      </c>
      <c r="H2" t="s">
        <v>1495</v>
      </c>
    </row>
    <row r="3" spans="1:8" x14ac:dyDescent="0.25">
      <c r="A3" t="s">
        <v>432</v>
      </c>
      <c r="B3">
        <v>2</v>
      </c>
      <c r="C3" t="s">
        <v>5</v>
      </c>
      <c r="D3" t="s">
        <v>204</v>
      </c>
      <c r="E3" t="s">
        <v>205</v>
      </c>
      <c r="F3" t="s">
        <v>1532</v>
      </c>
      <c r="G3" t="s">
        <v>150</v>
      </c>
      <c r="H3" t="s">
        <v>1495</v>
      </c>
    </row>
    <row r="4" spans="1:8" x14ac:dyDescent="0.25">
      <c r="A4" t="s">
        <v>433</v>
      </c>
      <c r="B4">
        <v>3</v>
      </c>
      <c r="C4" t="s">
        <v>5</v>
      </c>
      <c r="D4" t="s">
        <v>207</v>
      </c>
      <c r="E4" t="s">
        <v>208</v>
      </c>
      <c r="F4" t="s">
        <v>1532</v>
      </c>
      <c r="G4" t="s">
        <v>150</v>
      </c>
      <c r="H4" t="s">
        <v>1495</v>
      </c>
    </row>
    <row r="5" spans="1:8" x14ac:dyDescent="0.25">
      <c r="A5" t="s">
        <v>434</v>
      </c>
      <c r="B5">
        <v>4</v>
      </c>
      <c r="C5" t="s">
        <v>5</v>
      </c>
      <c r="D5" t="s">
        <v>211</v>
      </c>
      <c r="E5" t="s">
        <v>212</v>
      </c>
      <c r="F5" t="s">
        <v>1532</v>
      </c>
      <c r="G5" t="s">
        <v>150</v>
      </c>
      <c r="H5" t="s">
        <v>1496</v>
      </c>
    </row>
    <row r="6" spans="1:8" x14ac:dyDescent="0.25">
      <c r="A6" t="s">
        <v>435</v>
      </c>
      <c r="B6">
        <v>5</v>
      </c>
      <c r="C6" t="s">
        <v>5</v>
      </c>
      <c r="D6" t="s">
        <v>212</v>
      </c>
      <c r="E6" t="s">
        <v>213</v>
      </c>
      <c r="F6" t="s">
        <v>1532</v>
      </c>
      <c r="G6" t="s">
        <v>150</v>
      </c>
      <c r="H6" t="s">
        <v>1496</v>
      </c>
    </row>
    <row r="7" spans="1:8" x14ac:dyDescent="0.25">
      <c r="A7" t="s">
        <v>436</v>
      </c>
      <c r="B7">
        <v>6</v>
      </c>
      <c r="C7" t="s">
        <v>5</v>
      </c>
      <c r="D7" t="s">
        <v>213</v>
      </c>
      <c r="E7" t="s">
        <v>214</v>
      </c>
      <c r="F7" t="s">
        <v>1532</v>
      </c>
      <c r="G7" t="s">
        <v>150</v>
      </c>
      <c r="H7" t="s">
        <v>1496</v>
      </c>
    </row>
    <row r="8" spans="1:8" x14ac:dyDescent="0.25">
      <c r="A8" t="s">
        <v>437</v>
      </c>
      <c r="B8">
        <v>7</v>
      </c>
      <c r="C8" t="s">
        <v>5</v>
      </c>
      <c r="D8" t="s">
        <v>218</v>
      </c>
      <c r="E8" t="s">
        <v>219</v>
      </c>
      <c r="F8" t="s">
        <v>1532</v>
      </c>
      <c r="G8" t="s">
        <v>150</v>
      </c>
      <c r="H8" t="s">
        <v>1497</v>
      </c>
    </row>
    <row r="9" spans="1:8" x14ac:dyDescent="0.25">
      <c r="A9" t="s">
        <v>438</v>
      </c>
      <c r="B9">
        <v>8</v>
      </c>
      <c r="C9" t="s">
        <v>5</v>
      </c>
      <c r="D9" t="s">
        <v>220</v>
      </c>
      <c r="E9" t="s">
        <v>221</v>
      </c>
      <c r="F9" t="s">
        <v>1532</v>
      </c>
      <c r="G9" t="s">
        <v>150</v>
      </c>
      <c r="H9" t="s">
        <v>1498</v>
      </c>
    </row>
    <row r="10" spans="1:8" x14ac:dyDescent="0.25">
      <c r="A10" t="s">
        <v>439</v>
      </c>
      <c r="B10">
        <v>9</v>
      </c>
      <c r="C10" t="s">
        <v>5</v>
      </c>
      <c r="D10" t="s">
        <v>221</v>
      </c>
      <c r="E10" t="s">
        <v>222</v>
      </c>
      <c r="F10" t="s">
        <v>1532</v>
      </c>
      <c r="G10" t="s">
        <v>150</v>
      </c>
      <c r="H10" t="s">
        <v>1498</v>
      </c>
    </row>
    <row r="11" spans="1:8" x14ac:dyDescent="0.25">
      <c r="A11" t="s">
        <v>440</v>
      </c>
      <c r="B11">
        <v>10</v>
      </c>
      <c r="C11" t="s">
        <v>5</v>
      </c>
      <c r="D11" t="s">
        <v>222</v>
      </c>
      <c r="E11" t="s">
        <v>223</v>
      </c>
      <c r="F11" t="s">
        <v>1532</v>
      </c>
      <c r="G11" t="s">
        <v>150</v>
      </c>
      <c r="H11" t="s">
        <v>1498</v>
      </c>
    </row>
    <row r="12" spans="1:8" x14ac:dyDescent="0.25">
      <c r="A12" t="s">
        <v>441</v>
      </c>
      <c r="B12">
        <v>11</v>
      </c>
      <c r="C12" t="s">
        <v>5</v>
      </c>
      <c r="D12" t="s">
        <v>203</v>
      </c>
      <c r="E12" t="s">
        <v>207</v>
      </c>
      <c r="F12" t="s">
        <v>1530</v>
      </c>
      <c r="G12" t="s">
        <v>150</v>
      </c>
      <c r="H12" t="s">
        <v>1499</v>
      </c>
    </row>
    <row r="13" spans="1:8" x14ac:dyDescent="0.25">
      <c r="A13" t="s">
        <v>442</v>
      </c>
      <c r="B13">
        <v>12</v>
      </c>
      <c r="C13" t="s">
        <v>5</v>
      </c>
      <c r="D13" t="s">
        <v>207</v>
      </c>
      <c r="E13" t="s">
        <v>212</v>
      </c>
      <c r="F13" t="s">
        <v>1531</v>
      </c>
      <c r="G13" t="s">
        <v>150</v>
      </c>
      <c r="H13" t="s">
        <v>1499</v>
      </c>
    </row>
    <row r="14" spans="1:8" x14ac:dyDescent="0.25">
      <c r="A14" t="s">
        <v>443</v>
      </c>
      <c r="B14">
        <v>13</v>
      </c>
      <c r="C14" t="s">
        <v>5</v>
      </c>
      <c r="D14" t="s">
        <v>204</v>
      </c>
      <c r="E14" t="s">
        <v>208</v>
      </c>
      <c r="F14" t="s">
        <v>1530</v>
      </c>
      <c r="G14" t="s">
        <v>150</v>
      </c>
      <c r="H14" t="s">
        <v>1500</v>
      </c>
    </row>
    <row r="15" spans="1:8" x14ac:dyDescent="0.25">
      <c r="A15" t="s">
        <v>444</v>
      </c>
      <c r="B15">
        <v>14</v>
      </c>
      <c r="C15" t="s">
        <v>5</v>
      </c>
      <c r="D15" t="s">
        <v>208</v>
      </c>
      <c r="E15" t="s">
        <v>213</v>
      </c>
      <c r="F15" t="s">
        <v>1531</v>
      </c>
      <c r="G15" t="s">
        <v>150</v>
      </c>
      <c r="H15" t="s">
        <v>1500</v>
      </c>
    </row>
    <row r="16" spans="1:8" x14ac:dyDescent="0.25">
      <c r="A16" t="s">
        <v>445</v>
      </c>
      <c r="B16">
        <v>15</v>
      </c>
      <c r="C16" t="s">
        <v>5</v>
      </c>
      <c r="D16" t="s">
        <v>215</v>
      </c>
      <c r="E16" t="s">
        <v>218</v>
      </c>
      <c r="F16" t="s">
        <v>1530</v>
      </c>
      <c r="G16" t="s">
        <v>150</v>
      </c>
      <c r="H16" t="s">
        <v>1499</v>
      </c>
    </row>
    <row r="17" spans="1:8" x14ac:dyDescent="0.25">
      <c r="A17" t="s">
        <v>446</v>
      </c>
      <c r="B17">
        <v>16</v>
      </c>
      <c r="C17" t="s">
        <v>5</v>
      </c>
      <c r="D17" t="s">
        <v>218</v>
      </c>
      <c r="E17" t="s">
        <v>221</v>
      </c>
      <c r="F17" t="s">
        <v>1531</v>
      </c>
      <c r="G17" t="s">
        <v>150</v>
      </c>
      <c r="H17" t="s">
        <v>1499</v>
      </c>
    </row>
    <row r="18" spans="1:8" x14ac:dyDescent="0.25">
      <c r="A18" t="s">
        <v>447</v>
      </c>
      <c r="B18">
        <v>17</v>
      </c>
      <c r="C18" t="s">
        <v>5</v>
      </c>
      <c r="D18" t="s">
        <v>216</v>
      </c>
      <c r="E18" t="s">
        <v>219</v>
      </c>
      <c r="F18" t="s">
        <v>1530</v>
      </c>
      <c r="G18" t="s">
        <v>150</v>
      </c>
      <c r="H18" t="s">
        <v>1500</v>
      </c>
    </row>
    <row r="19" spans="1:8" x14ac:dyDescent="0.25">
      <c r="A19" t="s">
        <v>448</v>
      </c>
      <c r="B19">
        <v>18</v>
      </c>
      <c r="C19" t="s">
        <v>5</v>
      </c>
      <c r="D19" t="s">
        <v>219</v>
      </c>
      <c r="E19" t="s">
        <v>222</v>
      </c>
      <c r="F19" t="s">
        <v>1531</v>
      </c>
      <c r="G19" t="s">
        <v>150</v>
      </c>
      <c r="H19" t="s">
        <v>1500</v>
      </c>
    </row>
    <row r="20" spans="1:8" x14ac:dyDescent="0.25">
      <c r="A20" t="s">
        <v>1470</v>
      </c>
      <c r="B20">
        <v>19</v>
      </c>
      <c r="C20" t="s">
        <v>5</v>
      </c>
      <c r="D20" t="s">
        <v>183</v>
      </c>
      <c r="E20" t="s">
        <v>946</v>
      </c>
      <c r="F20" t="s">
        <v>146</v>
      </c>
      <c r="G20" t="s">
        <v>32</v>
      </c>
      <c r="H20" t="s">
        <v>1501</v>
      </c>
    </row>
    <row r="21" spans="1:8" x14ac:dyDescent="0.25">
      <c r="A21" t="s">
        <v>946</v>
      </c>
      <c r="B21">
        <v>546</v>
      </c>
      <c r="C21" t="s">
        <v>5</v>
      </c>
      <c r="D21" t="s">
        <v>946</v>
      </c>
      <c r="E21" t="s">
        <v>202</v>
      </c>
      <c r="F21" t="s">
        <v>146</v>
      </c>
      <c r="G21" t="s">
        <v>32</v>
      </c>
      <c r="H21" t="s">
        <v>1501</v>
      </c>
    </row>
    <row r="22" spans="1:8" x14ac:dyDescent="0.25">
      <c r="A22" t="s">
        <v>610</v>
      </c>
      <c r="B22">
        <v>20</v>
      </c>
      <c r="C22" t="s">
        <v>5</v>
      </c>
      <c r="D22" t="s">
        <v>184</v>
      </c>
      <c r="E22" t="s">
        <v>886</v>
      </c>
      <c r="F22" t="s">
        <v>146</v>
      </c>
      <c r="G22" t="s">
        <v>32</v>
      </c>
      <c r="H22" t="s">
        <v>1502</v>
      </c>
    </row>
    <row r="23" spans="1:8" x14ac:dyDescent="0.25">
      <c r="A23" t="s">
        <v>886</v>
      </c>
      <c r="B23">
        <v>366</v>
      </c>
      <c r="C23" t="s">
        <v>5</v>
      </c>
      <c r="D23" t="s">
        <v>886</v>
      </c>
      <c r="E23" t="s">
        <v>203</v>
      </c>
      <c r="F23" t="s">
        <v>146</v>
      </c>
      <c r="G23" t="s">
        <v>32</v>
      </c>
      <c r="H23" t="s">
        <v>1502</v>
      </c>
    </row>
    <row r="24" spans="1:8" x14ac:dyDescent="0.25">
      <c r="A24" t="s">
        <v>611</v>
      </c>
      <c r="B24">
        <v>21</v>
      </c>
      <c r="C24" t="s">
        <v>5</v>
      </c>
      <c r="D24" t="s">
        <v>185</v>
      </c>
      <c r="E24" t="s">
        <v>887</v>
      </c>
      <c r="F24" t="s">
        <v>146</v>
      </c>
      <c r="G24" t="s">
        <v>32</v>
      </c>
      <c r="H24" t="s">
        <v>1503</v>
      </c>
    </row>
    <row r="25" spans="1:8" x14ac:dyDescent="0.25">
      <c r="A25" t="s">
        <v>887</v>
      </c>
      <c r="B25">
        <v>367</v>
      </c>
      <c r="C25" t="s">
        <v>5</v>
      </c>
      <c r="D25" t="s">
        <v>887</v>
      </c>
      <c r="E25" t="s">
        <v>204</v>
      </c>
      <c r="F25" t="s">
        <v>146</v>
      </c>
      <c r="G25" t="s">
        <v>32</v>
      </c>
      <c r="H25" t="s">
        <v>1503</v>
      </c>
    </row>
    <row r="26" spans="1:8" x14ac:dyDescent="0.25">
      <c r="A26" t="s">
        <v>612</v>
      </c>
      <c r="B26">
        <v>22</v>
      </c>
      <c r="C26" t="s">
        <v>5</v>
      </c>
      <c r="D26" t="s">
        <v>186</v>
      </c>
      <c r="E26" t="s">
        <v>976</v>
      </c>
      <c r="F26" t="s">
        <v>146</v>
      </c>
      <c r="G26" t="s">
        <v>32</v>
      </c>
      <c r="H26" t="s">
        <v>1504</v>
      </c>
    </row>
    <row r="27" spans="1:8" x14ac:dyDescent="0.25">
      <c r="A27" t="s">
        <v>976</v>
      </c>
      <c r="B27">
        <v>636</v>
      </c>
      <c r="C27" t="s">
        <v>5</v>
      </c>
      <c r="D27" t="s">
        <v>976</v>
      </c>
      <c r="E27" t="s">
        <v>205</v>
      </c>
      <c r="F27" t="s">
        <v>146</v>
      </c>
      <c r="G27" t="s">
        <v>32</v>
      </c>
      <c r="H27" t="s">
        <v>1504</v>
      </c>
    </row>
    <row r="28" spans="1:8" x14ac:dyDescent="0.25">
      <c r="A28" t="s">
        <v>613</v>
      </c>
      <c r="B28">
        <v>23</v>
      </c>
      <c r="C28" t="s">
        <v>5</v>
      </c>
      <c r="D28" t="s">
        <v>190</v>
      </c>
      <c r="E28" t="s">
        <v>947</v>
      </c>
      <c r="F28" t="s">
        <v>146</v>
      </c>
      <c r="G28" t="s">
        <v>32</v>
      </c>
      <c r="H28" t="s">
        <v>1505</v>
      </c>
    </row>
    <row r="29" spans="1:8" x14ac:dyDescent="0.25">
      <c r="A29" t="s">
        <v>947</v>
      </c>
      <c r="B29">
        <v>547</v>
      </c>
      <c r="C29" t="s">
        <v>5</v>
      </c>
      <c r="D29" t="s">
        <v>947</v>
      </c>
      <c r="E29" t="s">
        <v>211</v>
      </c>
      <c r="F29" t="s">
        <v>146</v>
      </c>
      <c r="G29" t="s">
        <v>32</v>
      </c>
      <c r="H29" t="s">
        <v>1505</v>
      </c>
    </row>
    <row r="30" spans="1:8" x14ac:dyDescent="0.25">
      <c r="A30" t="s">
        <v>614</v>
      </c>
      <c r="B30">
        <v>24</v>
      </c>
      <c r="C30" t="s">
        <v>5</v>
      </c>
      <c r="D30" t="s">
        <v>191</v>
      </c>
      <c r="E30" t="s">
        <v>212</v>
      </c>
      <c r="F30" t="s">
        <v>147</v>
      </c>
      <c r="G30" t="s">
        <v>32</v>
      </c>
      <c r="H30" t="s">
        <v>1506</v>
      </c>
    </row>
    <row r="31" spans="1:8" x14ac:dyDescent="0.25">
      <c r="A31" t="s">
        <v>615</v>
      </c>
      <c r="B31">
        <v>25</v>
      </c>
      <c r="C31" t="s">
        <v>5</v>
      </c>
      <c r="D31" t="s">
        <v>192</v>
      </c>
      <c r="E31" t="s">
        <v>213</v>
      </c>
      <c r="F31" t="s">
        <v>147</v>
      </c>
      <c r="G31" t="s">
        <v>32</v>
      </c>
      <c r="H31" t="s">
        <v>1507</v>
      </c>
    </row>
    <row r="32" spans="1:8" x14ac:dyDescent="0.25">
      <c r="A32" t="s">
        <v>616</v>
      </c>
      <c r="B32">
        <v>26</v>
      </c>
      <c r="C32" t="s">
        <v>5</v>
      </c>
      <c r="D32" t="s">
        <v>193</v>
      </c>
      <c r="E32" t="s">
        <v>977</v>
      </c>
      <c r="F32" t="s">
        <v>146</v>
      </c>
      <c r="G32" t="s">
        <v>32</v>
      </c>
      <c r="H32" t="s">
        <v>1508</v>
      </c>
    </row>
    <row r="33" spans="1:8" x14ac:dyDescent="0.25">
      <c r="A33" t="s">
        <v>977</v>
      </c>
      <c r="B33">
        <v>637</v>
      </c>
      <c r="C33" t="s">
        <v>5</v>
      </c>
      <c r="D33" t="s">
        <v>977</v>
      </c>
      <c r="E33" t="s">
        <v>214</v>
      </c>
      <c r="F33" t="s">
        <v>146</v>
      </c>
      <c r="G33" t="s">
        <v>32</v>
      </c>
      <c r="H33" t="s">
        <v>1508</v>
      </c>
    </row>
    <row r="34" spans="1:8" x14ac:dyDescent="0.25">
      <c r="A34" t="s">
        <v>617</v>
      </c>
      <c r="B34">
        <v>27</v>
      </c>
      <c r="C34" t="s">
        <v>5</v>
      </c>
      <c r="D34" t="s">
        <v>194</v>
      </c>
      <c r="E34" t="s">
        <v>916</v>
      </c>
      <c r="F34" t="s">
        <v>146</v>
      </c>
      <c r="G34" t="s">
        <v>32</v>
      </c>
      <c r="H34" t="s">
        <v>1509</v>
      </c>
    </row>
    <row r="35" spans="1:8" x14ac:dyDescent="0.25">
      <c r="A35" t="s">
        <v>916</v>
      </c>
      <c r="B35">
        <v>456</v>
      </c>
      <c r="C35" t="s">
        <v>5</v>
      </c>
      <c r="D35" t="s">
        <v>916</v>
      </c>
      <c r="E35" t="s">
        <v>215</v>
      </c>
      <c r="F35" t="s">
        <v>146</v>
      </c>
      <c r="G35" t="s">
        <v>32</v>
      </c>
      <c r="H35" t="s">
        <v>1509</v>
      </c>
    </row>
    <row r="36" spans="1:8" x14ac:dyDescent="0.25">
      <c r="A36" t="s">
        <v>618</v>
      </c>
      <c r="B36">
        <v>28</v>
      </c>
      <c r="C36" t="s">
        <v>5</v>
      </c>
      <c r="D36" t="s">
        <v>195</v>
      </c>
      <c r="E36" t="s">
        <v>917</v>
      </c>
      <c r="F36" t="s">
        <v>146</v>
      </c>
      <c r="G36" t="s">
        <v>32</v>
      </c>
      <c r="H36" t="s">
        <v>1510</v>
      </c>
    </row>
    <row r="37" spans="1:8" x14ac:dyDescent="0.25">
      <c r="A37" t="s">
        <v>917</v>
      </c>
      <c r="B37">
        <v>457</v>
      </c>
      <c r="C37" t="s">
        <v>5</v>
      </c>
      <c r="D37" t="s">
        <v>917</v>
      </c>
      <c r="E37" t="s">
        <v>216</v>
      </c>
      <c r="F37" t="s">
        <v>146</v>
      </c>
      <c r="G37" t="s">
        <v>32</v>
      </c>
      <c r="H37" t="s">
        <v>1510</v>
      </c>
    </row>
    <row r="38" spans="1:8" x14ac:dyDescent="0.25">
      <c r="A38" t="s">
        <v>619</v>
      </c>
      <c r="B38">
        <v>29</v>
      </c>
      <c r="C38" t="s">
        <v>5</v>
      </c>
      <c r="D38" t="s">
        <v>197</v>
      </c>
      <c r="E38" t="s">
        <v>220</v>
      </c>
      <c r="F38" t="s">
        <v>147</v>
      </c>
      <c r="G38" t="s">
        <v>32</v>
      </c>
      <c r="H38" t="s">
        <v>1511</v>
      </c>
    </row>
    <row r="39" spans="1:8" x14ac:dyDescent="0.25">
      <c r="A39" t="s">
        <v>620</v>
      </c>
      <c r="B39">
        <v>30</v>
      </c>
      <c r="C39" t="s">
        <v>5</v>
      </c>
      <c r="D39" t="s">
        <v>198</v>
      </c>
      <c r="E39" t="s">
        <v>221</v>
      </c>
      <c r="F39" t="s">
        <v>147</v>
      </c>
      <c r="G39" t="s">
        <v>32</v>
      </c>
      <c r="H39" t="s">
        <v>1512</v>
      </c>
    </row>
    <row r="40" spans="1:8" x14ac:dyDescent="0.25">
      <c r="A40" t="s">
        <v>621</v>
      </c>
      <c r="B40">
        <v>31</v>
      </c>
      <c r="C40" t="s">
        <v>5</v>
      </c>
      <c r="D40" t="s">
        <v>199</v>
      </c>
      <c r="E40" t="s">
        <v>222</v>
      </c>
      <c r="F40" t="s">
        <v>147</v>
      </c>
      <c r="G40" t="s">
        <v>32</v>
      </c>
      <c r="H40" t="s">
        <v>1513</v>
      </c>
    </row>
    <row r="41" spans="1:8" x14ac:dyDescent="0.25">
      <c r="A41" t="s">
        <v>622</v>
      </c>
      <c r="B41">
        <v>32</v>
      </c>
      <c r="C41" t="s">
        <v>5</v>
      </c>
      <c r="D41" t="s">
        <v>200</v>
      </c>
      <c r="E41" t="s">
        <v>223</v>
      </c>
      <c r="F41" t="s">
        <v>147</v>
      </c>
      <c r="G41" t="s">
        <v>32</v>
      </c>
      <c r="H41" t="s">
        <v>1514</v>
      </c>
    </row>
    <row r="42" spans="1:8" x14ac:dyDescent="0.25">
      <c r="A42" t="s">
        <v>623</v>
      </c>
      <c r="B42">
        <v>33</v>
      </c>
      <c r="C42" t="s">
        <v>5</v>
      </c>
      <c r="D42" t="s">
        <v>187</v>
      </c>
      <c r="E42" t="s">
        <v>884</v>
      </c>
      <c r="F42" t="s">
        <v>144</v>
      </c>
      <c r="G42" t="s">
        <v>31</v>
      </c>
      <c r="H42" t="s">
        <v>1515</v>
      </c>
    </row>
    <row r="43" spans="1:8" x14ac:dyDescent="0.25">
      <c r="A43" t="s">
        <v>884</v>
      </c>
      <c r="B43">
        <v>365</v>
      </c>
      <c r="C43" t="s">
        <v>5</v>
      </c>
      <c r="D43" t="s">
        <v>884</v>
      </c>
      <c r="E43" t="s">
        <v>206</v>
      </c>
      <c r="F43" t="s">
        <v>144</v>
      </c>
      <c r="G43" t="s">
        <v>31</v>
      </c>
      <c r="H43" t="s">
        <v>1515</v>
      </c>
    </row>
    <row r="44" spans="1:8" x14ac:dyDescent="0.25">
      <c r="A44" t="s">
        <v>624</v>
      </c>
      <c r="B44">
        <v>34</v>
      </c>
      <c r="C44" t="s">
        <v>5</v>
      </c>
      <c r="D44" t="s">
        <v>196</v>
      </c>
      <c r="E44" t="s">
        <v>915</v>
      </c>
      <c r="F44" t="s">
        <v>144</v>
      </c>
      <c r="G44" t="s">
        <v>31</v>
      </c>
      <c r="H44" t="s">
        <v>1516</v>
      </c>
    </row>
    <row r="45" spans="1:8" x14ac:dyDescent="0.25">
      <c r="A45" t="s">
        <v>915</v>
      </c>
      <c r="B45">
        <v>455</v>
      </c>
      <c r="C45" t="s">
        <v>5</v>
      </c>
      <c r="D45" t="s">
        <v>915</v>
      </c>
      <c r="E45" t="s">
        <v>217</v>
      </c>
      <c r="F45" t="s">
        <v>144</v>
      </c>
      <c r="G45" t="s">
        <v>31</v>
      </c>
      <c r="H45" t="s">
        <v>1516</v>
      </c>
    </row>
    <row r="46" spans="1:8" x14ac:dyDescent="0.25">
      <c r="A46" t="s">
        <v>625</v>
      </c>
      <c r="B46">
        <v>35</v>
      </c>
      <c r="C46" t="s">
        <v>5</v>
      </c>
      <c r="D46" t="s">
        <v>188</v>
      </c>
      <c r="E46" t="s">
        <v>945</v>
      </c>
      <c r="F46" t="s">
        <v>145</v>
      </c>
      <c r="G46" t="s">
        <v>32</v>
      </c>
      <c r="H46" t="s">
        <v>1517</v>
      </c>
    </row>
    <row r="47" spans="1:8" x14ac:dyDescent="0.25">
      <c r="A47" t="s">
        <v>945</v>
      </c>
      <c r="B47">
        <v>545</v>
      </c>
      <c r="C47" t="s">
        <v>5</v>
      </c>
      <c r="D47" t="s">
        <v>945</v>
      </c>
      <c r="E47" t="s">
        <v>209</v>
      </c>
      <c r="F47" t="s">
        <v>145</v>
      </c>
      <c r="G47" t="s">
        <v>32</v>
      </c>
      <c r="H47" t="s">
        <v>1517</v>
      </c>
    </row>
    <row r="48" spans="1:8" x14ac:dyDescent="0.25">
      <c r="A48" t="s">
        <v>626</v>
      </c>
      <c r="B48">
        <v>36</v>
      </c>
      <c r="C48" t="s">
        <v>5</v>
      </c>
      <c r="D48" t="s">
        <v>189</v>
      </c>
      <c r="E48" t="s">
        <v>975</v>
      </c>
      <c r="F48" t="s">
        <v>145</v>
      </c>
      <c r="G48" t="s">
        <v>32</v>
      </c>
      <c r="H48" t="s">
        <v>1518</v>
      </c>
    </row>
    <row r="49" spans="1:8" x14ac:dyDescent="0.25">
      <c r="A49" t="s">
        <v>975</v>
      </c>
      <c r="B49">
        <v>635</v>
      </c>
      <c r="C49" t="s">
        <v>5</v>
      </c>
      <c r="D49" t="s">
        <v>975</v>
      </c>
      <c r="E49" t="s">
        <v>210</v>
      </c>
      <c r="F49" t="s">
        <v>145</v>
      </c>
      <c r="G49" t="s">
        <v>32</v>
      </c>
      <c r="H49" t="s">
        <v>1518</v>
      </c>
    </row>
    <row r="50" spans="1:8" x14ac:dyDescent="0.25">
      <c r="A50" t="s">
        <v>449</v>
      </c>
      <c r="B50">
        <v>37</v>
      </c>
      <c r="C50" t="s">
        <v>5</v>
      </c>
      <c r="D50" t="s">
        <v>225</v>
      </c>
      <c r="E50" t="s">
        <v>226</v>
      </c>
      <c r="F50" t="s">
        <v>1532</v>
      </c>
      <c r="G50" t="s">
        <v>150</v>
      </c>
      <c r="H50" t="s">
        <v>1495</v>
      </c>
    </row>
    <row r="51" spans="1:8" x14ac:dyDescent="0.25">
      <c r="A51" t="s">
        <v>450</v>
      </c>
      <c r="B51">
        <v>38</v>
      </c>
      <c r="C51" t="s">
        <v>5</v>
      </c>
      <c r="D51" t="s">
        <v>227</v>
      </c>
      <c r="E51" t="s">
        <v>228</v>
      </c>
      <c r="F51" t="s">
        <v>1532</v>
      </c>
      <c r="G51" t="s">
        <v>150</v>
      </c>
      <c r="H51" t="s">
        <v>1495</v>
      </c>
    </row>
    <row r="52" spans="1:8" x14ac:dyDescent="0.25">
      <c r="A52" t="s">
        <v>451</v>
      </c>
      <c r="B52">
        <v>39</v>
      </c>
      <c r="C52" t="s">
        <v>5</v>
      </c>
      <c r="D52" t="s">
        <v>230</v>
      </c>
      <c r="E52" t="s">
        <v>231</v>
      </c>
      <c r="F52" t="s">
        <v>1532</v>
      </c>
      <c r="G52" t="s">
        <v>150</v>
      </c>
      <c r="H52" t="s">
        <v>1495</v>
      </c>
    </row>
    <row r="53" spans="1:8" x14ac:dyDescent="0.25">
      <c r="A53" t="s">
        <v>452</v>
      </c>
      <c r="B53">
        <v>40</v>
      </c>
      <c r="C53" t="s">
        <v>5</v>
      </c>
      <c r="D53" t="s">
        <v>234</v>
      </c>
      <c r="E53" t="s">
        <v>235</v>
      </c>
      <c r="F53" t="s">
        <v>1532</v>
      </c>
      <c r="G53" t="s">
        <v>150</v>
      </c>
      <c r="H53" t="s">
        <v>1496</v>
      </c>
    </row>
    <row r="54" spans="1:8" x14ac:dyDescent="0.25">
      <c r="A54" t="s">
        <v>453</v>
      </c>
      <c r="B54">
        <v>41</v>
      </c>
      <c r="C54" t="s">
        <v>5</v>
      </c>
      <c r="D54" t="s">
        <v>235</v>
      </c>
      <c r="E54" t="s">
        <v>236</v>
      </c>
      <c r="F54" t="s">
        <v>1532</v>
      </c>
      <c r="G54" t="s">
        <v>150</v>
      </c>
      <c r="H54" t="s">
        <v>1496</v>
      </c>
    </row>
    <row r="55" spans="1:8" x14ac:dyDescent="0.25">
      <c r="A55" t="s">
        <v>454</v>
      </c>
      <c r="B55">
        <v>42</v>
      </c>
      <c r="C55" t="s">
        <v>5</v>
      </c>
      <c r="D55" t="s">
        <v>236</v>
      </c>
      <c r="E55" t="s">
        <v>237</v>
      </c>
      <c r="F55" t="s">
        <v>1532</v>
      </c>
      <c r="G55" t="s">
        <v>150</v>
      </c>
      <c r="H55" t="s">
        <v>1496</v>
      </c>
    </row>
    <row r="56" spans="1:8" x14ac:dyDescent="0.25">
      <c r="A56" t="s">
        <v>455</v>
      </c>
      <c r="B56">
        <v>43</v>
      </c>
      <c r="C56" t="s">
        <v>5</v>
      </c>
      <c r="D56" t="s">
        <v>241</v>
      </c>
      <c r="E56" t="s">
        <v>242</v>
      </c>
      <c r="F56" t="s">
        <v>1532</v>
      </c>
      <c r="G56" t="s">
        <v>150</v>
      </c>
      <c r="H56" t="s">
        <v>1497</v>
      </c>
    </row>
    <row r="57" spans="1:8" x14ac:dyDescent="0.25">
      <c r="A57" t="s">
        <v>456</v>
      </c>
      <c r="B57">
        <v>44</v>
      </c>
      <c r="C57" t="s">
        <v>5</v>
      </c>
      <c r="D57" t="s">
        <v>243</v>
      </c>
      <c r="E57" t="s">
        <v>244</v>
      </c>
      <c r="F57" t="s">
        <v>1532</v>
      </c>
      <c r="G57" t="s">
        <v>150</v>
      </c>
      <c r="H57" t="s">
        <v>1498</v>
      </c>
    </row>
    <row r="58" spans="1:8" x14ac:dyDescent="0.25">
      <c r="A58" t="s">
        <v>457</v>
      </c>
      <c r="B58">
        <v>45</v>
      </c>
      <c r="C58" t="s">
        <v>5</v>
      </c>
      <c r="D58" t="s">
        <v>244</v>
      </c>
      <c r="E58" t="s">
        <v>245</v>
      </c>
      <c r="F58" t="s">
        <v>1532</v>
      </c>
      <c r="G58" t="s">
        <v>150</v>
      </c>
      <c r="H58" t="s">
        <v>1498</v>
      </c>
    </row>
    <row r="59" spans="1:8" x14ac:dyDescent="0.25">
      <c r="A59" t="s">
        <v>458</v>
      </c>
      <c r="B59">
        <v>46</v>
      </c>
      <c r="C59" t="s">
        <v>5</v>
      </c>
      <c r="D59" t="s">
        <v>245</v>
      </c>
      <c r="E59" t="s">
        <v>246</v>
      </c>
      <c r="F59" t="s">
        <v>1532</v>
      </c>
      <c r="G59" t="s">
        <v>150</v>
      </c>
      <c r="H59" t="s">
        <v>1498</v>
      </c>
    </row>
    <row r="60" spans="1:8" x14ac:dyDescent="0.25">
      <c r="A60" t="s">
        <v>459</v>
      </c>
      <c r="B60">
        <v>47</v>
      </c>
      <c r="C60" t="s">
        <v>5</v>
      </c>
      <c r="D60" t="s">
        <v>226</v>
      </c>
      <c r="E60" t="s">
        <v>230</v>
      </c>
      <c r="F60" t="s">
        <v>1530</v>
      </c>
      <c r="G60" t="s">
        <v>150</v>
      </c>
      <c r="H60" t="s">
        <v>1499</v>
      </c>
    </row>
    <row r="61" spans="1:8" x14ac:dyDescent="0.25">
      <c r="A61" t="s">
        <v>460</v>
      </c>
      <c r="B61">
        <v>48</v>
      </c>
      <c r="C61" t="s">
        <v>5</v>
      </c>
      <c r="D61" t="s">
        <v>230</v>
      </c>
      <c r="E61" t="s">
        <v>235</v>
      </c>
      <c r="F61" t="s">
        <v>1531</v>
      </c>
      <c r="G61" t="s">
        <v>150</v>
      </c>
      <c r="H61" t="s">
        <v>1499</v>
      </c>
    </row>
    <row r="62" spans="1:8" x14ac:dyDescent="0.25">
      <c r="A62" t="s">
        <v>461</v>
      </c>
      <c r="B62">
        <v>49</v>
      </c>
      <c r="C62" t="s">
        <v>5</v>
      </c>
      <c r="D62" t="s">
        <v>227</v>
      </c>
      <c r="E62" t="s">
        <v>231</v>
      </c>
      <c r="F62" t="s">
        <v>1530</v>
      </c>
      <c r="G62" t="s">
        <v>150</v>
      </c>
      <c r="H62" t="s">
        <v>1500</v>
      </c>
    </row>
    <row r="63" spans="1:8" x14ac:dyDescent="0.25">
      <c r="A63" t="s">
        <v>462</v>
      </c>
      <c r="B63">
        <v>50</v>
      </c>
      <c r="C63" t="s">
        <v>5</v>
      </c>
      <c r="D63" t="s">
        <v>231</v>
      </c>
      <c r="E63" t="s">
        <v>236</v>
      </c>
      <c r="F63" t="s">
        <v>1531</v>
      </c>
      <c r="G63" t="s">
        <v>150</v>
      </c>
      <c r="H63" t="s">
        <v>1500</v>
      </c>
    </row>
    <row r="64" spans="1:8" x14ac:dyDescent="0.25">
      <c r="A64" t="s">
        <v>463</v>
      </c>
      <c r="B64">
        <v>51</v>
      </c>
      <c r="C64" t="s">
        <v>5</v>
      </c>
      <c r="D64" t="s">
        <v>238</v>
      </c>
      <c r="E64" t="s">
        <v>241</v>
      </c>
      <c r="F64" t="s">
        <v>1530</v>
      </c>
      <c r="G64" t="s">
        <v>150</v>
      </c>
      <c r="H64" t="s">
        <v>1499</v>
      </c>
    </row>
    <row r="65" spans="1:8" x14ac:dyDescent="0.25">
      <c r="A65" t="s">
        <v>464</v>
      </c>
      <c r="B65">
        <v>52</v>
      </c>
      <c r="C65" t="s">
        <v>5</v>
      </c>
      <c r="D65" t="s">
        <v>241</v>
      </c>
      <c r="E65" t="s">
        <v>244</v>
      </c>
      <c r="F65" t="s">
        <v>1531</v>
      </c>
      <c r="G65" t="s">
        <v>150</v>
      </c>
      <c r="H65" t="s">
        <v>1499</v>
      </c>
    </row>
    <row r="66" spans="1:8" x14ac:dyDescent="0.25">
      <c r="A66" t="s">
        <v>465</v>
      </c>
      <c r="B66">
        <v>53</v>
      </c>
      <c r="C66" t="s">
        <v>5</v>
      </c>
      <c r="D66" t="s">
        <v>239</v>
      </c>
      <c r="E66" t="s">
        <v>242</v>
      </c>
      <c r="F66" t="s">
        <v>1530</v>
      </c>
      <c r="G66" t="s">
        <v>150</v>
      </c>
      <c r="H66" t="s">
        <v>1500</v>
      </c>
    </row>
    <row r="67" spans="1:8" x14ac:dyDescent="0.25">
      <c r="A67" t="s">
        <v>466</v>
      </c>
      <c r="B67">
        <v>54</v>
      </c>
      <c r="C67" t="s">
        <v>5</v>
      </c>
      <c r="D67" t="s">
        <v>242</v>
      </c>
      <c r="E67" t="s">
        <v>245</v>
      </c>
      <c r="F67" t="s">
        <v>1531</v>
      </c>
      <c r="G67" t="s">
        <v>150</v>
      </c>
      <c r="H67" t="s">
        <v>1500</v>
      </c>
    </row>
    <row r="68" spans="1:8" x14ac:dyDescent="0.25">
      <c r="A68" t="s">
        <v>627</v>
      </c>
      <c r="B68">
        <v>55</v>
      </c>
      <c r="C68" t="s">
        <v>5</v>
      </c>
      <c r="D68" t="s">
        <v>202</v>
      </c>
      <c r="E68" t="s">
        <v>949</v>
      </c>
      <c r="F68" t="s">
        <v>146</v>
      </c>
      <c r="G68" t="s">
        <v>32</v>
      </c>
      <c r="H68" t="s">
        <v>1501</v>
      </c>
    </row>
    <row r="69" spans="1:8" x14ac:dyDescent="0.25">
      <c r="A69" t="s">
        <v>949</v>
      </c>
      <c r="B69">
        <v>555</v>
      </c>
      <c r="C69" t="s">
        <v>5</v>
      </c>
      <c r="D69" t="s">
        <v>949</v>
      </c>
      <c r="E69" t="s">
        <v>225</v>
      </c>
      <c r="F69" t="s">
        <v>146</v>
      </c>
      <c r="G69" t="s">
        <v>32</v>
      </c>
      <c r="H69" t="s">
        <v>1501</v>
      </c>
    </row>
    <row r="70" spans="1:8" x14ac:dyDescent="0.25">
      <c r="A70" t="s">
        <v>628</v>
      </c>
      <c r="B70">
        <v>56</v>
      </c>
      <c r="C70" t="s">
        <v>5</v>
      </c>
      <c r="D70" t="s">
        <v>203</v>
      </c>
      <c r="E70" t="s">
        <v>889</v>
      </c>
      <c r="F70" t="s">
        <v>146</v>
      </c>
      <c r="G70" t="s">
        <v>32</v>
      </c>
      <c r="H70" t="s">
        <v>1502</v>
      </c>
    </row>
    <row r="71" spans="1:8" x14ac:dyDescent="0.25">
      <c r="A71" t="s">
        <v>889</v>
      </c>
      <c r="B71">
        <v>375</v>
      </c>
      <c r="C71" t="s">
        <v>5</v>
      </c>
      <c r="D71" t="s">
        <v>889</v>
      </c>
      <c r="E71" t="s">
        <v>226</v>
      </c>
      <c r="F71" t="s">
        <v>146</v>
      </c>
      <c r="G71" t="s">
        <v>32</v>
      </c>
      <c r="H71" t="s">
        <v>1502</v>
      </c>
    </row>
    <row r="72" spans="1:8" x14ac:dyDescent="0.25">
      <c r="A72" t="s">
        <v>629</v>
      </c>
      <c r="B72">
        <v>57</v>
      </c>
      <c r="C72" t="s">
        <v>5</v>
      </c>
      <c r="D72" t="s">
        <v>204</v>
      </c>
      <c r="E72" t="s">
        <v>890</v>
      </c>
      <c r="F72" t="s">
        <v>146</v>
      </c>
      <c r="G72" t="s">
        <v>32</v>
      </c>
      <c r="H72" t="s">
        <v>1503</v>
      </c>
    </row>
    <row r="73" spans="1:8" x14ac:dyDescent="0.25">
      <c r="A73" t="s">
        <v>890</v>
      </c>
      <c r="B73">
        <v>376</v>
      </c>
      <c r="C73" t="s">
        <v>5</v>
      </c>
      <c r="D73" t="s">
        <v>890</v>
      </c>
      <c r="E73" t="s">
        <v>227</v>
      </c>
      <c r="F73" t="s">
        <v>146</v>
      </c>
      <c r="G73" t="s">
        <v>32</v>
      </c>
      <c r="H73" t="s">
        <v>1503</v>
      </c>
    </row>
    <row r="74" spans="1:8" x14ac:dyDescent="0.25">
      <c r="A74" t="s">
        <v>630</v>
      </c>
      <c r="B74">
        <v>58</v>
      </c>
      <c r="C74" t="s">
        <v>5</v>
      </c>
      <c r="D74" t="s">
        <v>205</v>
      </c>
      <c r="E74" t="s">
        <v>979</v>
      </c>
      <c r="F74" t="s">
        <v>146</v>
      </c>
      <c r="G74" t="s">
        <v>32</v>
      </c>
      <c r="H74" t="s">
        <v>1504</v>
      </c>
    </row>
    <row r="75" spans="1:8" x14ac:dyDescent="0.25">
      <c r="A75" t="s">
        <v>979</v>
      </c>
      <c r="B75">
        <v>645</v>
      </c>
      <c r="C75" t="s">
        <v>5</v>
      </c>
      <c r="D75" t="s">
        <v>979</v>
      </c>
      <c r="E75" t="s">
        <v>228</v>
      </c>
      <c r="F75" t="s">
        <v>146</v>
      </c>
      <c r="G75" t="s">
        <v>32</v>
      </c>
      <c r="H75" t="s">
        <v>1504</v>
      </c>
    </row>
    <row r="76" spans="1:8" x14ac:dyDescent="0.25">
      <c r="A76" t="s">
        <v>631</v>
      </c>
      <c r="B76">
        <v>59</v>
      </c>
      <c r="C76" t="s">
        <v>5</v>
      </c>
      <c r="D76" t="s">
        <v>211</v>
      </c>
      <c r="E76" t="s">
        <v>950</v>
      </c>
      <c r="F76" t="s">
        <v>146</v>
      </c>
      <c r="G76" t="s">
        <v>32</v>
      </c>
      <c r="H76" t="s">
        <v>1505</v>
      </c>
    </row>
    <row r="77" spans="1:8" x14ac:dyDescent="0.25">
      <c r="A77" t="s">
        <v>950</v>
      </c>
      <c r="B77">
        <v>556</v>
      </c>
      <c r="C77" t="s">
        <v>5</v>
      </c>
      <c r="D77" t="s">
        <v>950</v>
      </c>
      <c r="E77" t="s">
        <v>234</v>
      </c>
      <c r="F77" t="s">
        <v>146</v>
      </c>
      <c r="G77" t="s">
        <v>32</v>
      </c>
      <c r="H77" t="s">
        <v>1505</v>
      </c>
    </row>
    <row r="78" spans="1:8" x14ac:dyDescent="0.25">
      <c r="A78" t="s">
        <v>632</v>
      </c>
      <c r="B78">
        <v>60</v>
      </c>
      <c r="C78" t="s">
        <v>5</v>
      </c>
      <c r="D78" t="s">
        <v>212</v>
      </c>
      <c r="E78" t="s">
        <v>235</v>
      </c>
      <c r="F78" t="s">
        <v>147</v>
      </c>
      <c r="G78" t="s">
        <v>32</v>
      </c>
      <c r="H78" t="s">
        <v>1506</v>
      </c>
    </row>
    <row r="79" spans="1:8" x14ac:dyDescent="0.25">
      <c r="A79" t="s">
        <v>633</v>
      </c>
      <c r="B79">
        <v>61</v>
      </c>
      <c r="C79" t="s">
        <v>5</v>
      </c>
      <c r="D79" t="s">
        <v>213</v>
      </c>
      <c r="E79" t="s">
        <v>236</v>
      </c>
      <c r="F79" t="s">
        <v>147</v>
      </c>
      <c r="G79" t="s">
        <v>32</v>
      </c>
      <c r="H79" t="s">
        <v>1507</v>
      </c>
    </row>
    <row r="80" spans="1:8" x14ac:dyDescent="0.25">
      <c r="A80" t="s">
        <v>634</v>
      </c>
      <c r="B80">
        <v>62</v>
      </c>
      <c r="C80" t="s">
        <v>5</v>
      </c>
      <c r="D80" t="s">
        <v>214</v>
      </c>
      <c r="E80" t="s">
        <v>980</v>
      </c>
      <c r="F80" t="s">
        <v>146</v>
      </c>
      <c r="G80" t="s">
        <v>32</v>
      </c>
      <c r="H80" t="s">
        <v>1508</v>
      </c>
    </row>
    <row r="81" spans="1:8" x14ac:dyDescent="0.25">
      <c r="A81" t="s">
        <v>980</v>
      </c>
      <c r="B81">
        <v>646</v>
      </c>
      <c r="C81" t="s">
        <v>5</v>
      </c>
      <c r="D81" t="s">
        <v>980</v>
      </c>
      <c r="E81" t="s">
        <v>237</v>
      </c>
      <c r="F81" t="s">
        <v>146</v>
      </c>
      <c r="G81" t="s">
        <v>32</v>
      </c>
      <c r="H81" t="s">
        <v>1508</v>
      </c>
    </row>
    <row r="82" spans="1:8" x14ac:dyDescent="0.25">
      <c r="A82" t="s">
        <v>635</v>
      </c>
      <c r="B82">
        <v>63</v>
      </c>
      <c r="C82" t="s">
        <v>5</v>
      </c>
      <c r="D82" t="s">
        <v>215</v>
      </c>
      <c r="E82" t="s">
        <v>919</v>
      </c>
      <c r="F82" t="s">
        <v>146</v>
      </c>
      <c r="G82" t="s">
        <v>32</v>
      </c>
      <c r="H82" t="s">
        <v>1509</v>
      </c>
    </row>
    <row r="83" spans="1:8" x14ac:dyDescent="0.25">
      <c r="A83" t="s">
        <v>919</v>
      </c>
      <c r="B83">
        <v>465</v>
      </c>
      <c r="C83" t="s">
        <v>5</v>
      </c>
      <c r="D83" t="s">
        <v>919</v>
      </c>
      <c r="E83" t="s">
        <v>238</v>
      </c>
      <c r="F83" t="s">
        <v>146</v>
      </c>
      <c r="G83" t="s">
        <v>32</v>
      </c>
      <c r="H83" t="s">
        <v>1509</v>
      </c>
    </row>
    <row r="84" spans="1:8" x14ac:dyDescent="0.25">
      <c r="A84" t="s">
        <v>636</v>
      </c>
      <c r="B84">
        <v>64</v>
      </c>
      <c r="C84" t="s">
        <v>5</v>
      </c>
      <c r="D84" t="s">
        <v>216</v>
      </c>
      <c r="E84" t="s">
        <v>920</v>
      </c>
      <c r="F84" t="s">
        <v>146</v>
      </c>
      <c r="G84" t="s">
        <v>32</v>
      </c>
      <c r="H84" t="s">
        <v>1510</v>
      </c>
    </row>
    <row r="85" spans="1:8" x14ac:dyDescent="0.25">
      <c r="A85" t="s">
        <v>920</v>
      </c>
      <c r="B85">
        <v>466</v>
      </c>
      <c r="C85" t="s">
        <v>5</v>
      </c>
      <c r="D85" t="s">
        <v>920</v>
      </c>
      <c r="E85" t="s">
        <v>239</v>
      </c>
      <c r="F85" t="s">
        <v>146</v>
      </c>
      <c r="G85" t="s">
        <v>32</v>
      </c>
      <c r="H85" t="s">
        <v>1510</v>
      </c>
    </row>
    <row r="86" spans="1:8" x14ac:dyDescent="0.25">
      <c r="A86" t="s">
        <v>637</v>
      </c>
      <c r="B86">
        <v>65</v>
      </c>
      <c r="C86" t="s">
        <v>5</v>
      </c>
      <c r="D86" t="s">
        <v>220</v>
      </c>
      <c r="E86" t="s">
        <v>243</v>
      </c>
      <c r="F86" t="s">
        <v>147</v>
      </c>
      <c r="G86" t="s">
        <v>32</v>
      </c>
      <c r="H86" t="s">
        <v>1511</v>
      </c>
    </row>
    <row r="87" spans="1:8" x14ac:dyDescent="0.25">
      <c r="A87" t="s">
        <v>638</v>
      </c>
      <c r="B87">
        <v>66</v>
      </c>
      <c r="C87" t="s">
        <v>5</v>
      </c>
      <c r="D87" t="s">
        <v>221</v>
      </c>
      <c r="E87" t="s">
        <v>244</v>
      </c>
      <c r="F87" t="s">
        <v>147</v>
      </c>
      <c r="G87" t="s">
        <v>32</v>
      </c>
      <c r="H87" t="s">
        <v>1512</v>
      </c>
    </row>
    <row r="88" spans="1:8" x14ac:dyDescent="0.25">
      <c r="A88" t="s">
        <v>639</v>
      </c>
      <c r="B88">
        <v>67</v>
      </c>
      <c r="C88" t="s">
        <v>5</v>
      </c>
      <c r="D88" t="s">
        <v>222</v>
      </c>
      <c r="E88" t="s">
        <v>245</v>
      </c>
      <c r="F88" t="s">
        <v>147</v>
      </c>
      <c r="G88" t="s">
        <v>32</v>
      </c>
      <c r="H88" t="s">
        <v>1513</v>
      </c>
    </row>
    <row r="89" spans="1:8" x14ac:dyDescent="0.25">
      <c r="A89" t="s">
        <v>640</v>
      </c>
      <c r="B89">
        <v>68</v>
      </c>
      <c r="C89" t="s">
        <v>5</v>
      </c>
      <c r="D89" t="s">
        <v>223</v>
      </c>
      <c r="E89" t="s">
        <v>246</v>
      </c>
      <c r="F89" t="s">
        <v>147</v>
      </c>
      <c r="G89" t="s">
        <v>32</v>
      </c>
      <c r="H89" t="s">
        <v>1514</v>
      </c>
    </row>
    <row r="90" spans="1:8" x14ac:dyDescent="0.25">
      <c r="A90" t="s">
        <v>641</v>
      </c>
      <c r="B90">
        <v>69</v>
      </c>
      <c r="C90" t="s">
        <v>5</v>
      </c>
      <c r="D90" t="s">
        <v>206</v>
      </c>
      <c r="E90" t="s">
        <v>888</v>
      </c>
      <c r="F90" t="s">
        <v>144</v>
      </c>
      <c r="G90" t="s">
        <v>31</v>
      </c>
      <c r="H90" t="s">
        <v>1515</v>
      </c>
    </row>
    <row r="91" spans="1:8" x14ac:dyDescent="0.25">
      <c r="A91" t="s">
        <v>888</v>
      </c>
      <c r="B91">
        <v>374</v>
      </c>
      <c r="C91" t="s">
        <v>5</v>
      </c>
      <c r="D91" t="s">
        <v>888</v>
      </c>
      <c r="E91" t="s">
        <v>229</v>
      </c>
      <c r="F91" t="s">
        <v>144</v>
      </c>
      <c r="G91" t="s">
        <v>31</v>
      </c>
      <c r="H91" t="s">
        <v>1515</v>
      </c>
    </row>
    <row r="92" spans="1:8" x14ac:dyDescent="0.25">
      <c r="A92" t="s">
        <v>642</v>
      </c>
      <c r="B92">
        <v>70</v>
      </c>
      <c r="C92" t="s">
        <v>5</v>
      </c>
      <c r="D92" t="s">
        <v>217</v>
      </c>
      <c r="E92" t="s">
        <v>918</v>
      </c>
      <c r="F92" t="s">
        <v>144</v>
      </c>
      <c r="G92" t="s">
        <v>31</v>
      </c>
      <c r="H92" t="s">
        <v>1516</v>
      </c>
    </row>
    <row r="93" spans="1:8" x14ac:dyDescent="0.25">
      <c r="A93" t="s">
        <v>918</v>
      </c>
      <c r="B93">
        <v>464</v>
      </c>
      <c r="C93" t="s">
        <v>5</v>
      </c>
      <c r="D93" t="s">
        <v>918</v>
      </c>
      <c r="E93" t="s">
        <v>240</v>
      </c>
      <c r="F93" t="s">
        <v>144</v>
      </c>
      <c r="G93" t="s">
        <v>31</v>
      </c>
      <c r="H93" t="s">
        <v>1516</v>
      </c>
    </row>
    <row r="94" spans="1:8" x14ac:dyDescent="0.25">
      <c r="A94" t="s">
        <v>643</v>
      </c>
      <c r="B94">
        <v>71</v>
      </c>
      <c r="C94" t="s">
        <v>5</v>
      </c>
      <c r="D94" t="s">
        <v>209</v>
      </c>
      <c r="E94" t="s">
        <v>948</v>
      </c>
      <c r="F94" t="s">
        <v>145</v>
      </c>
      <c r="G94" t="s">
        <v>32</v>
      </c>
      <c r="H94" t="s">
        <v>1517</v>
      </c>
    </row>
    <row r="95" spans="1:8" x14ac:dyDescent="0.25">
      <c r="A95" t="s">
        <v>948</v>
      </c>
      <c r="B95">
        <v>554</v>
      </c>
      <c r="C95" t="s">
        <v>5</v>
      </c>
      <c r="D95" t="s">
        <v>948</v>
      </c>
      <c r="E95" t="s">
        <v>232</v>
      </c>
      <c r="F95" t="s">
        <v>145</v>
      </c>
      <c r="G95" t="s">
        <v>32</v>
      </c>
      <c r="H95" t="s">
        <v>1517</v>
      </c>
    </row>
    <row r="96" spans="1:8" x14ac:dyDescent="0.25">
      <c r="A96" t="s">
        <v>644</v>
      </c>
      <c r="B96">
        <v>72</v>
      </c>
      <c r="C96" t="s">
        <v>5</v>
      </c>
      <c r="D96" t="s">
        <v>210</v>
      </c>
      <c r="E96" t="s">
        <v>978</v>
      </c>
      <c r="F96" t="s">
        <v>145</v>
      </c>
      <c r="G96" t="s">
        <v>32</v>
      </c>
      <c r="H96" t="s">
        <v>1518</v>
      </c>
    </row>
    <row r="97" spans="1:8" x14ac:dyDescent="0.25">
      <c r="A97" t="s">
        <v>978</v>
      </c>
      <c r="B97">
        <v>644</v>
      </c>
      <c r="C97" t="s">
        <v>5</v>
      </c>
      <c r="D97" t="s">
        <v>978</v>
      </c>
      <c r="E97" t="s">
        <v>233</v>
      </c>
      <c r="F97" t="s">
        <v>145</v>
      </c>
      <c r="G97" t="s">
        <v>32</v>
      </c>
      <c r="H97" t="s">
        <v>1518</v>
      </c>
    </row>
    <row r="98" spans="1:8" x14ac:dyDescent="0.25">
      <c r="A98" t="s">
        <v>467</v>
      </c>
      <c r="B98">
        <v>73</v>
      </c>
      <c r="C98" t="s">
        <v>5</v>
      </c>
      <c r="D98" t="s">
        <v>248</v>
      </c>
      <c r="E98" t="s">
        <v>249</v>
      </c>
      <c r="F98" t="s">
        <v>1532</v>
      </c>
      <c r="G98" t="s">
        <v>150</v>
      </c>
      <c r="H98" t="s">
        <v>1495</v>
      </c>
    </row>
    <row r="99" spans="1:8" x14ac:dyDescent="0.25">
      <c r="A99" t="s">
        <v>468</v>
      </c>
      <c r="B99">
        <v>74</v>
      </c>
      <c r="C99" t="s">
        <v>5</v>
      </c>
      <c r="D99" t="s">
        <v>250</v>
      </c>
      <c r="E99" t="s">
        <v>251</v>
      </c>
      <c r="F99" t="s">
        <v>1532</v>
      </c>
      <c r="G99" t="s">
        <v>150</v>
      </c>
      <c r="H99" t="s">
        <v>1495</v>
      </c>
    </row>
    <row r="100" spans="1:8" x14ac:dyDescent="0.25">
      <c r="A100" t="s">
        <v>469</v>
      </c>
      <c r="B100">
        <v>75</v>
      </c>
      <c r="C100" t="s">
        <v>5</v>
      </c>
      <c r="D100" t="s">
        <v>253</v>
      </c>
      <c r="E100" t="s">
        <v>254</v>
      </c>
      <c r="F100" t="s">
        <v>1532</v>
      </c>
      <c r="G100" t="s">
        <v>150</v>
      </c>
      <c r="H100" t="s">
        <v>1495</v>
      </c>
    </row>
    <row r="101" spans="1:8" x14ac:dyDescent="0.25">
      <c r="A101" t="s">
        <v>470</v>
      </c>
      <c r="B101">
        <v>76</v>
      </c>
      <c r="C101" t="s">
        <v>5</v>
      </c>
      <c r="D101" t="s">
        <v>257</v>
      </c>
      <c r="E101" t="s">
        <v>258</v>
      </c>
      <c r="F101" t="s">
        <v>1532</v>
      </c>
      <c r="G101" t="s">
        <v>150</v>
      </c>
      <c r="H101" t="s">
        <v>1496</v>
      </c>
    </row>
    <row r="102" spans="1:8" x14ac:dyDescent="0.25">
      <c r="A102" t="s">
        <v>471</v>
      </c>
      <c r="B102">
        <v>77</v>
      </c>
      <c r="C102" t="s">
        <v>5</v>
      </c>
      <c r="D102" t="s">
        <v>258</v>
      </c>
      <c r="E102" t="s">
        <v>259</v>
      </c>
      <c r="F102" t="s">
        <v>1532</v>
      </c>
      <c r="G102" t="s">
        <v>150</v>
      </c>
      <c r="H102" t="s">
        <v>1496</v>
      </c>
    </row>
    <row r="103" spans="1:8" x14ac:dyDescent="0.25">
      <c r="A103" t="s">
        <v>874</v>
      </c>
      <c r="B103">
        <v>78</v>
      </c>
      <c r="C103" t="s">
        <v>5</v>
      </c>
      <c r="D103" t="s">
        <v>259</v>
      </c>
      <c r="E103" t="s">
        <v>260</v>
      </c>
      <c r="F103" t="s">
        <v>1532</v>
      </c>
      <c r="G103" t="s">
        <v>150</v>
      </c>
      <c r="H103" t="s">
        <v>1496</v>
      </c>
    </row>
    <row r="104" spans="1:8" x14ac:dyDescent="0.25">
      <c r="A104" t="s">
        <v>472</v>
      </c>
      <c r="B104">
        <v>79</v>
      </c>
      <c r="C104" t="s">
        <v>5</v>
      </c>
      <c r="D104" t="s">
        <v>264</v>
      </c>
      <c r="E104" t="s">
        <v>265</v>
      </c>
      <c r="F104" t="s">
        <v>1532</v>
      </c>
      <c r="G104" t="s">
        <v>150</v>
      </c>
      <c r="H104" t="s">
        <v>1497</v>
      </c>
    </row>
    <row r="105" spans="1:8" x14ac:dyDescent="0.25">
      <c r="A105" t="s">
        <v>473</v>
      </c>
      <c r="B105">
        <v>80</v>
      </c>
      <c r="C105" t="s">
        <v>5</v>
      </c>
      <c r="D105" t="s">
        <v>266</v>
      </c>
      <c r="E105" t="s">
        <v>267</v>
      </c>
      <c r="F105" t="s">
        <v>1532</v>
      </c>
      <c r="G105" t="s">
        <v>150</v>
      </c>
      <c r="H105" t="s">
        <v>1498</v>
      </c>
    </row>
    <row r="106" spans="1:8" x14ac:dyDescent="0.25">
      <c r="A106" t="s">
        <v>474</v>
      </c>
      <c r="B106">
        <v>81</v>
      </c>
      <c r="C106" t="s">
        <v>5</v>
      </c>
      <c r="D106" t="s">
        <v>267</v>
      </c>
      <c r="E106" t="s">
        <v>268</v>
      </c>
      <c r="F106" t="s">
        <v>1532</v>
      </c>
      <c r="G106" t="s">
        <v>150</v>
      </c>
      <c r="H106" t="s">
        <v>1498</v>
      </c>
    </row>
    <row r="107" spans="1:8" x14ac:dyDescent="0.25">
      <c r="A107" t="s">
        <v>475</v>
      </c>
      <c r="B107">
        <v>82</v>
      </c>
      <c r="C107" t="s">
        <v>5</v>
      </c>
      <c r="D107" t="s">
        <v>268</v>
      </c>
      <c r="E107" t="s">
        <v>269</v>
      </c>
      <c r="F107" t="s">
        <v>1532</v>
      </c>
      <c r="G107" t="s">
        <v>150</v>
      </c>
      <c r="H107" t="s">
        <v>1498</v>
      </c>
    </row>
    <row r="108" spans="1:8" x14ac:dyDescent="0.25">
      <c r="A108" t="s">
        <v>476</v>
      </c>
      <c r="B108">
        <v>83</v>
      </c>
      <c r="C108" t="s">
        <v>5</v>
      </c>
      <c r="D108" t="s">
        <v>249</v>
      </c>
      <c r="E108" t="s">
        <v>253</v>
      </c>
      <c r="F108" t="s">
        <v>1530</v>
      </c>
      <c r="G108" t="s">
        <v>150</v>
      </c>
      <c r="H108" t="s">
        <v>1499</v>
      </c>
    </row>
    <row r="109" spans="1:8" x14ac:dyDescent="0.25">
      <c r="A109" t="s">
        <v>477</v>
      </c>
      <c r="B109">
        <v>84</v>
      </c>
      <c r="C109" t="s">
        <v>5</v>
      </c>
      <c r="D109" t="s">
        <v>253</v>
      </c>
      <c r="E109" t="s">
        <v>258</v>
      </c>
      <c r="F109" t="s">
        <v>1531</v>
      </c>
      <c r="G109" t="s">
        <v>150</v>
      </c>
      <c r="H109" t="s">
        <v>1499</v>
      </c>
    </row>
    <row r="110" spans="1:8" x14ac:dyDescent="0.25">
      <c r="A110" t="s">
        <v>478</v>
      </c>
      <c r="B110">
        <v>85</v>
      </c>
      <c r="C110" t="s">
        <v>5</v>
      </c>
      <c r="D110" t="s">
        <v>250</v>
      </c>
      <c r="E110" t="s">
        <v>254</v>
      </c>
      <c r="F110" t="s">
        <v>1530</v>
      </c>
      <c r="G110" t="s">
        <v>150</v>
      </c>
      <c r="H110" t="s">
        <v>1500</v>
      </c>
    </row>
    <row r="111" spans="1:8" x14ac:dyDescent="0.25">
      <c r="A111" t="s">
        <v>479</v>
      </c>
      <c r="B111">
        <v>86</v>
      </c>
      <c r="C111" t="s">
        <v>5</v>
      </c>
      <c r="D111" t="s">
        <v>254</v>
      </c>
      <c r="E111" t="s">
        <v>259</v>
      </c>
      <c r="F111" t="s">
        <v>1531</v>
      </c>
      <c r="G111" t="s">
        <v>150</v>
      </c>
      <c r="H111" t="s">
        <v>1500</v>
      </c>
    </row>
    <row r="112" spans="1:8" x14ac:dyDescent="0.25">
      <c r="A112" t="s">
        <v>480</v>
      </c>
      <c r="B112">
        <v>87</v>
      </c>
      <c r="C112" t="s">
        <v>5</v>
      </c>
      <c r="D112" t="s">
        <v>261</v>
      </c>
      <c r="E112" t="s">
        <v>264</v>
      </c>
      <c r="F112" t="s">
        <v>1530</v>
      </c>
      <c r="G112" t="s">
        <v>150</v>
      </c>
      <c r="H112" t="s">
        <v>1499</v>
      </c>
    </row>
    <row r="113" spans="1:8" x14ac:dyDescent="0.25">
      <c r="A113" t="s">
        <v>481</v>
      </c>
      <c r="B113">
        <v>88</v>
      </c>
      <c r="C113" t="s">
        <v>5</v>
      </c>
      <c r="D113" t="s">
        <v>264</v>
      </c>
      <c r="E113" t="s">
        <v>267</v>
      </c>
      <c r="F113" t="s">
        <v>1531</v>
      </c>
      <c r="G113" t="s">
        <v>150</v>
      </c>
      <c r="H113" t="s">
        <v>1499</v>
      </c>
    </row>
    <row r="114" spans="1:8" x14ac:dyDescent="0.25">
      <c r="A114" t="s">
        <v>482</v>
      </c>
      <c r="B114">
        <v>89</v>
      </c>
      <c r="C114" t="s">
        <v>5</v>
      </c>
      <c r="D114" t="s">
        <v>262</v>
      </c>
      <c r="E114" t="s">
        <v>265</v>
      </c>
      <c r="F114" t="s">
        <v>1530</v>
      </c>
      <c r="G114" t="s">
        <v>150</v>
      </c>
      <c r="H114" t="s">
        <v>1500</v>
      </c>
    </row>
    <row r="115" spans="1:8" x14ac:dyDescent="0.25">
      <c r="A115" t="s">
        <v>483</v>
      </c>
      <c r="B115">
        <v>90</v>
      </c>
      <c r="C115" t="s">
        <v>5</v>
      </c>
      <c r="D115" t="s">
        <v>265</v>
      </c>
      <c r="E115" t="s">
        <v>268</v>
      </c>
      <c r="F115" t="s">
        <v>1531</v>
      </c>
      <c r="G115" t="s">
        <v>150</v>
      </c>
      <c r="H115" t="s">
        <v>1500</v>
      </c>
    </row>
    <row r="116" spans="1:8" x14ac:dyDescent="0.25">
      <c r="A116" t="s">
        <v>645</v>
      </c>
      <c r="B116">
        <v>91</v>
      </c>
      <c r="C116" t="s">
        <v>5</v>
      </c>
      <c r="D116" t="s">
        <v>225</v>
      </c>
      <c r="E116" t="s">
        <v>952</v>
      </c>
      <c r="F116" t="s">
        <v>146</v>
      </c>
      <c r="G116" t="s">
        <v>32</v>
      </c>
      <c r="H116" t="s">
        <v>1501</v>
      </c>
    </row>
    <row r="117" spans="1:8" x14ac:dyDescent="0.25">
      <c r="A117" t="s">
        <v>952</v>
      </c>
      <c r="B117">
        <v>564</v>
      </c>
      <c r="C117" t="s">
        <v>5</v>
      </c>
      <c r="D117" t="s">
        <v>952</v>
      </c>
      <c r="E117" t="s">
        <v>248</v>
      </c>
      <c r="F117" t="s">
        <v>146</v>
      </c>
      <c r="G117" t="s">
        <v>32</v>
      </c>
      <c r="H117" t="s">
        <v>1501</v>
      </c>
    </row>
    <row r="118" spans="1:8" x14ac:dyDescent="0.25">
      <c r="A118" t="s">
        <v>646</v>
      </c>
      <c r="B118">
        <v>92</v>
      </c>
      <c r="C118" t="s">
        <v>5</v>
      </c>
      <c r="D118" t="s">
        <v>226</v>
      </c>
      <c r="E118" t="s">
        <v>892</v>
      </c>
      <c r="F118" t="s">
        <v>146</v>
      </c>
      <c r="G118" t="s">
        <v>32</v>
      </c>
      <c r="H118" t="s">
        <v>1502</v>
      </c>
    </row>
    <row r="119" spans="1:8" x14ac:dyDescent="0.25">
      <c r="A119" t="s">
        <v>892</v>
      </c>
      <c r="B119">
        <v>384</v>
      </c>
      <c r="C119" t="s">
        <v>5</v>
      </c>
      <c r="D119" t="s">
        <v>892</v>
      </c>
      <c r="E119" t="s">
        <v>249</v>
      </c>
      <c r="F119" t="s">
        <v>146</v>
      </c>
      <c r="G119" t="s">
        <v>32</v>
      </c>
      <c r="H119" t="s">
        <v>1502</v>
      </c>
    </row>
    <row r="120" spans="1:8" x14ac:dyDescent="0.25">
      <c r="A120" t="s">
        <v>647</v>
      </c>
      <c r="B120">
        <v>93</v>
      </c>
      <c r="C120" t="s">
        <v>5</v>
      </c>
      <c r="D120" t="s">
        <v>227</v>
      </c>
      <c r="E120" t="s">
        <v>893</v>
      </c>
      <c r="F120" t="s">
        <v>146</v>
      </c>
      <c r="G120" t="s">
        <v>32</v>
      </c>
      <c r="H120" t="s">
        <v>1503</v>
      </c>
    </row>
    <row r="121" spans="1:8" x14ac:dyDescent="0.25">
      <c r="A121" t="s">
        <v>893</v>
      </c>
      <c r="B121">
        <v>385</v>
      </c>
      <c r="C121" t="s">
        <v>5</v>
      </c>
      <c r="D121" t="s">
        <v>893</v>
      </c>
      <c r="E121" t="s">
        <v>250</v>
      </c>
      <c r="F121" t="s">
        <v>146</v>
      </c>
      <c r="G121" t="s">
        <v>32</v>
      </c>
      <c r="H121" t="s">
        <v>1503</v>
      </c>
    </row>
    <row r="122" spans="1:8" x14ac:dyDescent="0.25">
      <c r="A122" t="s">
        <v>648</v>
      </c>
      <c r="B122">
        <v>94</v>
      </c>
      <c r="C122" t="s">
        <v>5</v>
      </c>
      <c r="D122" t="s">
        <v>228</v>
      </c>
      <c r="E122" t="s">
        <v>982</v>
      </c>
      <c r="F122" t="s">
        <v>146</v>
      </c>
      <c r="G122" t="s">
        <v>32</v>
      </c>
      <c r="H122" t="s">
        <v>1504</v>
      </c>
    </row>
    <row r="123" spans="1:8" x14ac:dyDescent="0.25">
      <c r="A123" t="s">
        <v>982</v>
      </c>
      <c r="B123">
        <v>654</v>
      </c>
      <c r="C123" t="s">
        <v>5</v>
      </c>
      <c r="D123" t="s">
        <v>982</v>
      </c>
      <c r="E123" t="s">
        <v>251</v>
      </c>
      <c r="F123" t="s">
        <v>146</v>
      </c>
      <c r="G123" t="s">
        <v>32</v>
      </c>
      <c r="H123" t="s">
        <v>1504</v>
      </c>
    </row>
    <row r="124" spans="1:8" x14ac:dyDescent="0.25">
      <c r="A124" t="s">
        <v>649</v>
      </c>
      <c r="B124">
        <v>95</v>
      </c>
      <c r="C124" t="s">
        <v>5</v>
      </c>
      <c r="D124" t="s">
        <v>234</v>
      </c>
      <c r="E124" t="s">
        <v>953</v>
      </c>
      <c r="F124" t="s">
        <v>146</v>
      </c>
      <c r="G124" t="s">
        <v>32</v>
      </c>
      <c r="H124" t="s">
        <v>1505</v>
      </c>
    </row>
    <row r="125" spans="1:8" x14ac:dyDescent="0.25">
      <c r="A125" t="s">
        <v>953</v>
      </c>
      <c r="B125">
        <v>565</v>
      </c>
      <c r="C125" t="s">
        <v>5</v>
      </c>
      <c r="D125" t="s">
        <v>953</v>
      </c>
      <c r="E125" t="s">
        <v>257</v>
      </c>
      <c r="F125" t="s">
        <v>146</v>
      </c>
      <c r="G125" t="s">
        <v>32</v>
      </c>
      <c r="H125" t="s">
        <v>1505</v>
      </c>
    </row>
    <row r="126" spans="1:8" x14ac:dyDescent="0.25">
      <c r="A126" t="s">
        <v>650</v>
      </c>
      <c r="B126">
        <v>96</v>
      </c>
      <c r="C126" t="s">
        <v>5</v>
      </c>
      <c r="D126" t="s">
        <v>235</v>
      </c>
      <c r="E126" t="s">
        <v>258</v>
      </c>
      <c r="F126" t="s">
        <v>147</v>
      </c>
      <c r="G126" t="s">
        <v>32</v>
      </c>
      <c r="H126" t="s">
        <v>1506</v>
      </c>
    </row>
    <row r="127" spans="1:8" x14ac:dyDescent="0.25">
      <c r="A127" t="s">
        <v>651</v>
      </c>
      <c r="B127">
        <v>97</v>
      </c>
      <c r="C127" t="s">
        <v>5</v>
      </c>
      <c r="D127" t="s">
        <v>236</v>
      </c>
      <c r="E127" t="s">
        <v>259</v>
      </c>
      <c r="F127" t="s">
        <v>147</v>
      </c>
      <c r="G127" t="s">
        <v>32</v>
      </c>
      <c r="H127" t="s">
        <v>1507</v>
      </c>
    </row>
    <row r="128" spans="1:8" x14ac:dyDescent="0.25">
      <c r="A128" t="s">
        <v>652</v>
      </c>
      <c r="B128">
        <v>98</v>
      </c>
      <c r="C128" t="s">
        <v>5</v>
      </c>
      <c r="D128" t="s">
        <v>237</v>
      </c>
      <c r="E128" t="s">
        <v>983</v>
      </c>
      <c r="F128" t="s">
        <v>146</v>
      </c>
      <c r="G128" t="s">
        <v>32</v>
      </c>
      <c r="H128" t="s">
        <v>1508</v>
      </c>
    </row>
    <row r="129" spans="1:8" x14ac:dyDescent="0.25">
      <c r="A129" t="s">
        <v>983</v>
      </c>
      <c r="B129">
        <v>655</v>
      </c>
      <c r="C129" t="s">
        <v>5</v>
      </c>
      <c r="D129" t="s">
        <v>983</v>
      </c>
      <c r="E129" t="s">
        <v>260</v>
      </c>
      <c r="F129" t="s">
        <v>146</v>
      </c>
      <c r="G129" t="s">
        <v>32</v>
      </c>
      <c r="H129" t="s">
        <v>1508</v>
      </c>
    </row>
    <row r="130" spans="1:8" x14ac:dyDescent="0.25">
      <c r="A130" t="s">
        <v>653</v>
      </c>
      <c r="B130">
        <v>99</v>
      </c>
      <c r="C130" t="s">
        <v>5</v>
      </c>
      <c r="D130" t="s">
        <v>238</v>
      </c>
      <c r="E130" t="s">
        <v>922</v>
      </c>
      <c r="F130" t="s">
        <v>146</v>
      </c>
      <c r="G130" t="s">
        <v>32</v>
      </c>
      <c r="H130" t="s">
        <v>1509</v>
      </c>
    </row>
    <row r="131" spans="1:8" x14ac:dyDescent="0.25">
      <c r="A131" t="s">
        <v>922</v>
      </c>
      <c r="B131">
        <v>474</v>
      </c>
      <c r="C131" t="s">
        <v>5</v>
      </c>
      <c r="D131" t="s">
        <v>922</v>
      </c>
      <c r="E131" t="s">
        <v>261</v>
      </c>
      <c r="F131" t="s">
        <v>146</v>
      </c>
      <c r="G131" t="s">
        <v>32</v>
      </c>
      <c r="H131" t="s">
        <v>1509</v>
      </c>
    </row>
    <row r="132" spans="1:8" x14ac:dyDescent="0.25">
      <c r="A132" t="s">
        <v>654</v>
      </c>
      <c r="B132">
        <v>100</v>
      </c>
      <c r="C132" t="s">
        <v>5</v>
      </c>
      <c r="D132" t="s">
        <v>239</v>
      </c>
      <c r="E132" t="s">
        <v>923</v>
      </c>
      <c r="F132" t="s">
        <v>146</v>
      </c>
      <c r="G132" t="s">
        <v>32</v>
      </c>
      <c r="H132" t="s">
        <v>1510</v>
      </c>
    </row>
    <row r="133" spans="1:8" x14ac:dyDescent="0.25">
      <c r="A133" t="s">
        <v>923</v>
      </c>
      <c r="B133">
        <v>475</v>
      </c>
      <c r="C133" t="s">
        <v>5</v>
      </c>
      <c r="D133" t="s">
        <v>923</v>
      </c>
      <c r="E133" t="s">
        <v>262</v>
      </c>
      <c r="F133" t="s">
        <v>146</v>
      </c>
      <c r="G133" t="s">
        <v>32</v>
      </c>
      <c r="H133" t="s">
        <v>1510</v>
      </c>
    </row>
    <row r="134" spans="1:8" x14ac:dyDescent="0.25">
      <c r="A134" t="s">
        <v>655</v>
      </c>
      <c r="B134">
        <v>101</v>
      </c>
      <c r="C134" t="s">
        <v>5</v>
      </c>
      <c r="D134" t="s">
        <v>243</v>
      </c>
      <c r="E134" t="s">
        <v>266</v>
      </c>
      <c r="F134" t="s">
        <v>147</v>
      </c>
      <c r="G134" t="s">
        <v>32</v>
      </c>
      <c r="H134" t="s">
        <v>1511</v>
      </c>
    </row>
    <row r="135" spans="1:8" x14ac:dyDescent="0.25">
      <c r="A135" t="s">
        <v>656</v>
      </c>
      <c r="B135">
        <v>102</v>
      </c>
      <c r="C135" t="s">
        <v>5</v>
      </c>
      <c r="D135" t="s">
        <v>244</v>
      </c>
      <c r="E135" t="s">
        <v>267</v>
      </c>
      <c r="F135" t="s">
        <v>147</v>
      </c>
      <c r="G135" t="s">
        <v>32</v>
      </c>
      <c r="H135" t="s">
        <v>1512</v>
      </c>
    </row>
    <row r="136" spans="1:8" x14ac:dyDescent="0.25">
      <c r="A136" t="s">
        <v>657</v>
      </c>
      <c r="B136">
        <v>103</v>
      </c>
      <c r="C136" t="s">
        <v>5</v>
      </c>
      <c r="D136" t="s">
        <v>245</v>
      </c>
      <c r="E136" t="s">
        <v>268</v>
      </c>
      <c r="F136" t="s">
        <v>147</v>
      </c>
      <c r="G136" t="s">
        <v>32</v>
      </c>
      <c r="H136" t="s">
        <v>1513</v>
      </c>
    </row>
    <row r="137" spans="1:8" x14ac:dyDescent="0.25">
      <c r="A137" t="s">
        <v>658</v>
      </c>
      <c r="B137">
        <v>104</v>
      </c>
      <c r="C137" t="s">
        <v>5</v>
      </c>
      <c r="D137" t="s">
        <v>246</v>
      </c>
      <c r="E137" t="s">
        <v>269</v>
      </c>
      <c r="F137" t="s">
        <v>147</v>
      </c>
      <c r="G137" t="s">
        <v>32</v>
      </c>
      <c r="H137" t="s">
        <v>1514</v>
      </c>
    </row>
    <row r="138" spans="1:8" x14ac:dyDescent="0.25">
      <c r="A138" t="s">
        <v>659</v>
      </c>
      <c r="B138">
        <v>105</v>
      </c>
      <c r="C138" t="s">
        <v>5</v>
      </c>
      <c r="D138" t="s">
        <v>229</v>
      </c>
      <c r="E138" t="s">
        <v>891</v>
      </c>
      <c r="F138" t="s">
        <v>144</v>
      </c>
      <c r="G138" t="s">
        <v>31</v>
      </c>
      <c r="H138" t="s">
        <v>1515</v>
      </c>
    </row>
    <row r="139" spans="1:8" x14ac:dyDescent="0.25">
      <c r="A139" t="s">
        <v>891</v>
      </c>
      <c r="B139">
        <v>383</v>
      </c>
      <c r="C139" t="s">
        <v>5</v>
      </c>
      <c r="D139" t="s">
        <v>891</v>
      </c>
      <c r="E139" t="s">
        <v>252</v>
      </c>
      <c r="F139" t="s">
        <v>144</v>
      </c>
      <c r="G139" t="s">
        <v>31</v>
      </c>
      <c r="H139" t="s">
        <v>1515</v>
      </c>
    </row>
    <row r="140" spans="1:8" x14ac:dyDescent="0.25">
      <c r="A140" t="s">
        <v>660</v>
      </c>
      <c r="B140">
        <v>106</v>
      </c>
      <c r="C140" t="s">
        <v>5</v>
      </c>
      <c r="D140" t="s">
        <v>240</v>
      </c>
      <c r="E140" t="s">
        <v>921</v>
      </c>
      <c r="F140" t="s">
        <v>144</v>
      </c>
      <c r="G140" t="s">
        <v>31</v>
      </c>
      <c r="H140" t="s">
        <v>1516</v>
      </c>
    </row>
    <row r="141" spans="1:8" x14ac:dyDescent="0.25">
      <c r="A141" t="s">
        <v>921</v>
      </c>
      <c r="B141">
        <v>473</v>
      </c>
      <c r="C141" t="s">
        <v>5</v>
      </c>
      <c r="D141" t="s">
        <v>921</v>
      </c>
      <c r="E141" t="s">
        <v>263</v>
      </c>
      <c r="F141" t="s">
        <v>144</v>
      </c>
      <c r="G141" t="s">
        <v>31</v>
      </c>
      <c r="H141" t="s">
        <v>1516</v>
      </c>
    </row>
    <row r="142" spans="1:8" x14ac:dyDescent="0.25">
      <c r="A142" t="s">
        <v>661</v>
      </c>
      <c r="B142">
        <v>107</v>
      </c>
      <c r="C142" t="s">
        <v>5</v>
      </c>
      <c r="D142" t="s">
        <v>232</v>
      </c>
      <c r="E142" t="s">
        <v>951</v>
      </c>
      <c r="F142" t="s">
        <v>145</v>
      </c>
      <c r="G142" t="s">
        <v>32</v>
      </c>
      <c r="H142" t="s">
        <v>1517</v>
      </c>
    </row>
    <row r="143" spans="1:8" x14ac:dyDescent="0.25">
      <c r="A143" t="s">
        <v>951</v>
      </c>
      <c r="B143">
        <v>563</v>
      </c>
      <c r="C143" t="s">
        <v>5</v>
      </c>
      <c r="D143" t="s">
        <v>951</v>
      </c>
      <c r="E143" t="s">
        <v>255</v>
      </c>
      <c r="F143" t="s">
        <v>145</v>
      </c>
      <c r="G143" t="s">
        <v>32</v>
      </c>
      <c r="H143" t="s">
        <v>1517</v>
      </c>
    </row>
    <row r="144" spans="1:8" x14ac:dyDescent="0.25">
      <c r="A144" t="s">
        <v>662</v>
      </c>
      <c r="B144">
        <v>108</v>
      </c>
      <c r="C144" t="s">
        <v>5</v>
      </c>
      <c r="D144" t="s">
        <v>233</v>
      </c>
      <c r="E144" t="s">
        <v>981</v>
      </c>
      <c r="F144" t="s">
        <v>145</v>
      </c>
      <c r="G144" t="s">
        <v>32</v>
      </c>
      <c r="H144" t="s">
        <v>1518</v>
      </c>
    </row>
    <row r="145" spans="1:8" x14ac:dyDescent="0.25">
      <c r="A145" t="s">
        <v>981</v>
      </c>
      <c r="B145">
        <v>653</v>
      </c>
      <c r="C145" t="s">
        <v>5</v>
      </c>
      <c r="D145" t="s">
        <v>981</v>
      </c>
      <c r="E145" t="s">
        <v>256</v>
      </c>
      <c r="F145" t="s">
        <v>145</v>
      </c>
      <c r="G145" t="s">
        <v>32</v>
      </c>
      <c r="H145" t="s">
        <v>1518</v>
      </c>
    </row>
    <row r="146" spans="1:8" x14ac:dyDescent="0.25">
      <c r="A146" t="s">
        <v>484</v>
      </c>
      <c r="B146">
        <v>109</v>
      </c>
      <c r="C146" t="s">
        <v>5</v>
      </c>
      <c r="D146" t="s">
        <v>271</v>
      </c>
      <c r="E146" t="s">
        <v>272</v>
      </c>
      <c r="F146" t="s">
        <v>1532</v>
      </c>
      <c r="G146" t="s">
        <v>150</v>
      </c>
      <c r="H146" t="s">
        <v>1495</v>
      </c>
    </row>
    <row r="147" spans="1:8" x14ac:dyDescent="0.25">
      <c r="A147" t="s">
        <v>485</v>
      </c>
      <c r="B147">
        <v>110</v>
      </c>
      <c r="C147" t="s">
        <v>5</v>
      </c>
      <c r="D147" t="s">
        <v>273</v>
      </c>
      <c r="E147" t="s">
        <v>274</v>
      </c>
      <c r="F147" t="s">
        <v>1532</v>
      </c>
      <c r="G147" t="s">
        <v>150</v>
      </c>
      <c r="H147" t="s">
        <v>1495</v>
      </c>
    </row>
    <row r="148" spans="1:8" x14ac:dyDescent="0.25">
      <c r="A148" t="s">
        <v>486</v>
      </c>
      <c r="B148">
        <v>111</v>
      </c>
      <c r="C148" t="s">
        <v>5</v>
      </c>
      <c r="D148" t="s">
        <v>276</v>
      </c>
      <c r="E148" t="s">
        <v>277</v>
      </c>
      <c r="F148" t="s">
        <v>1532</v>
      </c>
      <c r="G148" t="s">
        <v>150</v>
      </c>
      <c r="H148" t="s">
        <v>1495</v>
      </c>
    </row>
    <row r="149" spans="1:8" x14ac:dyDescent="0.25">
      <c r="A149" t="s">
        <v>487</v>
      </c>
      <c r="B149">
        <v>112</v>
      </c>
      <c r="C149" t="s">
        <v>5</v>
      </c>
      <c r="D149" t="s">
        <v>280</v>
      </c>
      <c r="E149" t="s">
        <v>281</v>
      </c>
      <c r="F149" t="s">
        <v>1532</v>
      </c>
      <c r="G149" t="s">
        <v>150</v>
      </c>
      <c r="H149" t="s">
        <v>1496</v>
      </c>
    </row>
    <row r="150" spans="1:8" x14ac:dyDescent="0.25">
      <c r="A150" t="s">
        <v>488</v>
      </c>
      <c r="B150">
        <v>113</v>
      </c>
      <c r="C150" t="s">
        <v>5</v>
      </c>
      <c r="D150" t="s">
        <v>281</v>
      </c>
      <c r="E150" t="s">
        <v>282</v>
      </c>
      <c r="F150" t="s">
        <v>1532</v>
      </c>
      <c r="G150" t="s">
        <v>150</v>
      </c>
      <c r="H150" t="s">
        <v>1496</v>
      </c>
    </row>
    <row r="151" spans="1:8" x14ac:dyDescent="0.25">
      <c r="A151" t="s">
        <v>489</v>
      </c>
      <c r="B151">
        <v>114</v>
      </c>
      <c r="C151" t="s">
        <v>5</v>
      </c>
      <c r="D151" t="s">
        <v>282</v>
      </c>
      <c r="E151" t="s">
        <v>283</v>
      </c>
      <c r="F151" t="s">
        <v>1532</v>
      </c>
      <c r="G151" t="s">
        <v>150</v>
      </c>
      <c r="H151" t="s">
        <v>1496</v>
      </c>
    </row>
    <row r="152" spans="1:8" x14ac:dyDescent="0.25">
      <c r="A152" t="s">
        <v>490</v>
      </c>
      <c r="B152">
        <v>115</v>
      </c>
      <c r="C152" t="s">
        <v>5</v>
      </c>
      <c r="D152" t="s">
        <v>287</v>
      </c>
      <c r="E152" t="s">
        <v>288</v>
      </c>
      <c r="F152" t="s">
        <v>1532</v>
      </c>
      <c r="G152" t="s">
        <v>150</v>
      </c>
      <c r="H152" t="s">
        <v>1497</v>
      </c>
    </row>
    <row r="153" spans="1:8" x14ac:dyDescent="0.25">
      <c r="A153" t="s">
        <v>491</v>
      </c>
      <c r="B153">
        <v>116</v>
      </c>
      <c r="C153" t="s">
        <v>5</v>
      </c>
      <c r="D153" t="s">
        <v>289</v>
      </c>
      <c r="E153" t="s">
        <v>290</v>
      </c>
      <c r="F153" t="s">
        <v>1532</v>
      </c>
      <c r="G153" t="s">
        <v>150</v>
      </c>
      <c r="H153" t="s">
        <v>1498</v>
      </c>
    </row>
    <row r="154" spans="1:8" x14ac:dyDescent="0.25">
      <c r="A154" t="s">
        <v>492</v>
      </c>
      <c r="B154">
        <v>117</v>
      </c>
      <c r="C154" t="s">
        <v>5</v>
      </c>
      <c r="D154" t="s">
        <v>290</v>
      </c>
      <c r="E154" t="s">
        <v>291</v>
      </c>
      <c r="F154" t="s">
        <v>1532</v>
      </c>
      <c r="G154" t="s">
        <v>150</v>
      </c>
      <c r="H154" t="s">
        <v>1498</v>
      </c>
    </row>
    <row r="155" spans="1:8" x14ac:dyDescent="0.25">
      <c r="A155" t="s">
        <v>493</v>
      </c>
      <c r="B155">
        <v>118</v>
      </c>
      <c r="C155" t="s">
        <v>5</v>
      </c>
      <c r="D155" t="s">
        <v>291</v>
      </c>
      <c r="E155" t="s">
        <v>292</v>
      </c>
      <c r="F155" t="s">
        <v>1532</v>
      </c>
      <c r="G155" t="s">
        <v>150</v>
      </c>
      <c r="H155" t="s">
        <v>1498</v>
      </c>
    </row>
    <row r="156" spans="1:8" x14ac:dyDescent="0.25">
      <c r="A156" t="s">
        <v>494</v>
      </c>
      <c r="B156">
        <v>119</v>
      </c>
      <c r="C156" t="s">
        <v>5</v>
      </c>
      <c r="D156" t="s">
        <v>272</v>
      </c>
      <c r="E156" t="s">
        <v>276</v>
      </c>
      <c r="F156" t="s">
        <v>1530</v>
      </c>
      <c r="G156" t="s">
        <v>150</v>
      </c>
      <c r="H156" t="s">
        <v>1499</v>
      </c>
    </row>
    <row r="157" spans="1:8" x14ac:dyDescent="0.25">
      <c r="A157" t="s">
        <v>495</v>
      </c>
      <c r="B157">
        <v>120</v>
      </c>
      <c r="C157" t="s">
        <v>5</v>
      </c>
      <c r="D157" t="s">
        <v>276</v>
      </c>
      <c r="E157" t="s">
        <v>281</v>
      </c>
      <c r="F157" t="s">
        <v>1531</v>
      </c>
      <c r="G157" t="s">
        <v>150</v>
      </c>
      <c r="H157" t="s">
        <v>1499</v>
      </c>
    </row>
    <row r="158" spans="1:8" x14ac:dyDescent="0.25">
      <c r="A158" t="s">
        <v>496</v>
      </c>
      <c r="B158">
        <v>121</v>
      </c>
      <c r="C158" t="s">
        <v>5</v>
      </c>
      <c r="D158" t="s">
        <v>273</v>
      </c>
      <c r="E158" t="s">
        <v>277</v>
      </c>
      <c r="F158" t="s">
        <v>1530</v>
      </c>
      <c r="G158" t="s">
        <v>150</v>
      </c>
      <c r="H158" t="s">
        <v>1500</v>
      </c>
    </row>
    <row r="159" spans="1:8" x14ac:dyDescent="0.25">
      <c r="A159" t="s">
        <v>497</v>
      </c>
      <c r="B159">
        <v>122</v>
      </c>
      <c r="C159" t="s">
        <v>5</v>
      </c>
      <c r="D159" t="s">
        <v>277</v>
      </c>
      <c r="E159" t="s">
        <v>282</v>
      </c>
      <c r="F159" t="s">
        <v>1531</v>
      </c>
      <c r="G159" t="s">
        <v>150</v>
      </c>
      <c r="H159" t="s">
        <v>1500</v>
      </c>
    </row>
    <row r="160" spans="1:8" x14ac:dyDescent="0.25">
      <c r="A160" t="s">
        <v>498</v>
      </c>
      <c r="B160">
        <v>123</v>
      </c>
      <c r="C160" t="s">
        <v>5</v>
      </c>
      <c r="D160" t="s">
        <v>284</v>
      </c>
      <c r="E160" t="s">
        <v>287</v>
      </c>
      <c r="F160" t="s">
        <v>1530</v>
      </c>
      <c r="G160" t="s">
        <v>150</v>
      </c>
      <c r="H160" t="s">
        <v>1499</v>
      </c>
    </row>
    <row r="161" spans="1:8" x14ac:dyDescent="0.25">
      <c r="A161" t="s">
        <v>499</v>
      </c>
      <c r="B161">
        <v>124</v>
      </c>
      <c r="C161" t="s">
        <v>5</v>
      </c>
      <c r="D161" t="s">
        <v>287</v>
      </c>
      <c r="E161" t="s">
        <v>290</v>
      </c>
      <c r="F161" t="s">
        <v>1531</v>
      </c>
      <c r="G161" t="s">
        <v>150</v>
      </c>
      <c r="H161" t="s">
        <v>1499</v>
      </c>
    </row>
    <row r="162" spans="1:8" x14ac:dyDescent="0.25">
      <c r="A162" t="s">
        <v>500</v>
      </c>
      <c r="B162">
        <v>125</v>
      </c>
      <c r="C162" t="s">
        <v>5</v>
      </c>
      <c r="D162" t="s">
        <v>285</v>
      </c>
      <c r="E162" t="s">
        <v>288</v>
      </c>
      <c r="F162" t="s">
        <v>1530</v>
      </c>
      <c r="G162" t="s">
        <v>150</v>
      </c>
      <c r="H162" t="s">
        <v>1500</v>
      </c>
    </row>
    <row r="163" spans="1:8" x14ac:dyDescent="0.25">
      <c r="A163" t="s">
        <v>501</v>
      </c>
      <c r="B163">
        <v>126</v>
      </c>
      <c r="C163" t="s">
        <v>5</v>
      </c>
      <c r="D163" t="s">
        <v>288</v>
      </c>
      <c r="E163" t="s">
        <v>291</v>
      </c>
      <c r="F163" t="s">
        <v>1531</v>
      </c>
      <c r="G163" t="s">
        <v>150</v>
      </c>
      <c r="H163" t="s">
        <v>1500</v>
      </c>
    </row>
    <row r="164" spans="1:8" x14ac:dyDescent="0.25">
      <c r="A164" t="s">
        <v>663</v>
      </c>
      <c r="B164">
        <v>127</v>
      </c>
      <c r="C164" t="s">
        <v>5</v>
      </c>
      <c r="D164" t="s">
        <v>248</v>
      </c>
      <c r="E164" t="s">
        <v>955</v>
      </c>
      <c r="F164" t="s">
        <v>146</v>
      </c>
      <c r="G164" t="s">
        <v>32</v>
      </c>
      <c r="H164" t="s">
        <v>1501</v>
      </c>
    </row>
    <row r="165" spans="1:8" x14ac:dyDescent="0.25">
      <c r="A165" t="s">
        <v>955</v>
      </c>
      <c r="B165">
        <v>573</v>
      </c>
      <c r="C165" t="s">
        <v>5</v>
      </c>
      <c r="D165" t="s">
        <v>955</v>
      </c>
      <c r="E165" t="s">
        <v>271</v>
      </c>
      <c r="F165" t="s">
        <v>146</v>
      </c>
      <c r="G165" t="s">
        <v>32</v>
      </c>
      <c r="H165" t="s">
        <v>1501</v>
      </c>
    </row>
    <row r="166" spans="1:8" x14ac:dyDescent="0.25">
      <c r="A166" t="s">
        <v>664</v>
      </c>
      <c r="B166">
        <v>128</v>
      </c>
      <c r="C166" t="s">
        <v>5</v>
      </c>
      <c r="D166" t="s">
        <v>249</v>
      </c>
      <c r="E166" t="s">
        <v>895</v>
      </c>
      <c r="F166" t="s">
        <v>146</v>
      </c>
      <c r="G166" t="s">
        <v>32</v>
      </c>
      <c r="H166" t="s">
        <v>1502</v>
      </c>
    </row>
    <row r="167" spans="1:8" x14ac:dyDescent="0.25">
      <c r="A167" t="s">
        <v>895</v>
      </c>
      <c r="B167">
        <v>393</v>
      </c>
      <c r="C167" t="s">
        <v>5</v>
      </c>
      <c r="D167" t="s">
        <v>895</v>
      </c>
      <c r="E167" t="s">
        <v>272</v>
      </c>
      <c r="F167" t="s">
        <v>146</v>
      </c>
      <c r="G167" t="s">
        <v>32</v>
      </c>
      <c r="H167" t="s">
        <v>1502</v>
      </c>
    </row>
    <row r="168" spans="1:8" x14ac:dyDescent="0.25">
      <c r="A168" t="s">
        <v>665</v>
      </c>
      <c r="B168">
        <v>129</v>
      </c>
      <c r="C168" t="s">
        <v>5</v>
      </c>
      <c r="D168" t="s">
        <v>250</v>
      </c>
      <c r="E168" t="s">
        <v>896</v>
      </c>
      <c r="F168" t="s">
        <v>146</v>
      </c>
      <c r="G168" t="s">
        <v>32</v>
      </c>
      <c r="H168" t="s">
        <v>1503</v>
      </c>
    </row>
    <row r="169" spans="1:8" x14ac:dyDescent="0.25">
      <c r="A169" t="s">
        <v>896</v>
      </c>
      <c r="B169">
        <v>394</v>
      </c>
      <c r="C169" t="s">
        <v>5</v>
      </c>
      <c r="D169" t="s">
        <v>896</v>
      </c>
      <c r="E169" t="s">
        <v>273</v>
      </c>
      <c r="F169" t="s">
        <v>146</v>
      </c>
      <c r="G169" t="s">
        <v>32</v>
      </c>
      <c r="H169" t="s">
        <v>1503</v>
      </c>
    </row>
    <row r="170" spans="1:8" x14ac:dyDescent="0.25">
      <c r="A170" t="s">
        <v>666</v>
      </c>
      <c r="B170">
        <v>130</v>
      </c>
      <c r="C170" t="s">
        <v>5</v>
      </c>
      <c r="D170" t="s">
        <v>251</v>
      </c>
      <c r="E170" t="s">
        <v>985</v>
      </c>
      <c r="F170" t="s">
        <v>146</v>
      </c>
      <c r="G170" t="s">
        <v>32</v>
      </c>
      <c r="H170" t="s">
        <v>1504</v>
      </c>
    </row>
    <row r="171" spans="1:8" x14ac:dyDescent="0.25">
      <c r="A171" t="s">
        <v>985</v>
      </c>
      <c r="B171">
        <v>663</v>
      </c>
      <c r="C171" t="s">
        <v>5</v>
      </c>
      <c r="D171" t="s">
        <v>985</v>
      </c>
      <c r="E171" t="s">
        <v>274</v>
      </c>
      <c r="F171" t="s">
        <v>146</v>
      </c>
      <c r="G171" t="s">
        <v>32</v>
      </c>
      <c r="H171" t="s">
        <v>1504</v>
      </c>
    </row>
    <row r="172" spans="1:8" x14ac:dyDescent="0.25">
      <c r="A172" t="s">
        <v>667</v>
      </c>
      <c r="B172">
        <v>131</v>
      </c>
      <c r="C172" t="s">
        <v>5</v>
      </c>
      <c r="D172" t="s">
        <v>257</v>
      </c>
      <c r="E172" t="s">
        <v>956</v>
      </c>
      <c r="F172" t="s">
        <v>146</v>
      </c>
      <c r="G172" t="s">
        <v>32</v>
      </c>
      <c r="H172" t="s">
        <v>1505</v>
      </c>
    </row>
    <row r="173" spans="1:8" x14ac:dyDescent="0.25">
      <c r="A173" t="s">
        <v>956</v>
      </c>
      <c r="B173">
        <v>574</v>
      </c>
      <c r="C173" t="s">
        <v>5</v>
      </c>
      <c r="D173" t="s">
        <v>956</v>
      </c>
      <c r="E173" t="s">
        <v>280</v>
      </c>
      <c r="F173" t="s">
        <v>146</v>
      </c>
      <c r="G173" t="s">
        <v>32</v>
      </c>
      <c r="H173" t="s">
        <v>1505</v>
      </c>
    </row>
    <row r="174" spans="1:8" x14ac:dyDescent="0.25">
      <c r="A174" t="s">
        <v>668</v>
      </c>
      <c r="B174">
        <v>132</v>
      </c>
      <c r="C174" t="s">
        <v>5</v>
      </c>
      <c r="D174" t="s">
        <v>258</v>
      </c>
      <c r="E174" t="s">
        <v>281</v>
      </c>
      <c r="F174" t="s">
        <v>147</v>
      </c>
      <c r="G174" t="s">
        <v>32</v>
      </c>
      <c r="H174" t="s">
        <v>1506</v>
      </c>
    </row>
    <row r="175" spans="1:8" x14ac:dyDescent="0.25">
      <c r="A175" t="s">
        <v>669</v>
      </c>
      <c r="B175">
        <v>133</v>
      </c>
      <c r="C175" t="s">
        <v>5</v>
      </c>
      <c r="D175" t="s">
        <v>259</v>
      </c>
      <c r="E175" t="s">
        <v>282</v>
      </c>
      <c r="F175" t="s">
        <v>147</v>
      </c>
      <c r="G175" t="s">
        <v>32</v>
      </c>
      <c r="H175" t="s">
        <v>1507</v>
      </c>
    </row>
    <row r="176" spans="1:8" x14ac:dyDescent="0.25">
      <c r="A176" t="s">
        <v>670</v>
      </c>
      <c r="B176">
        <v>134</v>
      </c>
      <c r="C176" t="s">
        <v>5</v>
      </c>
      <c r="D176" t="s">
        <v>260</v>
      </c>
      <c r="E176" t="s">
        <v>986</v>
      </c>
      <c r="F176" t="s">
        <v>146</v>
      </c>
      <c r="G176" t="s">
        <v>32</v>
      </c>
      <c r="H176" t="s">
        <v>1508</v>
      </c>
    </row>
    <row r="177" spans="1:8" x14ac:dyDescent="0.25">
      <c r="A177" t="s">
        <v>986</v>
      </c>
      <c r="B177">
        <v>664</v>
      </c>
      <c r="C177" t="s">
        <v>5</v>
      </c>
      <c r="D177" t="s">
        <v>986</v>
      </c>
      <c r="E177" t="s">
        <v>283</v>
      </c>
      <c r="F177" t="s">
        <v>146</v>
      </c>
      <c r="G177" t="s">
        <v>32</v>
      </c>
      <c r="H177" t="s">
        <v>1508</v>
      </c>
    </row>
    <row r="178" spans="1:8" x14ac:dyDescent="0.25">
      <c r="A178" t="s">
        <v>671</v>
      </c>
      <c r="B178">
        <v>135</v>
      </c>
      <c r="C178" t="s">
        <v>5</v>
      </c>
      <c r="D178" t="s">
        <v>261</v>
      </c>
      <c r="E178" t="s">
        <v>925</v>
      </c>
      <c r="F178" t="s">
        <v>146</v>
      </c>
      <c r="G178" t="s">
        <v>32</v>
      </c>
      <c r="H178" t="s">
        <v>1509</v>
      </c>
    </row>
    <row r="179" spans="1:8" x14ac:dyDescent="0.25">
      <c r="A179" t="s">
        <v>925</v>
      </c>
      <c r="B179">
        <v>483</v>
      </c>
      <c r="C179" t="s">
        <v>5</v>
      </c>
      <c r="D179" t="s">
        <v>925</v>
      </c>
      <c r="E179" t="s">
        <v>284</v>
      </c>
      <c r="F179" t="s">
        <v>146</v>
      </c>
      <c r="G179" t="s">
        <v>32</v>
      </c>
      <c r="H179" t="s">
        <v>1509</v>
      </c>
    </row>
    <row r="180" spans="1:8" x14ac:dyDescent="0.25">
      <c r="A180" t="s">
        <v>672</v>
      </c>
      <c r="B180">
        <v>136</v>
      </c>
      <c r="C180" t="s">
        <v>5</v>
      </c>
      <c r="D180" t="s">
        <v>262</v>
      </c>
      <c r="E180" t="s">
        <v>926</v>
      </c>
      <c r="F180" t="s">
        <v>146</v>
      </c>
      <c r="G180" t="s">
        <v>32</v>
      </c>
      <c r="H180" t="s">
        <v>1510</v>
      </c>
    </row>
    <row r="181" spans="1:8" x14ac:dyDescent="0.25">
      <c r="A181" t="s">
        <v>926</v>
      </c>
      <c r="B181">
        <v>484</v>
      </c>
      <c r="C181" t="s">
        <v>5</v>
      </c>
      <c r="D181" t="s">
        <v>926</v>
      </c>
      <c r="E181" t="s">
        <v>285</v>
      </c>
      <c r="F181" t="s">
        <v>146</v>
      </c>
      <c r="G181" t="s">
        <v>32</v>
      </c>
      <c r="H181" t="s">
        <v>1510</v>
      </c>
    </row>
    <row r="182" spans="1:8" x14ac:dyDescent="0.25">
      <c r="A182" t="s">
        <v>673</v>
      </c>
      <c r="B182">
        <v>137</v>
      </c>
      <c r="C182" t="s">
        <v>5</v>
      </c>
      <c r="D182" t="s">
        <v>266</v>
      </c>
      <c r="E182" t="s">
        <v>289</v>
      </c>
      <c r="F182" t="s">
        <v>147</v>
      </c>
      <c r="G182" t="s">
        <v>32</v>
      </c>
      <c r="H182" t="s">
        <v>1511</v>
      </c>
    </row>
    <row r="183" spans="1:8" x14ac:dyDescent="0.25">
      <c r="A183" t="s">
        <v>674</v>
      </c>
      <c r="B183">
        <v>138</v>
      </c>
      <c r="C183" t="s">
        <v>5</v>
      </c>
      <c r="D183" t="s">
        <v>267</v>
      </c>
      <c r="E183" t="s">
        <v>290</v>
      </c>
      <c r="F183" t="s">
        <v>147</v>
      </c>
      <c r="G183" t="s">
        <v>32</v>
      </c>
      <c r="H183" t="s">
        <v>1512</v>
      </c>
    </row>
    <row r="184" spans="1:8" x14ac:dyDescent="0.25">
      <c r="A184" t="s">
        <v>675</v>
      </c>
      <c r="B184">
        <v>139</v>
      </c>
      <c r="C184" t="s">
        <v>5</v>
      </c>
      <c r="D184" t="s">
        <v>268</v>
      </c>
      <c r="E184" t="s">
        <v>291</v>
      </c>
      <c r="F184" t="s">
        <v>147</v>
      </c>
      <c r="G184" t="s">
        <v>32</v>
      </c>
      <c r="H184" t="s">
        <v>1513</v>
      </c>
    </row>
    <row r="185" spans="1:8" x14ac:dyDescent="0.25">
      <c r="A185" t="s">
        <v>676</v>
      </c>
      <c r="B185">
        <v>140</v>
      </c>
      <c r="C185" t="s">
        <v>5</v>
      </c>
      <c r="D185" t="s">
        <v>269</v>
      </c>
      <c r="E185" t="s">
        <v>292</v>
      </c>
      <c r="F185" t="s">
        <v>147</v>
      </c>
      <c r="G185" t="s">
        <v>32</v>
      </c>
      <c r="H185" t="s">
        <v>1514</v>
      </c>
    </row>
    <row r="186" spans="1:8" x14ac:dyDescent="0.25">
      <c r="A186" t="s">
        <v>677</v>
      </c>
      <c r="B186">
        <v>141</v>
      </c>
      <c r="C186" t="s">
        <v>5</v>
      </c>
      <c r="D186" t="s">
        <v>252</v>
      </c>
      <c r="E186" t="s">
        <v>894</v>
      </c>
      <c r="F186" t="s">
        <v>144</v>
      </c>
      <c r="G186" t="s">
        <v>31</v>
      </c>
      <c r="H186" t="s">
        <v>1515</v>
      </c>
    </row>
    <row r="187" spans="1:8" x14ac:dyDescent="0.25">
      <c r="A187" t="s">
        <v>894</v>
      </c>
      <c r="B187">
        <v>392</v>
      </c>
      <c r="C187" t="s">
        <v>5</v>
      </c>
      <c r="D187" t="s">
        <v>894</v>
      </c>
      <c r="E187" t="s">
        <v>275</v>
      </c>
      <c r="F187" t="s">
        <v>144</v>
      </c>
      <c r="G187" t="s">
        <v>31</v>
      </c>
      <c r="H187" t="s">
        <v>1515</v>
      </c>
    </row>
    <row r="188" spans="1:8" x14ac:dyDescent="0.25">
      <c r="A188" t="s">
        <v>678</v>
      </c>
      <c r="B188">
        <v>142</v>
      </c>
      <c r="C188" t="s">
        <v>5</v>
      </c>
      <c r="D188" t="s">
        <v>263</v>
      </c>
      <c r="E188" t="s">
        <v>924</v>
      </c>
      <c r="F188" t="s">
        <v>144</v>
      </c>
      <c r="G188" t="s">
        <v>31</v>
      </c>
      <c r="H188" t="s">
        <v>1516</v>
      </c>
    </row>
    <row r="189" spans="1:8" x14ac:dyDescent="0.25">
      <c r="A189" t="s">
        <v>924</v>
      </c>
      <c r="B189">
        <v>482</v>
      </c>
      <c r="C189" t="s">
        <v>5</v>
      </c>
      <c r="D189" t="s">
        <v>924</v>
      </c>
      <c r="E189" t="s">
        <v>286</v>
      </c>
      <c r="F189" t="s">
        <v>144</v>
      </c>
      <c r="G189" t="s">
        <v>31</v>
      </c>
      <c r="H189" t="s">
        <v>1516</v>
      </c>
    </row>
    <row r="190" spans="1:8" x14ac:dyDescent="0.25">
      <c r="A190" t="s">
        <v>679</v>
      </c>
      <c r="B190">
        <v>143</v>
      </c>
      <c r="C190" t="s">
        <v>5</v>
      </c>
      <c r="D190" t="s">
        <v>255</v>
      </c>
      <c r="E190" t="s">
        <v>954</v>
      </c>
      <c r="F190" t="s">
        <v>145</v>
      </c>
      <c r="G190" t="s">
        <v>32</v>
      </c>
      <c r="H190" t="s">
        <v>1517</v>
      </c>
    </row>
    <row r="191" spans="1:8" x14ac:dyDescent="0.25">
      <c r="A191" t="s">
        <v>954</v>
      </c>
      <c r="B191">
        <v>572</v>
      </c>
      <c r="C191" t="s">
        <v>5</v>
      </c>
      <c r="D191" t="s">
        <v>954</v>
      </c>
      <c r="E191" t="s">
        <v>278</v>
      </c>
      <c r="F191" t="s">
        <v>145</v>
      </c>
      <c r="G191" t="s">
        <v>32</v>
      </c>
      <c r="H191" t="s">
        <v>1517</v>
      </c>
    </row>
    <row r="192" spans="1:8" x14ac:dyDescent="0.25">
      <c r="A192" t="s">
        <v>680</v>
      </c>
      <c r="B192">
        <v>144</v>
      </c>
      <c r="C192" t="s">
        <v>5</v>
      </c>
      <c r="D192" t="s">
        <v>256</v>
      </c>
      <c r="E192" t="s">
        <v>984</v>
      </c>
      <c r="F192" t="s">
        <v>145</v>
      </c>
      <c r="G192" t="s">
        <v>32</v>
      </c>
      <c r="H192" t="s">
        <v>1518</v>
      </c>
    </row>
    <row r="193" spans="1:8" x14ac:dyDescent="0.25">
      <c r="A193" t="s">
        <v>984</v>
      </c>
      <c r="B193">
        <v>662</v>
      </c>
      <c r="C193" t="s">
        <v>5</v>
      </c>
      <c r="D193" t="s">
        <v>984</v>
      </c>
      <c r="E193" t="s">
        <v>279</v>
      </c>
      <c r="F193" t="s">
        <v>145</v>
      </c>
      <c r="G193" t="s">
        <v>32</v>
      </c>
      <c r="H193" t="s">
        <v>1518</v>
      </c>
    </row>
    <row r="194" spans="1:8" x14ac:dyDescent="0.25">
      <c r="A194" t="s">
        <v>502</v>
      </c>
      <c r="B194">
        <v>145</v>
      </c>
      <c r="C194" t="s">
        <v>5</v>
      </c>
      <c r="D194" t="s">
        <v>294</v>
      </c>
      <c r="E194" t="s">
        <v>295</v>
      </c>
      <c r="F194" t="s">
        <v>1532</v>
      </c>
      <c r="G194" t="s">
        <v>150</v>
      </c>
      <c r="H194" t="s">
        <v>1495</v>
      </c>
    </row>
    <row r="195" spans="1:8" x14ac:dyDescent="0.25">
      <c r="A195" t="s">
        <v>503</v>
      </c>
      <c r="B195">
        <v>146</v>
      </c>
      <c r="C195" t="s">
        <v>5</v>
      </c>
      <c r="D195" t="s">
        <v>296</v>
      </c>
      <c r="E195" t="s">
        <v>297</v>
      </c>
      <c r="F195" t="s">
        <v>1532</v>
      </c>
      <c r="G195" t="s">
        <v>150</v>
      </c>
      <c r="H195" t="s">
        <v>1495</v>
      </c>
    </row>
    <row r="196" spans="1:8" x14ac:dyDescent="0.25">
      <c r="A196" t="s">
        <v>504</v>
      </c>
      <c r="B196">
        <v>147</v>
      </c>
      <c r="C196" t="s">
        <v>5</v>
      </c>
      <c r="D196" t="s">
        <v>299</v>
      </c>
      <c r="E196" t="s">
        <v>300</v>
      </c>
      <c r="F196" t="s">
        <v>1532</v>
      </c>
      <c r="G196" t="s">
        <v>150</v>
      </c>
      <c r="H196" t="s">
        <v>1495</v>
      </c>
    </row>
    <row r="197" spans="1:8" x14ac:dyDescent="0.25">
      <c r="A197" t="s">
        <v>505</v>
      </c>
      <c r="B197">
        <v>148</v>
      </c>
      <c r="C197" t="s">
        <v>5</v>
      </c>
      <c r="D197" t="s">
        <v>303</v>
      </c>
      <c r="E197" t="s">
        <v>304</v>
      </c>
      <c r="F197" t="s">
        <v>1532</v>
      </c>
      <c r="G197" t="s">
        <v>150</v>
      </c>
      <c r="H197" t="s">
        <v>1496</v>
      </c>
    </row>
    <row r="198" spans="1:8" x14ac:dyDescent="0.25">
      <c r="A198" t="s">
        <v>506</v>
      </c>
      <c r="B198">
        <v>149</v>
      </c>
      <c r="C198" t="s">
        <v>5</v>
      </c>
      <c r="D198" t="s">
        <v>304</v>
      </c>
      <c r="E198" t="s">
        <v>305</v>
      </c>
      <c r="F198" t="s">
        <v>1532</v>
      </c>
      <c r="G198" t="s">
        <v>150</v>
      </c>
      <c r="H198" t="s">
        <v>1496</v>
      </c>
    </row>
    <row r="199" spans="1:8" x14ac:dyDescent="0.25">
      <c r="A199" t="s">
        <v>507</v>
      </c>
      <c r="B199">
        <v>150</v>
      </c>
      <c r="C199" t="s">
        <v>5</v>
      </c>
      <c r="D199" t="s">
        <v>305</v>
      </c>
      <c r="E199" t="s">
        <v>306</v>
      </c>
      <c r="F199" t="s">
        <v>1532</v>
      </c>
      <c r="G199" t="s">
        <v>150</v>
      </c>
      <c r="H199" t="s">
        <v>1496</v>
      </c>
    </row>
    <row r="200" spans="1:8" x14ac:dyDescent="0.25">
      <c r="A200" t="s">
        <v>508</v>
      </c>
      <c r="B200">
        <v>151</v>
      </c>
      <c r="C200" t="s">
        <v>5</v>
      </c>
      <c r="D200" t="s">
        <v>310</v>
      </c>
      <c r="E200" t="s">
        <v>311</v>
      </c>
      <c r="F200" t="s">
        <v>1532</v>
      </c>
      <c r="G200" t="s">
        <v>150</v>
      </c>
      <c r="H200" t="s">
        <v>1497</v>
      </c>
    </row>
    <row r="201" spans="1:8" x14ac:dyDescent="0.25">
      <c r="A201" t="s">
        <v>509</v>
      </c>
      <c r="B201">
        <v>152</v>
      </c>
      <c r="C201" t="s">
        <v>5</v>
      </c>
      <c r="D201" t="s">
        <v>312</v>
      </c>
      <c r="E201" t="s">
        <v>313</v>
      </c>
      <c r="F201" t="s">
        <v>1532</v>
      </c>
      <c r="G201" t="s">
        <v>150</v>
      </c>
      <c r="H201" t="s">
        <v>1498</v>
      </c>
    </row>
    <row r="202" spans="1:8" x14ac:dyDescent="0.25">
      <c r="A202" t="s">
        <v>510</v>
      </c>
      <c r="B202">
        <v>153</v>
      </c>
      <c r="C202" t="s">
        <v>5</v>
      </c>
      <c r="D202" t="s">
        <v>313</v>
      </c>
      <c r="E202" t="s">
        <v>314</v>
      </c>
      <c r="F202" t="s">
        <v>1532</v>
      </c>
      <c r="G202" t="s">
        <v>150</v>
      </c>
      <c r="H202" t="s">
        <v>1498</v>
      </c>
    </row>
    <row r="203" spans="1:8" x14ac:dyDescent="0.25">
      <c r="A203" t="s">
        <v>511</v>
      </c>
      <c r="B203">
        <v>154</v>
      </c>
      <c r="C203" t="s">
        <v>5</v>
      </c>
      <c r="D203" t="s">
        <v>314</v>
      </c>
      <c r="E203" t="s">
        <v>315</v>
      </c>
      <c r="F203" t="s">
        <v>1532</v>
      </c>
      <c r="G203" t="s">
        <v>150</v>
      </c>
      <c r="H203" t="s">
        <v>1498</v>
      </c>
    </row>
    <row r="204" spans="1:8" x14ac:dyDescent="0.25">
      <c r="A204" t="s">
        <v>512</v>
      </c>
      <c r="B204">
        <v>155</v>
      </c>
      <c r="C204" t="s">
        <v>5</v>
      </c>
      <c r="D204" t="s">
        <v>295</v>
      </c>
      <c r="E204" t="s">
        <v>299</v>
      </c>
      <c r="F204" t="s">
        <v>1530</v>
      </c>
      <c r="G204" t="s">
        <v>150</v>
      </c>
      <c r="H204" t="s">
        <v>1499</v>
      </c>
    </row>
    <row r="205" spans="1:8" x14ac:dyDescent="0.25">
      <c r="A205" t="s">
        <v>513</v>
      </c>
      <c r="B205">
        <v>156</v>
      </c>
      <c r="C205" t="s">
        <v>5</v>
      </c>
      <c r="D205" t="s">
        <v>299</v>
      </c>
      <c r="E205" t="s">
        <v>304</v>
      </c>
      <c r="F205" t="s">
        <v>1531</v>
      </c>
      <c r="G205" t="s">
        <v>150</v>
      </c>
      <c r="H205" t="s">
        <v>1499</v>
      </c>
    </row>
    <row r="206" spans="1:8" x14ac:dyDescent="0.25">
      <c r="A206" t="s">
        <v>514</v>
      </c>
      <c r="B206">
        <v>157</v>
      </c>
      <c r="C206" t="s">
        <v>5</v>
      </c>
      <c r="D206" t="s">
        <v>296</v>
      </c>
      <c r="E206" t="s">
        <v>300</v>
      </c>
      <c r="F206" t="s">
        <v>1530</v>
      </c>
      <c r="G206" t="s">
        <v>150</v>
      </c>
      <c r="H206" t="s">
        <v>1500</v>
      </c>
    </row>
    <row r="207" spans="1:8" x14ac:dyDescent="0.25">
      <c r="A207" t="s">
        <v>515</v>
      </c>
      <c r="B207">
        <v>158</v>
      </c>
      <c r="C207" t="s">
        <v>5</v>
      </c>
      <c r="D207" t="s">
        <v>300</v>
      </c>
      <c r="E207" t="s">
        <v>305</v>
      </c>
      <c r="F207" t="s">
        <v>1531</v>
      </c>
      <c r="G207" t="s">
        <v>150</v>
      </c>
      <c r="H207" t="s">
        <v>1500</v>
      </c>
    </row>
    <row r="208" spans="1:8" x14ac:dyDescent="0.25">
      <c r="A208" t="s">
        <v>516</v>
      </c>
      <c r="B208">
        <v>159</v>
      </c>
      <c r="C208" t="s">
        <v>5</v>
      </c>
      <c r="D208" t="s">
        <v>307</v>
      </c>
      <c r="E208" t="s">
        <v>310</v>
      </c>
      <c r="F208" t="s">
        <v>1530</v>
      </c>
      <c r="G208" t="s">
        <v>150</v>
      </c>
      <c r="H208" t="s">
        <v>1499</v>
      </c>
    </row>
    <row r="209" spans="1:8" x14ac:dyDescent="0.25">
      <c r="A209" t="s">
        <v>517</v>
      </c>
      <c r="B209">
        <v>160</v>
      </c>
      <c r="C209" t="s">
        <v>5</v>
      </c>
      <c r="D209" t="s">
        <v>310</v>
      </c>
      <c r="E209" t="s">
        <v>313</v>
      </c>
      <c r="F209" t="s">
        <v>1531</v>
      </c>
      <c r="G209" t="s">
        <v>150</v>
      </c>
      <c r="H209" t="s">
        <v>1499</v>
      </c>
    </row>
    <row r="210" spans="1:8" x14ac:dyDescent="0.25">
      <c r="A210" t="s">
        <v>518</v>
      </c>
      <c r="B210">
        <v>161</v>
      </c>
      <c r="C210" t="s">
        <v>5</v>
      </c>
      <c r="D210" t="s">
        <v>308</v>
      </c>
      <c r="E210" t="s">
        <v>311</v>
      </c>
      <c r="F210" t="s">
        <v>1530</v>
      </c>
      <c r="G210" t="s">
        <v>150</v>
      </c>
      <c r="H210" t="s">
        <v>1500</v>
      </c>
    </row>
    <row r="211" spans="1:8" x14ac:dyDescent="0.25">
      <c r="A211" t="s">
        <v>519</v>
      </c>
      <c r="B211">
        <v>162</v>
      </c>
      <c r="C211" t="s">
        <v>5</v>
      </c>
      <c r="D211" t="s">
        <v>311</v>
      </c>
      <c r="E211" t="s">
        <v>314</v>
      </c>
      <c r="F211" t="s">
        <v>1531</v>
      </c>
      <c r="G211" t="s">
        <v>150</v>
      </c>
      <c r="H211" t="s">
        <v>1500</v>
      </c>
    </row>
    <row r="212" spans="1:8" x14ac:dyDescent="0.25">
      <c r="A212" t="s">
        <v>681</v>
      </c>
      <c r="B212">
        <v>163</v>
      </c>
      <c r="C212" t="s">
        <v>5</v>
      </c>
      <c r="D212" t="s">
        <v>271</v>
      </c>
      <c r="E212" t="s">
        <v>958</v>
      </c>
      <c r="F212" t="s">
        <v>146</v>
      </c>
      <c r="G212" t="s">
        <v>32</v>
      </c>
      <c r="H212" t="s">
        <v>1501</v>
      </c>
    </row>
    <row r="213" spans="1:8" x14ac:dyDescent="0.25">
      <c r="A213" t="s">
        <v>958</v>
      </c>
      <c r="B213">
        <v>582</v>
      </c>
      <c r="C213" t="s">
        <v>5</v>
      </c>
      <c r="D213" t="s">
        <v>958</v>
      </c>
      <c r="E213" t="s">
        <v>294</v>
      </c>
      <c r="F213" t="s">
        <v>146</v>
      </c>
      <c r="G213" t="s">
        <v>32</v>
      </c>
      <c r="H213" t="s">
        <v>1501</v>
      </c>
    </row>
    <row r="214" spans="1:8" x14ac:dyDescent="0.25">
      <c r="A214" t="s">
        <v>682</v>
      </c>
      <c r="B214">
        <v>164</v>
      </c>
      <c r="C214" t="s">
        <v>5</v>
      </c>
      <c r="D214" t="s">
        <v>272</v>
      </c>
      <c r="E214" t="s">
        <v>898</v>
      </c>
      <c r="F214" t="s">
        <v>146</v>
      </c>
      <c r="G214" t="s">
        <v>32</v>
      </c>
      <c r="H214" t="s">
        <v>1502</v>
      </c>
    </row>
    <row r="215" spans="1:8" x14ac:dyDescent="0.25">
      <c r="A215" t="s">
        <v>898</v>
      </c>
      <c r="B215">
        <v>402</v>
      </c>
      <c r="C215" t="s">
        <v>5</v>
      </c>
      <c r="D215" t="s">
        <v>898</v>
      </c>
      <c r="E215" t="s">
        <v>295</v>
      </c>
      <c r="F215" t="s">
        <v>146</v>
      </c>
      <c r="G215" t="s">
        <v>32</v>
      </c>
      <c r="H215" t="s">
        <v>1502</v>
      </c>
    </row>
    <row r="216" spans="1:8" x14ac:dyDescent="0.25">
      <c r="A216" t="s">
        <v>683</v>
      </c>
      <c r="B216">
        <v>165</v>
      </c>
      <c r="C216" t="s">
        <v>5</v>
      </c>
      <c r="D216" t="s">
        <v>273</v>
      </c>
      <c r="E216" t="s">
        <v>899</v>
      </c>
      <c r="F216" t="s">
        <v>146</v>
      </c>
      <c r="G216" t="s">
        <v>32</v>
      </c>
      <c r="H216" t="s">
        <v>1503</v>
      </c>
    </row>
    <row r="217" spans="1:8" x14ac:dyDescent="0.25">
      <c r="A217" t="s">
        <v>899</v>
      </c>
      <c r="B217">
        <v>403</v>
      </c>
      <c r="C217" t="s">
        <v>5</v>
      </c>
      <c r="D217" t="s">
        <v>899</v>
      </c>
      <c r="E217" t="s">
        <v>296</v>
      </c>
      <c r="F217" t="s">
        <v>146</v>
      </c>
      <c r="G217" t="s">
        <v>32</v>
      </c>
      <c r="H217" t="s">
        <v>1503</v>
      </c>
    </row>
    <row r="218" spans="1:8" x14ac:dyDescent="0.25">
      <c r="A218" t="s">
        <v>684</v>
      </c>
      <c r="B218">
        <v>166</v>
      </c>
      <c r="C218" t="s">
        <v>5</v>
      </c>
      <c r="D218" t="s">
        <v>274</v>
      </c>
      <c r="E218" t="s">
        <v>988</v>
      </c>
      <c r="F218" t="s">
        <v>146</v>
      </c>
      <c r="G218" t="s">
        <v>32</v>
      </c>
      <c r="H218" t="s">
        <v>1504</v>
      </c>
    </row>
    <row r="219" spans="1:8" x14ac:dyDescent="0.25">
      <c r="A219" t="s">
        <v>988</v>
      </c>
      <c r="B219">
        <v>672</v>
      </c>
      <c r="C219" t="s">
        <v>5</v>
      </c>
      <c r="D219" t="s">
        <v>988</v>
      </c>
      <c r="E219" t="s">
        <v>297</v>
      </c>
      <c r="F219" t="s">
        <v>146</v>
      </c>
      <c r="G219" t="s">
        <v>32</v>
      </c>
      <c r="H219" t="s">
        <v>1504</v>
      </c>
    </row>
    <row r="220" spans="1:8" x14ac:dyDescent="0.25">
      <c r="A220" t="s">
        <v>685</v>
      </c>
      <c r="B220">
        <v>167</v>
      </c>
      <c r="C220" t="s">
        <v>5</v>
      </c>
      <c r="D220" t="s">
        <v>280</v>
      </c>
      <c r="E220" t="s">
        <v>959</v>
      </c>
      <c r="F220" t="s">
        <v>146</v>
      </c>
      <c r="G220" t="s">
        <v>32</v>
      </c>
      <c r="H220" t="s">
        <v>1505</v>
      </c>
    </row>
    <row r="221" spans="1:8" x14ac:dyDescent="0.25">
      <c r="A221" t="s">
        <v>959</v>
      </c>
      <c r="B221">
        <v>583</v>
      </c>
      <c r="C221" t="s">
        <v>5</v>
      </c>
      <c r="D221" t="s">
        <v>959</v>
      </c>
      <c r="E221" t="s">
        <v>303</v>
      </c>
      <c r="F221" t="s">
        <v>146</v>
      </c>
      <c r="G221" t="s">
        <v>32</v>
      </c>
      <c r="H221" t="s">
        <v>1505</v>
      </c>
    </row>
    <row r="222" spans="1:8" x14ac:dyDescent="0.25">
      <c r="A222" t="s">
        <v>686</v>
      </c>
      <c r="B222">
        <v>168</v>
      </c>
      <c r="C222" t="s">
        <v>5</v>
      </c>
      <c r="D222" t="s">
        <v>281</v>
      </c>
      <c r="E222" t="s">
        <v>304</v>
      </c>
      <c r="F222" t="s">
        <v>147</v>
      </c>
      <c r="G222" t="s">
        <v>32</v>
      </c>
      <c r="H222" t="s">
        <v>1506</v>
      </c>
    </row>
    <row r="223" spans="1:8" x14ac:dyDescent="0.25">
      <c r="A223" t="s">
        <v>687</v>
      </c>
      <c r="B223">
        <v>169</v>
      </c>
      <c r="C223" t="s">
        <v>5</v>
      </c>
      <c r="D223" t="s">
        <v>282</v>
      </c>
      <c r="E223" t="s">
        <v>305</v>
      </c>
      <c r="F223" t="s">
        <v>147</v>
      </c>
      <c r="G223" t="s">
        <v>32</v>
      </c>
      <c r="H223" t="s">
        <v>1507</v>
      </c>
    </row>
    <row r="224" spans="1:8" x14ac:dyDescent="0.25">
      <c r="A224" t="s">
        <v>688</v>
      </c>
      <c r="B224">
        <v>170</v>
      </c>
      <c r="C224" t="s">
        <v>5</v>
      </c>
      <c r="D224" t="s">
        <v>283</v>
      </c>
      <c r="E224" t="s">
        <v>989</v>
      </c>
      <c r="F224" t="s">
        <v>146</v>
      </c>
      <c r="G224" t="s">
        <v>32</v>
      </c>
      <c r="H224" t="s">
        <v>1508</v>
      </c>
    </row>
    <row r="225" spans="1:8" x14ac:dyDescent="0.25">
      <c r="A225" t="s">
        <v>989</v>
      </c>
      <c r="B225">
        <v>673</v>
      </c>
      <c r="C225" t="s">
        <v>5</v>
      </c>
      <c r="D225" t="s">
        <v>989</v>
      </c>
      <c r="E225" t="s">
        <v>306</v>
      </c>
      <c r="F225" t="s">
        <v>146</v>
      </c>
      <c r="G225" t="s">
        <v>32</v>
      </c>
      <c r="H225" t="s">
        <v>1508</v>
      </c>
    </row>
    <row r="226" spans="1:8" x14ac:dyDescent="0.25">
      <c r="A226" t="s">
        <v>689</v>
      </c>
      <c r="B226">
        <v>171</v>
      </c>
      <c r="C226" t="s">
        <v>5</v>
      </c>
      <c r="D226" t="s">
        <v>284</v>
      </c>
      <c r="E226" t="s">
        <v>928</v>
      </c>
      <c r="F226" t="s">
        <v>146</v>
      </c>
      <c r="G226" t="s">
        <v>32</v>
      </c>
      <c r="H226" t="s">
        <v>1509</v>
      </c>
    </row>
    <row r="227" spans="1:8" x14ac:dyDescent="0.25">
      <c r="A227" t="s">
        <v>928</v>
      </c>
      <c r="B227">
        <v>492</v>
      </c>
      <c r="C227" t="s">
        <v>5</v>
      </c>
      <c r="D227" t="s">
        <v>928</v>
      </c>
      <c r="E227" t="s">
        <v>307</v>
      </c>
      <c r="F227" t="s">
        <v>146</v>
      </c>
      <c r="G227" t="s">
        <v>32</v>
      </c>
      <c r="H227" t="s">
        <v>1509</v>
      </c>
    </row>
    <row r="228" spans="1:8" x14ac:dyDescent="0.25">
      <c r="A228" t="s">
        <v>690</v>
      </c>
      <c r="B228">
        <v>172</v>
      </c>
      <c r="C228" t="s">
        <v>5</v>
      </c>
      <c r="D228" t="s">
        <v>285</v>
      </c>
      <c r="E228" t="s">
        <v>929</v>
      </c>
      <c r="F228" t="s">
        <v>146</v>
      </c>
      <c r="G228" t="s">
        <v>32</v>
      </c>
      <c r="H228" t="s">
        <v>1510</v>
      </c>
    </row>
    <row r="229" spans="1:8" x14ac:dyDescent="0.25">
      <c r="A229" t="s">
        <v>929</v>
      </c>
      <c r="B229">
        <v>493</v>
      </c>
      <c r="C229" t="s">
        <v>5</v>
      </c>
      <c r="D229" t="s">
        <v>929</v>
      </c>
      <c r="E229" t="s">
        <v>308</v>
      </c>
      <c r="F229" t="s">
        <v>146</v>
      </c>
      <c r="G229" t="s">
        <v>32</v>
      </c>
      <c r="H229" t="s">
        <v>1510</v>
      </c>
    </row>
    <row r="230" spans="1:8" x14ac:dyDescent="0.25">
      <c r="A230" t="s">
        <v>691</v>
      </c>
      <c r="B230">
        <v>173</v>
      </c>
      <c r="C230" t="s">
        <v>5</v>
      </c>
      <c r="D230" t="s">
        <v>289</v>
      </c>
      <c r="E230" t="s">
        <v>312</v>
      </c>
      <c r="F230" t="s">
        <v>147</v>
      </c>
      <c r="G230" t="s">
        <v>32</v>
      </c>
      <c r="H230" t="s">
        <v>1511</v>
      </c>
    </row>
    <row r="231" spans="1:8" x14ac:dyDescent="0.25">
      <c r="A231" t="s">
        <v>692</v>
      </c>
      <c r="B231">
        <v>174</v>
      </c>
      <c r="C231" t="s">
        <v>5</v>
      </c>
      <c r="D231" t="s">
        <v>290</v>
      </c>
      <c r="E231" t="s">
        <v>313</v>
      </c>
      <c r="F231" t="s">
        <v>147</v>
      </c>
      <c r="G231" t="s">
        <v>32</v>
      </c>
      <c r="H231" t="s">
        <v>1512</v>
      </c>
    </row>
    <row r="232" spans="1:8" x14ac:dyDescent="0.25">
      <c r="A232" t="s">
        <v>693</v>
      </c>
      <c r="B232">
        <v>175</v>
      </c>
      <c r="C232" t="s">
        <v>5</v>
      </c>
      <c r="D232" t="s">
        <v>291</v>
      </c>
      <c r="E232" t="s">
        <v>314</v>
      </c>
      <c r="F232" t="s">
        <v>147</v>
      </c>
      <c r="G232" t="s">
        <v>32</v>
      </c>
      <c r="H232" t="s">
        <v>1513</v>
      </c>
    </row>
    <row r="233" spans="1:8" x14ac:dyDescent="0.25">
      <c r="A233" t="s">
        <v>694</v>
      </c>
      <c r="B233">
        <v>176</v>
      </c>
      <c r="C233" t="s">
        <v>5</v>
      </c>
      <c r="D233" t="s">
        <v>292</v>
      </c>
      <c r="E233" t="s">
        <v>315</v>
      </c>
      <c r="F233" t="s">
        <v>147</v>
      </c>
      <c r="G233" t="s">
        <v>32</v>
      </c>
      <c r="H233" t="s">
        <v>1514</v>
      </c>
    </row>
    <row r="234" spans="1:8" x14ac:dyDescent="0.25">
      <c r="A234" t="s">
        <v>695</v>
      </c>
      <c r="B234">
        <v>177</v>
      </c>
      <c r="C234" t="s">
        <v>5</v>
      </c>
      <c r="D234" t="s">
        <v>275</v>
      </c>
      <c r="E234" t="s">
        <v>897</v>
      </c>
      <c r="F234" t="s">
        <v>144</v>
      </c>
      <c r="G234" t="s">
        <v>31</v>
      </c>
      <c r="H234" t="s">
        <v>1515</v>
      </c>
    </row>
    <row r="235" spans="1:8" x14ac:dyDescent="0.25">
      <c r="A235" t="s">
        <v>897</v>
      </c>
      <c r="B235">
        <v>401</v>
      </c>
      <c r="C235" t="s">
        <v>5</v>
      </c>
      <c r="D235" t="s">
        <v>897</v>
      </c>
      <c r="E235" t="s">
        <v>298</v>
      </c>
      <c r="F235" t="s">
        <v>144</v>
      </c>
      <c r="G235" t="s">
        <v>31</v>
      </c>
      <c r="H235" t="s">
        <v>1515</v>
      </c>
    </row>
    <row r="236" spans="1:8" x14ac:dyDescent="0.25">
      <c r="A236" t="s">
        <v>696</v>
      </c>
      <c r="B236">
        <v>178</v>
      </c>
      <c r="C236" t="s">
        <v>5</v>
      </c>
      <c r="D236" t="s">
        <v>286</v>
      </c>
      <c r="E236" t="s">
        <v>927</v>
      </c>
      <c r="F236" t="s">
        <v>144</v>
      </c>
      <c r="G236" t="s">
        <v>31</v>
      </c>
      <c r="H236" t="s">
        <v>1516</v>
      </c>
    </row>
    <row r="237" spans="1:8" x14ac:dyDescent="0.25">
      <c r="A237" t="s">
        <v>927</v>
      </c>
      <c r="B237">
        <v>491</v>
      </c>
      <c r="C237" t="s">
        <v>5</v>
      </c>
      <c r="D237" t="s">
        <v>927</v>
      </c>
      <c r="E237" t="s">
        <v>309</v>
      </c>
      <c r="F237" t="s">
        <v>144</v>
      </c>
      <c r="G237" t="s">
        <v>31</v>
      </c>
      <c r="H237" t="s">
        <v>1516</v>
      </c>
    </row>
    <row r="238" spans="1:8" x14ac:dyDescent="0.25">
      <c r="A238" t="s">
        <v>697</v>
      </c>
      <c r="B238">
        <v>179</v>
      </c>
      <c r="C238" t="s">
        <v>5</v>
      </c>
      <c r="D238" t="s">
        <v>278</v>
      </c>
      <c r="E238" t="s">
        <v>957</v>
      </c>
      <c r="F238" t="s">
        <v>145</v>
      </c>
      <c r="G238" t="s">
        <v>32</v>
      </c>
      <c r="H238" t="s">
        <v>1517</v>
      </c>
    </row>
    <row r="239" spans="1:8" x14ac:dyDescent="0.25">
      <c r="A239" t="s">
        <v>957</v>
      </c>
      <c r="B239">
        <v>581</v>
      </c>
      <c r="C239" t="s">
        <v>5</v>
      </c>
      <c r="D239" t="s">
        <v>957</v>
      </c>
      <c r="E239" t="s">
        <v>301</v>
      </c>
      <c r="F239" t="s">
        <v>145</v>
      </c>
      <c r="G239" t="s">
        <v>32</v>
      </c>
      <c r="H239" t="s">
        <v>1517</v>
      </c>
    </row>
    <row r="240" spans="1:8" x14ac:dyDescent="0.25">
      <c r="A240" t="s">
        <v>698</v>
      </c>
      <c r="B240">
        <v>180</v>
      </c>
      <c r="C240" t="s">
        <v>5</v>
      </c>
      <c r="D240" t="s">
        <v>279</v>
      </c>
      <c r="E240" t="s">
        <v>987</v>
      </c>
      <c r="F240" t="s">
        <v>145</v>
      </c>
      <c r="G240" t="s">
        <v>32</v>
      </c>
      <c r="H240" t="s">
        <v>1518</v>
      </c>
    </row>
    <row r="241" spans="1:8" x14ac:dyDescent="0.25">
      <c r="A241" t="s">
        <v>987</v>
      </c>
      <c r="B241">
        <v>671</v>
      </c>
      <c r="C241" t="s">
        <v>5</v>
      </c>
      <c r="D241" t="s">
        <v>987</v>
      </c>
      <c r="E241" t="s">
        <v>302</v>
      </c>
      <c r="F241" t="s">
        <v>145</v>
      </c>
      <c r="G241" t="s">
        <v>32</v>
      </c>
      <c r="H241" t="s">
        <v>1518</v>
      </c>
    </row>
    <row r="242" spans="1:8" x14ac:dyDescent="0.25">
      <c r="A242" t="s">
        <v>520</v>
      </c>
      <c r="B242">
        <v>181</v>
      </c>
      <c r="C242" t="s">
        <v>5</v>
      </c>
      <c r="D242" t="s">
        <v>317</v>
      </c>
      <c r="E242" t="s">
        <v>318</v>
      </c>
      <c r="F242" t="s">
        <v>1532</v>
      </c>
      <c r="G242" t="s">
        <v>150</v>
      </c>
      <c r="H242" t="s">
        <v>1495</v>
      </c>
    </row>
    <row r="243" spans="1:8" x14ac:dyDescent="0.25">
      <c r="A243" t="s">
        <v>521</v>
      </c>
      <c r="B243">
        <v>182</v>
      </c>
      <c r="C243" t="s">
        <v>5</v>
      </c>
      <c r="D243" t="s">
        <v>319</v>
      </c>
      <c r="E243" t="s">
        <v>320</v>
      </c>
      <c r="F243" t="s">
        <v>1532</v>
      </c>
      <c r="G243" t="s">
        <v>150</v>
      </c>
      <c r="H243" t="s">
        <v>1495</v>
      </c>
    </row>
    <row r="244" spans="1:8" x14ac:dyDescent="0.25">
      <c r="A244" t="s">
        <v>522</v>
      </c>
      <c r="B244">
        <v>183</v>
      </c>
      <c r="C244" t="s">
        <v>5</v>
      </c>
      <c r="D244" t="s">
        <v>322</v>
      </c>
      <c r="E244" t="s">
        <v>323</v>
      </c>
      <c r="F244" t="s">
        <v>1532</v>
      </c>
      <c r="G244" t="s">
        <v>150</v>
      </c>
      <c r="H244" t="s">
        <v>1495</v>
      </c>
    </row>
    <row r="245" spans="1:8" x14ac:dyDescent="0.25">
      <c r="A245" t="s">
        <v>523</v>
      </c>
      <c r="B245">
        <v>184</v>
      </c>
      <c r="C245" t="s">
        <v>5</v>
      </c>
      <c r="D245" t="s">
        <v>326</v>
      </c>
      <c r="E245" t="s">
        <v>327</v>
      </c>
      <c r="F245" t="s">
        <v>1532</v>
      </c>
      <c r="G245" t="s">
        <v>150</v>
      </c>
      <c r="H245" t="s">
        <v>1496</v>
      </c>
    </row>
    <row r="246" spans="1:8" x14ac:dyDescent="0.25">
      <c r="A246" t="s">
        <v>524</v>
      </c>
      <c r="B246">
        <v>185</v>
      </c>
      <c r="C246" t="s">
        <v>5</v>
      </c>
      <c r="D246" t="s">
        <v>327</v>
      </c>
      <c r="E246" t="s">
        <v>328</v>
      </c>
      <c r="F246" t="s">
        <v>1532</v>
      </c>
      <c r="G246" t="s">
        <v>150</v>
      </c>
      <c r="H246" t="s">
        <v>1496</v>
      </c>
    </row>
    <row r="247" spans="1:8" x14ac:dyDescent="0.25">
      <c r="A247" t="s">
        <v>525</v>
      </c>
      <c r="B247">
        <v>186</v>
      </c>
      <c r="C247" t="s">
        <v>5</v>
      </c>
      <c r="D247" t="s">
        <v>328</v>
      </c>
      <c r="E247" t="s">
        <v>329</v>
      </c>
      <c r="F247" t="s">
        <v>1532</v>
      </c>
      <c r="G247" t="s">
        <v>150</v>
      </c>
      <c r="H247" t="s">
        <v>1496</v>
      </c>
    </row>
    <row r="248" spans="1:8" x14ac:dyDescent="0.25">
      <c r="A248" t="s">
        <v>526</v>
      </c>
      <c r="B248">
        <v>187</v>
      </c>
      <c r="C248" t="s">
        <v>5</v>
      </c>
      <c r="D248" t="s">
        <v>333</v>
      </c>
      <c r="E248" t="s">
        <v>334</v>
      </c>
      <c r="F248" t="s">
        <v>1532</v>
      </c>
      <c r="G248" t="s">
        <v>150</v>
      </c>
      <c r="H248" t="s">
        <v>1497</v>
      </c>
    </row>
    <row r="249" spans="1:8" x14ac:dyDescent="0.25">
      <c r="A249" t="s">
        <v>527</v>
      </c>
      <c r="B249">
        <v>188</v>
      </c>
      <c r="C249" t="s">
        <v>5</v>
      </c>
      <c r="D249" t="s">
        <v>335</v>
      </c>
      <c r="E249" t="s">
        <v>336</v>
      </c>
      <c r="F249" t="s">
        <v>1532</v>
      </c>
      <c r="G249" t="s">
        <v>150</v>
      </c>
      <c r="H249" t="s">
        <v>1498</v>
      </c>
    </row>
    <row r="250" spans="1:8" x14ac:dyDescent="0.25">
      <c r="A250" t="s">
        <v>528</v>
      </c>
      <c r="B250">
        <v>189</v>
      </c>
      <c r="C250" t="s">
        <v>5</v>
      </c>
      <c r="D250" t="s">
        <v>336</v>
      </c>
      <c r="E250" t="s">
        <v>337</v>
      </c>
      <c r="F250" t="s">
        <v>1532</v>
      </c>
      <c r="G250" t="s">
        <v>150</v>
      </c>
      <c r="H250" t="s">
        <v>1498</v>
      </c>
    </row>
    <row r="251" spans="1:8" x14ac:dyDescent="0.25">
      <c r="A251" t="s">
        <v>529</v>
      </c>
      <c r="B251">
        <v>190</v>
      </c>
      <c r="C251" t="s">
        <v>5</v>
      </c>
      <c r="D251" t="s">
        <v>337</v>
      </c>
      <c r="E251" t="s">
        <v>338</v>
      </c>
      <c r="F251" t="s">
        <v>1532</v>
      </c>
      <c r="G251" t="s">
        <v>150</v>
      </c>
      <c r="H251" t="s">
        <v>1498</v>
      </c>
    </row>
    <row r="252" spans="1:8" x14ac:dyDescent="0.25">
      <c r="A252" t="s">
        <v>530</v>
      </c>
      <c r="B252">
        <v>191</v>
      </c>
      <c r="C252" t="s">
        <v>5</v>
      </c>
      <c r="D252" t="s">
        <v>318</v>
      </c>
      <c r="E252" t="s">
        <v>322</v>
      </c>
      <c r="F252" t="s">
        <v>1530</v>
      </c>
      <c r="G252" t="s">
        <v>150</v>
      </c>
      <c r="H252" t="s">
        <v>1499</v>
      </c>
    </row>
    <row r="253" spans="1:8" x14ac:dyDescent="0.25">
      <c r="A253" t="s">
        <v>531</v>
      </c>
      <c r="B253">
        <v>192</v>
      </c>
      <c r="C253" t="s">
        <v>5</v>
      </c>
      <c r="D253" t="s">
        <v>322</v>
      </c>
      <c r="E253" t="s">
        <v>327</v>
      </c>
      <c r="F253" t="s">
        <v>1531</v>
      </c>
      <c r="G253" t="s">
        <v>150</v>
      </c>
      <c r="H253" t="s">
        <v>1499</v>
      </c>
    </row>
    <row r="254" spans="1:8" x14ac:dyDescent="0.25">
      <c r="A254" t="s">
        <v>532</v>
      </c>
      <c r="B254">
        <v>193</v>
      </c>
      <c r="C254" t="s">
        <v>5</v>
      </c>
      <c r="D254" t="s">
        <v>319</v>
      </c>
      <c r="E254" t="s">
        <v>323</v>
      </c>
      <c r="F254" t="s">
        <v>1530</v>
      </c>
      <c r="G254" t="s">
        <v>150</v>
      </c>
      <c r="H254" t="s">
        <v>1500</v>
      </c>
    </row>
    <row r="255" spans="1:8" x14ac:dyDescent="0.25">
      <c r="A255" t="s">
        <v>533</v>
      </c>
      <c r="B255">
        <v>194</v>
      </c>
      <c r="C255" t="s">
        <v>5</v>
      </c>
      <c r="D255" t="s">
        <v>323</v>
      </c>
      <c r="E255" t="s">
        <v>328</v>
      </c>
      <c r="F255" t="s">
        <v>1531</v>
      </c>
      <c r="G255" t="s">
        <v>150</v>
      </c>
      <c r="H255" t="s">
        <v>1500</v>
      </c>
    </row>
    <row r="256" spans="1:8" x14ac:dyDescent="0.25">
      <c r="A256" t="s">
        <v>534</v>
      </c>
      <c r="B256">
        <v>195</v>
      </c>
      <c r="C256" t="s">
        <v>5</v>
      </c>
      <c r="D256" t="s">
        <v>330</v>
      </c>
      <c r="E256" t="s">
        <v>333</v>
      </c>
      <c r="F256" t="s">
        <v>1530</v>
      </c>
      <c r="G256" t="s">
        <v>150</v>
      </c>
      <c r="H256" t="s">
        <v>1499</v>
      </c>
    </row>
    <row r="257" spans="1:8" x14ac:dyDescent="0.25">
      <c r="A257" t="s">
        <v>535</v>
      </c>
      <c r="B257">
        <v>196</v>
      </c>
      <c r="C257" t="s">
        <v>5</v>
      </c>
      <c r="D257" t="s">
        <v>333</v>
      </c>
      <c r="E257" t="s">
        <v>336</v>
      </c>
      <c r="F257" t="s">
        <v>1531</v>
      </c>
      <c r="G257" t="s">
        <v>150</v>
      </c>
      <c r="H257" t="s">
        <v>1499</v>
      </c>
    </row>
    <row r="258" spans="1:8" x14ac:dyDescent="0.25">
      <c r="A258" t="s">
        <v>536</v>
      </c>
      <c r="B258">
        <v>197</v>
      </c>
      <c r="C258" t="s">
        <v>5</v>
      </c>
      <c r="D258" t="s">
        <v>331</v>
      </c>
      <c r="E258" t="s">
        <v>334</v>
      </c>
      <c r="F258" t="s">
        <v>1530</v>
      </c>
      <c r="G258" t="s">
        <v>150</v>
      </c>
      <c r="H258" t="s">
        <v>1500</v>
      </c>
    </row>
    <row r="259" spans="1:8" x14ac:dyDescent="0.25">
      <c r="A259" t="s">
        <v>537</v>
      </c>
      <c r="B259">
        <v>198</v>
      </c>
      <c r="C259" t="s">
        <v>5</v>
      </c>
      <c r="D259" t="s">
        <v>334</v>
      </c>
      <c r="E259" t="s">
        <v>337</v>
      </c>
      <c r="F259" t="s">
        <v>1531</v>
      </c>
      <c r="G259" t="s">
        <v>150</v>
      </c>
      <c r="H259" t="s">
        <v>1500</v>
      </c>
    </row>
    <row r="260" spans="1:8" x14ac:dyDescent="0.25">
      <c r="A260" t="s">
        <v>699</v>
      </c>
      <c r="B260">
        <v>199</v>
      </c>
      <c r="C260" t="s">
        <v>5</v>
      </c>
      <c r="D260" t="s">
        <v>294</v>
      </c>
      <c r="E260" t="s">
        <v>961</v>
      </c>
      <c r="F260" t="s">
        <v>146</v>
      </c>
      <c r="G260" t="s">
        <v>32</v>
      </c>
      <c r="H260" t="s">
        <v>1501</v>
      </c>
    </row>
    <row r="261" spans="1:8" x14ac:dyDescent="0.25">
      <c r="A261" t="s">
        <v>961</v>
      </c>
      <c r="B261">
        <v>591</v>
      </c>
      <c r="C261" t="s">
        <v>5</v>
      </c>
      <c r="D261" t="s">
        <v>961</v>
      </c>
      <c r="E261" t="s">
        <v>317</v>
      </c>
      <c r="F261" t="s">
        <v>146</v>
      </c>
      <c r="G261" t="s">
        <v>32</v>
      </c>
      <c r="H261" t="s">
        <v>1501</v>
      </c>
    </row>
    <row r="262" spans="1:8" x14ac:dyDescent="0.25">
      <c r="A262" t="s">
        <v>700</v>
      </c>
      <c r="B262">
        <v>200</v>
      </c>
      <c r="C262" t="s">
        <v>5</v>
      </c>
      <c r="D262" t="s">
        <v>295</v>
      </c>
      <c r="E262" t="s">
        <v>901</v>
      </c>
      <c r="F262" t="s">
        <v>146</v>
      </c>
      <c r="G262" t="s">
        <v>32</v>
      </c>
      <c r="H262" t="s">
        <v>1502</v>
      </c>
    </row>
    <row r="263" spans="1:8" x14ac:dyDescent="0.25">
      <c r="A263" t="s">
        <v>901</v>
      </c>
      <c r="B263">
        <v>411</v>
      </c>
      <c r="C263" t="s">
        <v>5</v>
      </c>
      <c r="D263" t="s">
        <v>901</v>
      </c>
      <c r="E263" t="s">
        <v>318</v>
      </c>
      <c r="F263" t="s">
        <v>146</v>
      </c>
      <c r="G263" t="s">
        <v>32</v>
      </c>
      <c r="H263" t="s">
        <v>1502</v>
      </c>
    </row>
    <row r="264" spans="1:8" x14ac:dyDescent="0.25">
      <c r="A264" t="s">
        <v>701</v>
      </c>
      <c r="B264">
        <v>201</v>
      </c>
      <c r="C264" t="s">
        <v>5</v>
      </c>
      <c r="D264" t="s">
        <v>296</v>
      </c>
      <c r="E264" t="s">
        <v>902</v>
      </c>
      <c r="F264" t="s">
        <v>146</v>
      </c>
      <c r="G264" t="s">
        <v>32</v>
      </c>
      <c r="H264" t="s">
        <v>1503</v>
      </c>
    </row>
    <row r="265" spans="1:8" x14ac:dyDescent="0.25">
      <c r="A265" t="s">
        <v>902</v>
      </c>
      <c r="B265">
        <v>412</v>
      </c>
      <c r="C265" t="s">
        <v>5</v>
      </c>
      <c r="D265" t="s">
        <v>902</v>
      </c>
      <c r="E265" t="s">
        <v>319</v>
      </c>
      <c r="F265" t="s">
        <v>146</v>
      </c>
      <c r="G265" t="s">
        <v>32</v>
      </c>
      <c r="H265" t="s">
        <v>1503</v>
      </c>
    </row>
    <row r="266" spans="1:8" x14ac:dyDescent="0.25">
      <c r="A266" t="s">
        <v>702</v>
      </c>
      <c r="B266">
        <v>202</v>
      </c>
      <c r="C266" t="s">
        <v>5</v>
      </c>
      <c r="D266" t="s">
        <v>297</v>
      </c>
      <c r="E266" t="s">
        <v>991</v>
      </c>
      <c r="F266" t="s">
        <v>146</v>
      </c>
      <c r="G266" t="s">
        <v>32</v>
      </c>
      <c r="H266" t="s">
        <v>1504</v>
      </c>
    </row>
    <row r="267" spans="1:8" x14ac:dyDescent="0.25">
      <c r="A267" t="s">
        <v>991</v>
      </c>
      <c r="B267">
        <v>681</v>
      </c>
      <c r="C267" t="s">
        <v>5</v>
      </c>
      <c r="D267" t="s">
        <v>991</v>
      </c>
      <c r="E267" t="s">
        <v>320</v>
      </c>
      <c r="F267" t="s">
        <v>146</v>
      </c>
      <c r="G267" t="s">
        <v>32</v>
      </c>
      <c r="H267" t="s">
        <v>1504</v>
      </c>
    </row>
    <row r="268" spans="1:8" x14ac:dyDescent="0.25">
      <c r="A268" t="s">
        <v>703</v>
      </c>
      <c r="B268">
        <v>203</v>
      </c>
      <c r="C268" t="s">
        <v>5</v>
      </c>
      <c r="D268" t="s">
        <v>303</v>
      </c>
      <c r="E268" t="s">
        <v>962</v>
      </c>
      <c r="F268" t="s">
        <v>146</v>
      </c>
      <c r="G268" t="s">
        <v>32</v>
      </c>
      <c r="H268" t="s">
        <v>1505</v>
      </c>
    </row>
    <row r="269" spans="1:8" x14ac:dyDescent="0.25">
      <c r="A269" t="s">
        <v>962</v>
      </c>
      <c r="B269">
        <v>592</v>
      </c>
      <c r="C269" t="s">
        <v>5</v>
      </c>
      <c r="D269" t="s">
        <v>962</v>
      </c>
      <c r="E269" t="s">
        <v>326</v>
      </c>
      <c r="F269" t="s">
        <v>146</v>
      </c>
      <c r="G269" t="s">
        <v>32</v>
      </c>
      <c r="H269" t="s">
        <v>1505</v>
      </c>
    </row>
    <row r="270" spans="1:8" x14ac:dyDescent="0.25">
      <c r="A270" t="s">
        <v>704</v>
      </c>
      <c r="B270">
        <v>204</v>
      </c>
      <c r="C270" t="s">
        <v>5</v>
      </c>
      <c r="D270" t="s">
        <v>304</v>
      </c>
      <c r="E270" t="s">
        <v>327</v>
      </c>
      <c r="F270" t="s">
        <v>147</v>
      </c>
      <c r="G270" t="s">
        <v>32</v>
      </c>
      <c r="H270" t="s">
        <v>1506</v>
      </c>
    </row>
    <row r="271" spans="1:8" x14ac:dyDescent="0.25">
      <c r="A271" t="s">
        <v>705</v>
      </c>
      <c r="B271">
        <v>205</v>
      </c>
      <c r="C271" t="s">
        <v>5</v>
      </c>
      <c r="D271" t="s">
        <v>305</v>
      </c>
      <c r="E271" t="s">
        <v>328</v>
      </c>
      <c r="F271" t="s">
        <v>147</v>
      </c>
      <c r="G271" t="s">
        <v>32</v>
      </c>
      <c r="H271" t="s">
        <v>1507</v>
      </c>
    </row>
    <row r="272" spans="1:8" x14ac:dyDescent="0.25">
      <c r="A272" t="s">
        <v>706</v>
      </c>
      <c r="B272">
        <v>206</v>
      </c>
      <c r="C272" t="s">
        <v>5</v>
      </c>
      <c r="D272" t="s">
        <v>306</v>
      </c>
      <c r="E272" t="s">
        <v>992</v>
      </c>
      <c r="F272" t="s">
        <v>146</v>
      </c>
      <c r="G272" t="s">
        <v>32</v>
      </c>
      <c r="H272" t="s">
        <v>1508</v>
      </c>
    </row>
    <row r="273" spans="1:8" x14ac:dyDescent="0.25">
      <c r="A273" t="s">
        <v>992</v>
      </c>
      <c r="B273">
        <v>682</v>
      </c>
      <c r="C273" t="s">
        <v>5</v>
      </c>
      <c r="D273" t="s">
        <v>992</v>
      </c>
      <c r="E273" t="s">
        <v>329</v>
      </c>
      <c r="F273" t="s">
        <v>146</v>
      </c>
      <c r="G273" t="s">
        <v>32</v>
      </c>
      <c r="H273" t="s">
        <v>1508</v>
      </c>
    </row>
    <row r="274" spans="1:8" x14ac:dyDescent="0.25">
      <c r="A274" t="s">
        <v>707</v>
      </c>
      <c r="B274">
        <v>207</v>
      </c>
      <c r="C274" t="s">
        <v>5</v>
      </c>
      <c r="D274" t="s">
        <v>307</v>
      </c>
      <c r="E274" t="s">
        <v>931</v>
      </c>
      <c r="F274" t="s">
        <v>146</v>
      </c>
      <c r="G274" t="s">
        <v>32</v>
      </c>
      <c r="H274" t="s">
        <v>1509</v>
      </c>
    </row>
    <row r="275" spans="1:8" x14ac:dyDescent="0.25">
      <c r="A275" t="s">
        <v>931</v>
      </c>
      <c r="B275">
        <v>501</v>
      </c>
      <c r="C275" t="s">
        <v>5</v>
      </c>
      <c r="D275" t="s">
        <v>931</v>
      </c>
      <c r="E275" t="s">
        <v>330</v>
      </c>
      <c r="F275" t="s">
        <v>146</v>
      </c>
      <c r="G275" t="s">
        <v>32</v>
      </c>
      <c r="H275" t="s">
        <v>1509</v>
      </c>
    </row>
    <row r="276" spans="1:8" x14ac:dyDescent="0.25">
      <c r="A276" t="s">
        <v>708</v>
      </c>
      <c r="B276">
        <v>208</v>
      </c>
      <c r="C276" t="s">
        <v>5</v>
      </c>
      <c r="D276" t="s">
        <v>308</v>
      </c>
      <c r="E276" t="s">
        <v>932</v>
      </c>
      <c r="F276" t="s">
        <v>146</v>
      </c>
      <c r="G276" t="s">
        <v>32</v>
      </c>
      <c r="H276" t="s">
        <v>1510</v>
      </c>
    </row>
    <row r="277" spans="1:8" x14ac:dyDescent="0.25">
      <c r="A277" t="s">
        <v>932</v>
      </c>
      <c r="B277">
        <v>502</v>
      </c>
      <c r="C277" t="s">
        <v>5</v>
      </c>
      <c r="D277" t="s">
        <v>932</v>
      </c>
      <c r="E277" t="s">
        <v>331</v>
      </c>
      <c r="F277" t="s">
        <v>146</v>
      </c>
      <c r="G277" t="s">
        <v>32</v>
      </c>
      <c r="H277" t="s">
        <v>1510</v>
      </c>
    </row>
    <row r="278" spans="1:8" x14ac:dyDescent="0.25">
      <c r="A278" t="s">
        <v>709</v>
      </c>
      <c r="B278">
        <v>209</v>
      </c>
      <c r="C278" t="s">
        <v>5</v>
      </c>
      <c r="D278" t="s">
        <v>312</v>
      </c>
      <c r="E278" t="s">
        <v>335</v>
      </c>
      <c r="F278" t="s">
        <v>147</v>
      </c>
      <c r="G278" t="s">
        <v>32</v>
      </c>
      <c r="H278" t="s">
        <v>1511</v>
      </c>
    </row>
    <row r="279" spans="1:8" x14ac:dyDescent="0.25">
      <c r="A279" t="s">
        <v>710</v>
      </c>
      <c r="B279">
        <v>210</v>
      </c>
      <c r="C279" t="s">
        <v>5</v>
      </c>
      <c r="D279" t="s">
        <v>313</v>
      </c>
      <c r="E279" t="s">
        <v>336</v>
      </c>
      <c r="F279" t="s">
        <v>147</v>
      </c>
      <c r="G279" t="s">
        <v>32</v>
      </c>
      <c r="H279" t="s">
        <v>1512</v>
      </c>
    </row>
    <row r="280" spans="1:8" x14ac:dyDescent="0.25">
      <c r="A280" t="s">
        <v>711</v>
      </c>
      <c r="B280">
        <v>211</v>
      </c>
      <c r="C280" t="s">
        <v>5</v>
      </c>
      <c r="D280" t="s">
        <v>314</v>
      </c>
      <c r="E280" t="s">
        <v>337</v>
      </c>
      <c r="F280" t="s">
        <v>147</v>
      </c>
      <c r="G280" t="s">
        <v>32</v>
      </c>
      <c r="H280" t="s">
        <v>1513</v>
      </c>
    </row>
    <row r="281" spans="1:8" x14ac:dyDescent="0.25">
      <c r="A281" t="s">
        <v>712</v>
      </c>
      <c r="B281">
        <v>212</v>
      </c>
      <c r="C281" t="s">
        <v>5</v>
      </c>
      <c r="D281" t="s">
        <v>315</v>
      </c>
      <c r="E281" t="s">
        <v>338</v>
      </c>
      <c r="F281" t="s">
        <v>147</v>
      </c>
      <c r="G281" t="s">
        <v>32</v>
      </c>
      <c r="H281" t="s">
        <v>1514</v>
      </c>
    </row>
    <row r="282" spans="1:8" x14ac:dyDescent="0.25">
      <c r="A282" t="s">
        <v>713</v>
      </c>
      <c r="B282">
        <v>213</v>
      </c>
      <c r="C282" t="s">
        <v>5</v>
      </c>
      <c r="D282" t="s">
        <v>298</v>
      </c>
      <c r="E282" t="s">
        <v>900</v>
      </c>
      <c r="F282" t="s">
        <v>144</v>
      </c>
      <c r="G282" t="s">
        <v>31</v>
      </c>
      <c r="H282" t="s">
        <v>1515</v>
      </c>
    </row>
    <row r="283" spans="1:8" x14ac:dyDescent="0.25">
      <c r="A283" t="s">
        <v>900</v>
      </c>
      <c r="B283">
        <v>410</v>
      </c>
      <c r="C283" t="s">
        <v>5</v>
      </c>
      <c r="D283" t="s">
        <v>900</v>
      </c>
      <c r="E283" t="s">
        <v>321</v>
      </c>
      <c r="F283" t="s">
        <v>144</v>
      </c>
      <c r="G283" t="s">
        <v>31</v>
      </c>
      <c r="H283" t="s">
        <v>1515</v>
      </c>
    </row>
    <row r="284" spans="1:8" x14ac:dyDescent="0.25">
      <c r="A284" t="s">
        <v>714</v>
      </c>
      <c r="B284">
        <v>214</v>
      </c>
      <c r="C284" t="s">
        <v>5</v>
      </c>
      <c r="D284" t="s">
        <v>309</v>
      </c>
      <c r="E284" t="s">
        <v>930</v>
      </c>
      <c r="F284" t="s">
        <v>144</v>
      </c>
      <c r="G284" t="s">
        <v>31</v>
      </c>
      <c r="H284" t="s">
        <v>1516</v>
      </c>
    </row>
    <row r="285" spans="1:8" x14ac:dyDescent="0.25">
      <c r="A285" t="s">
        <v>930</v>
      </c>
      <c r="B285">
        <v>500</v>
      </c>
      <c r="C285" t="s">
        <v>5</v>
      </c>
      <c r="D285" t="s">
        <v>930</v>
      </c>
      <c r="E285" t="s">
        <v>332</v>
      </c>
      <c r="F285" t="s">
        <v>144</v>
      </c>
      <c r="G285" t="s">
        <v>31</v>
      </c>
      <c r="H285" t="s">
        <v>1516</v>
      </c>
    </row>
    <row r="286" spans="1:8" x14ac:dyDescent="0.25">
      <c r="A286" t="s">
        <v>715</v>
      </c>
      <c r="B286">
        <v>215</v>
      </c>
      <c r="C286" t="s">
        <v>5</v>
      </c>
      <c r="D286" t="s">
        <v>301</v>
      </c>
      <c r="E286" t="s">
        <v>960</v>
      </c>
      <c r="F286" t="s">
        <v>145</v>
      </c>
      <c r="G286" t="s">
        <v>32</v>
      </c>
      <c r="H286" t="s">
        <v>1517</v>
      </c>
    </row>
    <row r="287" spans="1:8" x14ac:dyDescent="0.25">
      <c r="A287" t="s">
        <v>960</v>
      </c>
      <c r="B287">
        <v>590</v>
      </c>
      <c r="C287" t="s">
        <v>5</v>
      </c>
      <c r="D287" t="s">
        <v>960</v>
      </c>
      <c r="E287" t="s">
        <v>324</v>
      </c>
      <c r="F287" t="s">
        <v>145</v>
      </c>
      <c r="G287" t="s">
        <v>32</v>
      </c>
      <c r="H287" t="s">
        <v>1517</v>
      </c>
    </row>
    <row r="288" spans="1:8" x14ac:dyDescent="0.25">
      <c r="A288" t="s">
        <v>716</v>
      </c>
      <c r="B288">
        <v>216</v>
      </c>
      <c r="C288" t="s">
        <v>5</v>
      </c>
      <c r="D288" t="s">
        <v>302</v>
      </c>
      <c r="E288" t="s">
        <v>990</v>
      </c>
      <c r="F288" t="s">
        <v>145</v>
      </c>
      <c r="G288" t="s">
        <v>32</v>
      </c>
      <c r="H288" t="s">
        <v>1518</v>
      </c>
    </row>
    <row r="289" spans="1:8" x14ac:dyDescent="0.25">
      <c r="A289" t="s">
        <v>990</v>
      </c>
      <c r="B289">
        <v>680</v>
      </c>
      <c r="C289" t="s">
        <v>5</v>
      </c>
      <c r="D289" t="s">
        <v>990</v>
      </c>
      <c r="E289" t="s">
        <v>325</v>
      </c>
      <c r="F289" t="s">
        <v>145</v>
      </c>
      <c r="G289" t="s">
        <v>32</v>
      </c>
      <c r="H289" t="s">
        <v>1518</v>
      </c>
    </row>
    <row r="290" spans="1:8" x14ac:dyDescent="0.25">
      <c r="A290" t="s">
        <v>538</v>
      </c>
      <c r="B290">
        <v>217</v>
      </c>
      <c r="C290" t="s">
        <v>5</v>
      </c>
      <c r="D290" t="s">
        <v>340</v>
      </c>
      <c r="E290" t="s">
        <v>341</v>
      </c>
      <c r="F290" t="s">
        <v>1532</v>
      </c>
      <c r="G290" t="s">
        <v>150</v>
      </c>
      <c r="H290" t="s">
        <v>1495</v>
      </c>
    </row>
    <row r="291" spans="1:8" x14ac:dyDescent="0.25">
      <c r="A291" t="s">
        <v>539</v>
      </c>
      <c r="B291">
        <v>218</v>
      </c>
      <c r="C291" t="s">
        <v>5</v>
      </c>
      <c r="D291" t="s">
        <v>342</v>
      </c>
      <c r="E291" t="s">
        <v>343</v>
      </c>
      <c r="F291" t="s">
        <v>1532</v>
      </c>
      <c r="G291" t="s">
        <v>150</v>
      </c>
      <c r="H291" t="s">
        <v>1495</v>
      </c>
    </row>
    <row r="292" spans="1:8" x14ac:dyDescent="0.25">
      <c r="A292" t="s">
        <v>540</v>
      </c>
      <c r="B292">
        <v>219</v>
      </c>
      <c r="C292" t="s">
        <v>5</v>
      </c>
      <c r="D292" t="s">
        <v>345</v>
      </c>
      <c r="E292" t="s">
        <v>346</v>
      </c>
      <c r="F292" t="s">
        <v>1532</v>
      </c>
      <c r="G292" t="s">
        <v>150</v>
      </c>
      <c r="H292" t="s">
        <v>1495</v>
      </c>
    </row>
    <row r="293" spans="1:8" x14ac:dyDescent="0.25">
      <c r="A293" t="s">
        <v>541</v>
      </c>
      <c r="B293">
        <v>220</v>
      </c>
      <c r="C293" t="s">
        <v>5</v>
      </c>
      <c r="D293" t="s">
        <v>349</v>
      </c>
      <c r="E293" t="s">
        <v>350</v>
      </c>
      <c r="F293" t="s">
        <v>1532</v>
      </c>
      <c r="G293" t="s">
        <v>150</v>
      </c>
      <c r="H293" t="s">
        <v>1496</v>
      </c>
    </row>
    <row r="294" spans="1:8" x14ac:dyDescent="0.25">
      <c r="A294" t="s">
        <v>542</v>
      </c>
      <c r="B294">
        <v>221</v>
      </c>
      <c r="C294" t="s">
        <v>5</v>
      </c>
      <c r="D294" t="s">
        <v>350</v>
      </c>
      <c r="E294" t="s">
        <v>351</v>
      </c>
      <c r="F294" t="s">
        <v>1532</v>
      </c>
      <c r="G294" t="s">
        <v>150</v>
      </c>
      <c r="H294" t="s">
        <v>1496</v>
      </c>
    </row>
    <row r="295" spans="1:8" x14ac:dyDescent="0.25">
      <c r="A295" t="s">
        <v>543</v>
      </c>
      <c r="B295">
        <v>222</v>
      </c>
      <c r="C295" t="s">
        <v>5</v>
      </c>
      <c r="D295" t="s">
        <v>351</v>
      </c>
      <c r="E295" t="s">
        <v>352</v>
      </c>
      <c r="F295" t="s">
        <v>1532</v>
      </c>
      <c r="G295" t="s">
        <v>150</v>
      </c>
      <c r="H295" t="s">
        <v>1496</v>
      </c>
    </row>
    <row r="296" spans="1:8" x14ac:dyDescent="0.25">
      <c r="A296" t="s">
        <v>544</v>
      </c>
      <c r="B296">
        <v>223</v>
      </c>
      <c r="C296" t="s">
        <v>5</v>
      </c>
      <c r="D296" t="s">
        <v>356</v>
      </c>
      <c r="E296" t="s">
        <v>357</v>
      </c>
      <c r="F296" t="s">
        <v>1532</v>
      </c>
      <c r="G296" t="s">
        <v>150</v>
      </c>
      <c r="H296" t="s">
        <v>1497</v>
      </c>
    </row>
    <row r="297" spans="1:8" x14ac:dyDescent="0.25">
      <c r="A297" t="s">
        <v>545</v>
      </c>
      <c r="B297">
        <v>224</v>
      </c>
      <c r="C297" t="s">
        <v>5</v>
      </c>
      <c r="D297" t="s">
        <v>358</v>
      </c>
      <c r="E297" t="s">
        <v>359</v>
      </c>
      <c r="F297" t="s">
        <v>1532</v>
      </c>
      <c r="G297" t="s">
        <v>150</v>
      </c>
      <c r="H297" t="s">
        <v>1498</v>
      </c>
    </row>
    <row r="298" spans="1:8" x14ac:dyDescent="0.25">
      <c r="A298" t="s">
        <v>546</v>
      </c>
      <c r="B298">
        <v>225</v>
      </c>
      <c r="C298" t="s">
        <v>5</v>
      </c>
      <c r="D298" t="s">
        <v>359</v>
      </c>
      <c r="E298" t="s">
        <v>360</v>
      </c>
      <c r="F298" t="s">
        <v>1532</v>
      </c>
      <c r="G298" t="s">
        <v>150</v>
      </c>
      <c r="H298" t="s">
        <v>1498</v>
      </c>
    </row>
    <row r="299" spans="1:8" x14ac:dyDescent="0.25">
      <c r="A299" t="s">
        <v>547</v>
      </c>
      <c r="B299">
        <v>226</v>
      </c>
      <c r="C299" t="s">
        <v>5</v>
      </c>
      <c r="D299" t="s">
        <v>360</v>
      </c>
      <c r="E299" t="s">
        <v>361</v>
      </c>
      <c r="F299" t="s">
        <v>1532</v>
      </c>
      <c r="G299" t="s">
        <v>150</v>
      </c>
      <c r="H299" t="s">
        <v>1498</v>
      </c>
    </row>
    <row r="300" spans="1:8" x14ac:dyDescent="0.25">
      <c r="A300" t="s">
        <v>548</v>
      </c>
      <c r="B300">
        <v>227</v>
      </c>
      <c r="C300" t="s">
        <v>5</v>
      </c>
      <c r="D300" t="s">
        <v>341</v>
      </c>
      <c r="E300" t="s">
        <v>345</v>
      </c>
      <c r="F300" t="s">
        <v>1530</v>
      </c>
      <c r="G300" t="s">
        <v>150</v>
      </c>
      <c r="H300" t="s">
        <v>1499</v>
      </c>
    </row>
    <row r="301" spans="1:8" x14ac:dyDescent="0.25">
      <c r="A301" t="s">
        <v>549</v>
      </c>
      <c r="B301">
        <v>228</v>
      </c>
      <c r="C301" t="s">
        <v>5</v>
      </c>
      <c r="D301" t="s">
        <v>345</v>
      </c>
      <c r="E301" t="s">
        <v>350</v>
      </c>
      <c r="F301" t="s">
        <v>1531</v>
      </c>
      <c r="G301" t="s">
        <v>150</v>
      </c>
      <c r="H301" t="s">
        <v>1499</v>
      </c>
    </row>
    <row r="302" spans="1:8" x14ac:dyDescent="0.25">
      <c r="A302" t="s">
        <v>550</v>
      </c>
      <c r="B302">
        <v>229</v>
      </c>
      <c r="C302" t="s">
        <v>5</v>
      </c>
      <c r="D302" t="s">
        <v>342</v>
      </c>
      <c r="E302" t="s">
        <v>346</v>
      </c>
      <c r="F302" t="s">
        <v>1530</v>
      </c>
      <c r="G302" t="s">
        <v>150</v>
      </c>
      <c r="H302" t="s">
        <v>1500</v>
      </c>
    </row>
    <row r="303" spans="1:8" x14ac:dyDescent="0.25">
      <c r="A303" t="s">
        <v>551</v>
      </c>
      <c r="B303">
        <v>230</v>
      </c>
      <c r="C303" t="s">
        <v>5</v>
      </c>
      <c r="D303" t="s">
        <v>346</v>
      </c>
      <c r="E303" t="s">
        <v>351</v>
      </c>
      <c r="F303" t="s">
        <v>1531</v>
      </c>
      <c r="G303" t="s">
        <v>150</v>
      </c>
      <c r="H303" t="s">
        <v>1500</v>
      </c>
    </row>
    <row r="304" spans="1:8" x14ac:dyDescent="0.25">
      <c r="A304" t="s">
        <v>552</v>
      </c>
      <c r="B304">
        <v>231</v>
      </c>
      <c r="C304" t="s">
        <v>5</v>
      </c>
      <c r="D304" t="s">
        <v>353</v>
      </c>
      <c r="E304" t="s">
        <v>356</v>
      </c>
      <c r="F304" t="s">
        <v>1530</v>
      </c>
      <c r="G304" t="s">
        <v>150</v>
      </c>
      <c r="H304" t="s">
        <v>1499</v>
      </c>
    </row>
    <row r="305" spans="1:8" x14ac:dyDescent="0.25">
      <c r="A305" t="s">
        <v>553</v>
      </c>
      <c r="B305">
        <v>232</v>
      </c>
      <c r="C305" t="s">
        <v>5</v>
      </c>
      <c r="D305" t="s">
        <v>356</v>
      </c>
      <c r="E305" t="s">
        <v>359</v>
      </c>
      <c r="F305" t="s">
        <v>1531</v>
      </c>
      <c r="G305" t="s">
        <v>150</v>
      </c>
      <c r="H305" t="s">
        <v>1499</v>
      </c>
    </row>
    <row r="306" spans="1:8" x14ac:dyDescent="0.25">
      <c r="A306" t="s">
        <v>554</v>
      </c>
      <c r="B306">
        <v>233</v>
      </c>
      <c r="C306" t="s">
        <v>5</v>
      </c>
      <c r="D306" t="s">
        <v>354</v>
      </c>
      <c r="E306" t="s">
        <v>357</v>
      </c>
      <c r="F306" t="s">
        <v>1530</v>
      </c>
      <c r="G306" t="s">
        <v>150</v>
      </c>
      <c r="H306" t="s">
        <v>1500</v>
      </c>
    </row>
    <row r="307" spans="1:8" x14ac:dyDescent="0.25">
      <c r="A307" t="s">
        <v>555</v>
      </c>
      <c r="B307">
        <v>234</v>
      </c>
      <c r="C307" t="s">
        <v>5</v>
      </c>
      <c r="D307" t="s">
        <v>357</v>
      </c>
      <c r="E307" t="s">
        <v>360</v>
      </c>
      <c r="F307" t="s">
        <v>1531</v>
      </c>
      <c r="G307" t="s">
        <v>150</v>
      </c>
      <c r="H307" t="s">
        <v>1500</v>
      </c>
    </row>
    <row r="308" spans="1:8" x14ac:dyDescent="0.25">
      <c r="A308" t="s">
        <v>717</v>
      </c>
      <c r="B308">
        <v>235</v>
      </c>
      <c r="C308" t="s">
        <v>5</v>
      </c>
      <c r="D308" t="s">
        <v>317</v>
      </c>
      <c r="E308" t="s">
        <v>964</v>
      </c>
      <c r="F308" t="s">
        <v>146</v>
      </c>
      <c r="G308" t="s">
        <v>32</v>
      </c>
      <c r="H308" t="s">
        <v>1501</v>
      </c>
    </row>
    <row r="309" spans="1:8" x14ac:dyDescent="0.25">
      <c r="A309" t="s">
        <v>964</v>
      </c>
      <c r="B309">
        <v>600</v>
      </c>
      <c r="C309" t="s">
        <v>5</v>
      </c>
      <c r="D309" t="s">
        <v>964</v>
      </c>
      <c r="E309" t="s">
        <v>340</v>
      </c>
      <c r="F309" t="s">
        <v>146</v>
      </c>
      <c r="G309" t="s">
        <v>32</v>
      </c>
      <c r="H309" t="s">
        <v>1501</v>
      </c>
    </row>
    <row r="310" spans="1:8" x14ac:dyDescent="0.25">
      <c r="A310" t="s">
        <v>718</v>
      </c>
      <c r="B310">
        <v>236</v>
      </c>
      <c r="C310" t="s">
        <v>5</v>
      </c>
      <c r="D310" t="s">
        <v>318</v>
      </c>
      <c r="E310" t="s">
        <v>904</v>
      </c>
      <c r="F310" t="s">
        <v>146</v>
      </c>
      <c r="G310" t="s">
        <v>32</v>
      </c>
      <c r="H310" t="s">
        <v>1502</v>
      </c>
    </row>
    <row r="311" spans="1:8" x14ac:dyDescent="0.25">
      <c r="A311" t="s">
        <v>904</v>
      </c>
      <c r="B311">
        <v>420</v>
      </c>
      <c r="C311" t="s">
        <v>5</v>
      </c>
      <c r="D311" t="s">
        <v>904</v>
      </c>
      <c r="E311" t="s">
        <v>341</v>
      </c>
      <c r="F311" t="s">
        <v>146</v>
      </c>
      <c r="G311" t="s">
        <v>32</v>
      </c>
      <c r="H311" t="s">
        <v>1502</v>
      </c>
    </row>
    <row r="312" spans="1:8" x14ac:dyDescent="0.25">
      <c r="A312" t="s">
        <v>719</v>
      </c>
      <c r="B312">
        <v>237</v>
      </c>
      <c r="C312" t="s">
        <v>5</v>
      </c>
      <c r="D312" t="s">
        <v>319</v>
      </c>
      <c r="E312" t="s">
        <v>905</v>
      </c>
      <c r="F312" t="s">
        <v>146</v>
      </c>
      <c r="G312" t="s">
        <v>32</v>
      </c>
      <c r="H312" t="s">
        <v>1503</v>
      </c>
    </row>
    <row r="313" spans="1:8" x14ac:dyDescent="0.25">
      <c r="A313" t="s">
        <v>905</v>
      </c>
      <c r="B313">
        <v>421</v>
      </c>
      <c r="C313" t="s">
        <v>5</v>
      </c>
      <c r="D313" t="s">
        <v>905</v>
      </c>
      <c r="E313" t="s">
        <v>342</v>
      </c>
      <c r="F313" t="s">
        <v>146</v>
      </c>
      <c r="G313" t="s">
        <v>32</v>
      </c>
      <c r="H313" t="s">
        <v>1503</v>
      </c>
    </row>
    <row r="314" spans="1:8" x14ac:dyDescent="0.25">
      <c r="A314" t="s">
        <v>720</v>
      </c>
      <c r="B314">
        <v>238</v>
      </c>
      <c r="C314" t="s">
        <v>5</v>
      </c>
      <c r="D314" t="s">
        <v>320</v>
      </c>
      <c r="E314" t="s">
        <v>994</v>
      </c>
      <c r="F314" t="s">
        <v>146</v>
      </c>
      <c r="G314" t="s">
        <v>32</v>
      </c>
      <c r="H314" t="s">
        <v>1504</v>
      </c>
    </row>
    <row r="315" spans="1:8" x14ac:dyDescent="0.25">
      <c r="A315" t="s">
        <v>994</v>
      </c>
      <c r="B315">
        <v>690</v>
      </c>
      <c r="C315" t="s">
        <v>5</v>
      </c>
      <c r="D315" t="s">
        <v>994</v>
      </c>
      <c r="E315" t="s">
        <v>343</v>
      </c>
      <c r="F315" t="s">
        <v>146</v>
      </c>
      <c r="G315" t="s">
        <v>32</v>
      </c>
      <c r="H315" t="s">
        <v>1504</v>
      </c>
    </row>
    <row r="316" spans="1:8" x14ac:dyDescent="0.25">
      <c r="A316" t="s">
        <v>721</v>
      </c>
      <c r="B316">
        <v>239</v>
      </c>
      <c r="C316" t="s">
        <v>5</v>
      </c>
      <c r="D316" t="s">
        <v>326</v>
      </c>
      <c r="E316" t="s">
        <v>965</v>
      </c>
      <c r="F316" t="s">
        <v>146</v>
      </c>
      <c r="G316" t="s">
        <v>32</v>
      </c>
      <c r="H316" t="s">
        <v>1505</v>
      </c>
    </row>
    <row r="317" spans="1:8" x14ac:dyDescent="0.25">
      <c r="A317" t="s">
        <v>965</v>
      </c>
      <c r="B317">
        <v>601</v>
      </c>
      <c r="C317" t="s">
        <v>5</v>
      </c>
      <c r="D317" t="s">
        <v>965</v>
      </c>
      <c r="E317" t="s">
        <v>349</v>
      </c>
      <c r="F317" t="s">
        <v>146</v>
      </c>
      <c r="G317" t="s">
        <v>32</v>
      </c>
      <c r="H317" t="s">
        <v>1505</v>
      </c>
    </row>
    <row r="318" spans="1:8" x14ac:dyDescent="0.25">
      <c r="A318" t="s">
        <v>722</v>
      </c>
      <c r="B318">
        <v>240</v>
      </c>
      <c r="C318" t="s">
        <v>5</v>
      </c>
      <c r="D318" t="s">
        <v>327</v>
      </c>
      <c r="E318" t="s">
        <v>350</v>
      </c>
      <c r="F318" t="s">
        <v>147</v>
      </c>
      <c r="G318" t="s">
        <v>32</v>
      </c>
      <c r="H318" t="s">
        <v>1506</v>
      </c>
    </row>
    <row r="319" spans="1:8" x14ac:dyDescent="0.25">
      <c r="A319" t="s">
        <v>723</v>
      </c>
      <c r="B319">
        <v>241</v>
      </c>
      <c r="C319" t="s">
        <v>5</v>
      </c>
      <c r="D319" t="s">
        <v>328</v>
      </c>
      <c r="E319" t="s">
        <v>351</v>
      </c>
      <c r="F319" t="s">
        <v>147</v>
      </c>
      <c r="G319" t="s">
        <v>32</v>
      </c>
      <c r="H319" t="s">
        <v>1507</v>
      </c>
    </row>
    <row r="320" spans="1:8" x14ac:dyDescent="0.25">
      <c r="A320" t="s">
        <v>724</v>
      </c>
      <c r="B320">
        <v>242</v>
      </c>
      <c r="C320" t="s">
        <v>5</v>
      </c>
      <c r="D320" t="s">
        <v>329</v>
      </c>
      <c r="E320" t="s">
        <v>995</v>
      </c>
      <c r="F320" t="s">
        <v>146</v>
      </c>
      <c r="G320" t="s">
        <v>32</v>
      </c>
      <c r="H320" t="s">
        <v>1508</v>
      </c>
    </row>
    <row r="321" spans="1:8" x14ac:dyDescent="0.25">
      <c r="A321" t="s">
        <v>995</v>
      </c>
      <c r="B321">
        <v>691</v>
      </c>
      <c r="C321" t="s">
        <v>5</v>
      </c>
      <c r="D321" t="s">
        <v>995</v>
      </c>
      <c r="E321" t="s">
        <v>352</v>
      </c>
      <c r="F321" t="s">
        <v>146</v>
      </c>
      <c r="G321" t="s">
        <v>32</v>
      </c>
      <c r="H321" t="s">
        <v>1508</v>
      </c>
    </row>
    <row r="322" spans="1:8" x14ac:dyDescent="0.25">
      <c r="A322" t="s">
        <v>725</v>
      </c>
      <c r="B322">
        <v>243</v>
      </c>
      <c r="C322" t="s">
        <v>5</v>
      </c>
      <c r="D322" t="s">
        <v>330</v>
      </c>
      <c r="E322" t="s">
        <v>934</v>
      </c>
      <c r="F322" t="s">
        <v>146</v>
      </c>
      <c r="G322" t="s">
        <v>32</v>
      </c>
      <c r="H322" t="s">
        <v>1509</v>
      </c>
    </row>
    <row r="323" spans="1:8" x14ac:dyDescent="0.25">
      <c r="A323" t="s">
        <v>934</v>
      </c>
      <c r="B323">
        <v>510</v>
      </c>
      <c r="C323" t="s">
        <v>5</v>
      </c>
      <c r="D323" t="s">
        <v>934</v>
      </c>
      <c r="E323" t="s">
        <v>353</v>
      </c>
      <c r="F323" t="s">
        <v>146</v>
      </c>
      <c r="G323" t="s">
        <v>32</v>
      </c>
      <c r="H323" t="s">
        <v>1509</v>
      </c>
    </row>
    <row r="324" spans="1:8" x14ac:dyDescent="0.25">
      <c r="A324" t="s">
        <v>726</v>
      </c>
      <c r="B324">
        <v>244</v>
      </c>
      <c r="C324" t="s">
        <v>5</v>
      </c>
      <c r="D324" t="s">
        <v>331</v>
      </c>
      <c r="E324" t="s">
        <v>935</v>
      </c>
      <c r="F324" t="s">
        <v>146</v>
      </c>
      <c r="G324" t="s">
        <v>32</v>
      </c>
      <c r="H324" t="s">
        <v>1510</v>
      </c>
    </row>
    <row r="325" spans="1:8" x14ac:dyDescent="0.25">
      <c r="A325" t="s">
        <v>935</v>
      </c>
      <c r="B325">
        <v>511</v>
      </c>
      <c r="C325" t="s">
        <v>5</v>
      </c>
      <c r="D325" t="s">
        <v>935</v>
      </c>
      <c r="E325" t="s">
        <v>354</v>
      </c>
      <c r="F325" t="s">
        <v>146</v>
      </c>
      <c r="G325" t="s">
        <v>32</v>
      </c>
      <c r="H325" t="s">
        <v>1510</v>
      </c>
    </row>
    <row r="326" spans="1:8" x14ac:dyDescent="0.25">
      <c r="A326" t="s">
        <v>727</v>
      </c>
      <c r="B326">
        <v>245</v>
      </c>
      <c r="C326" t="s">
        <v>5</v>
      </c>
      <c r="D326" t="s">
        <v>335</v>
      </c>
      <c r="E326" t="s">
        <v>358</v>
      </c>
      <c r="F326" t="s">
        <v>147</v>
      </c>
      <c r="G326" t="s">
        <v>32</v>
      </c>
      <c r="H326" t="s">
        <v>1511</v>
      </c>
    </row>
    <row r="327" spans="1:8" x14ac:dyDescent="0.25">
      <c r="A327" t="s">
        <v>728</v>
      </c>
      <c r="B327">
        <v>246</v>
      </c>
      <c r="C327" t="s">
        <v>5</v>
      </c>
      <c r="D327" t="s">
        <v>336</v>
      </c>
      <c r="E327" t="s">
        <v>359</v>
      </c>
      <c r="F327" t="s">
        <v>147</v>
      </c>
      <c r="G327" t="s">
        <v>32</v>
      </c>
      <c r="H327" t="s">
        <v>1512</v>
      </c>
    </row>
    <row r="328" spans="1:8" x14ac:dyDescent="0.25">
      <c r="A328" t="s">
        <v>729</v>
      </c>
      <c r="B328">
        <v>247</v>
      </c>
      <c r="C328" t="s">
        <v>5</v>
      </c>
      <c r="D328" t="s">
        <v>337</v>
      </c>
      <c r="E328" t="s">
        <v>360</v>
      </c>
      <c r="F328" t="s">
        <v>147</v>
      </c>
      <c r="G328" t="s">
        <v>32</v>
      </c>
      <c r="H328" t="s">
        <v>1513</v>
      </c>
    </row>
    <row r="329" spans="1:8" x14ac:dyDescent="0.25">
      <c r="A329" t="s">
        <v>730</v>
      </c>
      <c r="B329">
        <v>248</v>
      </c>
      <c r="C329" t="s">
        <v>5</v>
      </c>
      <c r="D329" t="s">
        <v>338</v>
      </c>
      <c r="E329" t="s">
        <v>361</v>
      </c>
      <c r="F329" t="s">
        <v>147</v>
      </c>
      <c r="G329" t="s">
        <v>32</v>
      </c>
      <c r="H329" t="s">
        <v>1514</v>
      </c>
    </row>
    <row r="330" spans="1:8" x14ac:dyDescent="0.25">
      <c r="A330" t="s">
        <v>731</v>
      </c>
      <c r="B330">
        <v>249</v>
      </c>
      <c r="C330" t="s">
        <v>5</v>
      </c>
      <c r="D330" t="s">
        <v>321</v>
      </c>
      <c r="E330" t="s">
        <v>903</v>
      </c>
      <c r="F330" t="s">
        <v>144</v>
      </c>
      <c r="G330" t="s">
        <v>31</v>
      </c>
      <c r="H330" t="s">
        <v>1515</v>
      </c>
    </row>
    <row r="331" spans="1:8" x14ac:dyDescent="0.25">
      <c r="A331" t="s">
        <v>903</v>
      </c>
      <c r="B331">
        <v>419</v>
      </c>
      <c r="C331" t="s">
        <v>5</v>
      </c>
      <c r="D331" t="s">
        <v>903</v>
      </c>
      <c r="E331" t="s">
        <v>344</v>
      </c>
      <c r="F331" t="s">
        <v>144</v>
      </c>
      <c r="G331" t="s">
        <v>31</v>
      </c>
      <c r="H331" t="s">
        <v>1515</v>
      </c>
    </row>
    <row r="332" spans="1:8" x14ac:dyDescent="0.25">
      <c r="A332" t="s">
        <v>732</v>
      </c>
      <c r="B332">
        <v>250</v>
      </c>
      <c r="C332" t="s">
        <v>5</v>
      </c>
      <c r="D332" t="s">
        <v>332</v>
      </c>
      <c r="E332" t="s">
        <v>933</v>
      </c>
      <c r="F332" t="s">
        <v>144</v>
      </c>
      <c r="G332" t="s">
        <v>31</v>
      </c>
      <c r="H332" t="s">
        <v>1516</v>
      </c>
    </row>
    <row r="333" spans="1:8" x14ac:dyDescent="0.25">
      <c r="A333" t="s">
        <v>933</v>
      </c>
      <c r="B333">
        <v>509</v>
      </c>
      <c r="C333" t="s">
        <v>5</v>
      </c>
      <c r="D333" t="s">
        <v>933</v>
      </c>
      <c r="E333" t="s">
        <v>355</v>
      </c>
      <c r="F333" t="s">
        <v>144</v>
      </c>
      <c r="G333" t="s">
        <v>31</v>
      </c>
      <c r="H333" t="s">
        <v>1516</v>
      </c>
    </row>
    <row r="334" spans="1:8" x14ac:dyDescent="0.25">
      <c r="A334" t="s">
        <v>733</v>
      </c>
      <c r="B334">
        <v>251</v>
      </c>
      <c r="C334" t="s">
        <v>5</v>
      </c>
      <c r="D334" t="s">
        <v>324</v>
      </c>
      <c r="E334" t="s">
        <v>963</v>
      </c>
      <c r="F334" t="s">
        <v>145</v>
      </c>
      <c r="G334" t="s">
        <v>32</v>
      </c>
      <c r="H334" t="s">
        <v>1517</v>
      </c>
    </row>
    <row r="335" spans="1:8" x14ac:dyDescent="0.25">
      <c r="A335" t="s">
        <v>963</v>
      </c>
      <c r="B335">
        <v>599</v>
      </c>
      <c r="C335" t="s">
        <v>5</v>
      </c>
      <c r="D335" t="s">
        <v>963</v>
      </c>
      <c r="E335" t="s">
        <v>347</v>
      </c>
      <c r="F335" t="s">
        <v>145</v>
      </c>
      <c r="G335" t="s">
        <v>32</v>
      </c>
      <c r="H335" t="s">
        <v>1517</v>
      </c>
    </row>
    <row r="336" spans="1:8" x14ac:dyDescent="0.25">
      <c r="A336" t="s">
        <v>734</v>
      </c>
      <c r="B336">
        <v>252</v>
      </c>
      <c r="C336" t="s">
        <v>5</v>
      </c>
      <c r="D336" t="s">
        <v>325</v>
      </c>
      <c r="E336" t="s">
        <v>993</v>
      </c>
      <c r="F336" t="s">
        <v>145</v>
      </c>
      <c r="G336" t="s">
        <v>32</v>
      </c>
      <c r="H336" t="s">
        <v>1518</v>
      </c>
    </row>
    <row r="337" spans="1:8" x14ac:dyDescent="0.25">
      <c r="A337" t="s">
        <v>993</v>
      </c>
      <c r="B337">
        <v>689</v>
      </c>
      <c r="C337" t="s">
        <v>5</v>
      </c>
      <c r="D337" t="s">
        <v>993</v>
      </c>
      <c r="E337" t="s">
        <v>348</v>
      </c>
      <c r="F337" t="s">
        <v>145</v>
      </c>
      <c r="G337" t="s">
        <v>32</v>
      </c>
      <c r="H337" t="s">
        <v>1518</v>
      </c>
    </row>
    <row r="338" spans="1:8" x14ac:dyDescent="0.25">
      <c r="A338" t="s">
        <v>556</v>
      </c>
      <c r="B338">
        <v>253</v>
      </c>
      <c r="C338" t="s">
        <v>5</v>
      </c>
      <c r="D338" t="s">
        <v>363</v>
      </c>
      <c r="E338" t="s">
        <v>364</v>
      </c>
      <c r="F338" t="s">
        <v>1532</v>
      </c>
      <c r="G338" t="s">
        <v>150</v>
      </c>
      <c r="H338" t="s">
        <v>1495</v>
      </c>
    </row>
    <row r="339" spans="1:8" x14ac:dyDescent="0.25">
      <c r="A339" t="s">
        <v>557</v>
      </c>
      <c r="B339">
        <v>254</v>
      </c>
      <c r="C339" t="s">
        <v>5</v>
      </c>
      <c r="D339" t="s">
        <v>365</v>
      </c>
      <c r="E339" t="s">
        <v>366</v>
      </c>
      <c r="F339" t="s">
        <v>1532</v>
      </c>
      <c r="G339" t="s">
        <v>150</v>
      </c>
      <c r="H339" t="s">
        <v>1495</v>
      </c>
    </row>
    <row r="340" spans="1:8" x14ac:dyDescent="0.25">
      <c r="A340" t="s">
        <v>558</v>
      </c>
      <c r="B340">
        <v>255</v>
      </c>
      <c r="C340" t="s">
        <v>5</v>
      </c>
      <c r="D340" t="s">
        <v>368</v>
      </c>
      <c r="E340" t="s">
        <v>369</v>
      </c>
      <c r="F340" t="s">
        <v>1532</v>
      </c>
      <c r="G340" t="s">
        <v>150</v>
      </c>
      <c r="H340" t="s">
        <v>1495</v>
      </c>
    </row>
    <row r="341" spans="1:8" x14ac:dyDescent="0.25">
      <c r="A341" t="s">
        <v>559</v>
      </c>
      <c r="B341">
        <v>256</v>
      </c>
      <c r="C341" t="s">
        <v>5</v>
      </c>
      <c r="D341" t="s">
        <v>372</v>
      </c>
      <c r="E341" t="s">
        <v>373</v>
      </c>
      <c r="F341" t="s">
        <v>1532</v>
      </c>
      <c r="G341" t="s">
        <v>150</v>
      </c>
      <c r="H341" t="s">
        <v>1496</v>
      </c>
    </row>
    <row r="342" spans="1:8" x14ac:dyDescent="0.25">
      <c r="A342" t="s">
        <v>560</v>
      </c>
      <c r="B342">
        <v>257</v>
      </c>
      <c r="C342" t="s">
        <v>5</v>
      </c>
      <c r="D342" t="s">
        <v>373</v>
      </c>
      <c r="E342" t="s">
        <v>374</v>
      </c>
      <c r="F342" t="s">
        <v>1532</v>
      </c>
      <c r="G342" t="s">
        <v>150</v>
      </c>
      <c r="H342" t="s">
        <v>1496</v>
      </c>
    </row>
    <row r="343" spans="1:8" x14ac:dyDescent="0.25">
      <c r="A343" t="s">
        <v>561</v>
      </c>
      <c r="B343">
        <v>258</v>
      </c>
      <c r="C343" t="s">
        <v>5</v>
      </c>
      <c r="D343" t="s">
        <v>374</v>
      </c>
      <c r="E343" t="s">
        <v>375</v>
      </c>
      <c r="F343" t="s">
        <v>1532</v>
      </c>
      <c r="G343" t="s">
        <v>150</v>
      </c>
      <c r="H343" t="s">
        <v>1496</v>
      </c>
    </row>
    <row r="344" spans="1:8" x14ac:dyDescent="0.25">
      <c r="A344" t="s">
        <v>562</v>
      </c>
      <c r="B344">
        <v>259</v>
      </c>
      <c r="C344" t="s">
        <v>5</v>
      </c>
      <c r="D344" t="s">
        <v>379</v>
      </c>
      <c r="E344" t="s">
        <v>380</v>
      </c>
      <c r="F344" t="s">
        <v>1532</v>
      </c>
      <c r="G344" t="s">
        <v>150</v>
      </c>
      <c r="H344" t="s">
        <v>1497</v>
      </c>
    </row>
    <row r="345" spans="1:8" x14ac:dyDescent="0.25">
      <c r="A345" t="s">
        <v>563</v>
      </c>
      <c r="B345">
        <v>260</v>
      </c>
      <c r="C345" t="s">
        <v>5</v>
      </c>
      <c r="D345" t="s">
        <v>381</v>
      </c>
      <c r="E345" t="s">
        <v>382</v>
      </c>
      <c r="F345" t="s">
        <v>1532</v>
      </c>
      <c r="G345" t="s">
        <v>150</v>
      </c>
      <c r="H345" t="s">
        <v>1498</v>
      </c>
    </row>
    <row r="346" spans="1:8" x14ac:dyDescent="0.25">
      <c r="A346" t="s">
        <v>564</v>
      </c>
      <c r="B346">
        <v>261</v>
      </c>
      <c r="C346" t="s">
        <v>5</v>
      </c>
      <c r="D346" t="s">
        <v>382</v>
      </c>
      <c r="E346" t="s">
        <v>383</v>
      </c>
      <c r="F346" t="s">
        <v>1532</v>
      </c>
      <c r="G346" t="s">
        <v>150</v>
      </c>
      <c r="H346" t="s">
        <v>1498</v>
      </c>
    </row>
    <row r="347" spans="1:8" x14ac:dyDescent="0.25">
      <c r="A347" t="s">
        <v>565</v>
      </c>
      <c r="B347">
        <v>262</v>
      </c>
      <c r="C347" t="s">
        <v>5</v>
      </c>
      <c r="D347" t="s">
        <v>383</v>
      </c>
      <c r="E347" t="s">
        <v>384</v>
      </c>
      <c r="F347" t="s">
        <v>1532</v>
      </c>
      <c r="G347" t="s">
        <v>150</v>
      </c>
      <c r="H347" t="s">
        <v>1498</v>
      </c>
    </row>
    <row r="348" spans="1:8" x14ac:dyDescent="0.25">
      <c r="A348" t="s">
        <v>566</v>
      </c>
      <c r="B348">
        <v>263</v>
      </c>
      <c r="C348" t="s">
        <v>5</v>
      </c>
      <c r="D348" t="s">
        <v>364</v>
      </c>
      <c r="E348" t="s">
        <v>368</v>
      </c>
      <c r="F348" t="s">
        <v>1530</v>
      </c>
      <c r="G348" t="s">
        <v>150</v>
      </c>
      <c r="H348" t="s">
        <v>1499</v>
      </c>
    </row>
    <row r="349" spans="1:8" x14ac:dyDescent="0.25">
      <c r="A349" t="s">
        <v>567</v>
      </c>
      <c r="B349">
        <v>264</v>
      </c>
      <c r="C349" t="s">
        <v>5</v>
      </c>
      <c r="D349" t="s">
        <v>368</v>
      </c>
      <c r="E349" t="s">
        <v>373</v>
      </c>
      <c r="F349" t="s">
        <v>1531</v>
      </c>
      <c r="G349" t="s">
        <v>150</v>
      </c>
      <c r="H349" t="s">
        <v>1499</v>
      </c>
    </row>
    <row r="350" spans="1:8" x14ac:dyDescent="0.25">
      <c r="A350" t="s">
        <v>568</v>
      </c>
      <c r="B350">
        <v>265</v>
      </c>
      <c r="C350" t="s">
        <v>5</v>
      </c>
      <c r="D350" t="s">
        <v>365</v>
      </c>
      <c r="E350" t="s">
        <v>369</v>
      </c>
      <c r="F350" t="s">
        <v>1530</v>
      </c>
      <c r="G350" t="s">
        <v>150</v>
      </c>
      <c r="H350" t="s">
        <v>1500</v>
      </c>
    </row>
    <row r="351" spans="1:8" x14ac:dyDescent="0.25">
      <c r="A351" t="s">
        <v>569</v>
      </c>
      <c r="B351">
        <v>266</v>
      </c>
      <c r="C351" t="s">
        <v>5</v>
      </c>
      <c r="D351" t="s">
        <v>369</v>
      </c>
      <c r="E351" t="s">
        <v>374</v>
      </c>
      <c r="F351" t="s">
        <v>1531</v>
      </c>
      <c r="G351" t="s">
        <v>150</v>
      </c>
      <c r="H351" t="s">
        <v>1500</v>
      </c>
    </row>
    <row r="352" spans="1:8" x14ac:dyDescent="0.25">
      <c r="A352" t="s">
        <v>570</v>
      </c>
      <c r="B352">
        <v>267</v>
      </c>
      <c r="C352" t="s">
        <v>5</v>
      </c>
      <c r="D352" t="s">
        <v>376</v>
      </c>
      <c r="E352" t="s">
        <v>379</v>
      </c>
      <c r="F352" t="s">
        <v>1530</v>
      </c>
      <c r="G352" t="s">
        <v>150</v>
      </c>
      <c r="H352" t="s">
        <v>1499</v>
      </c>
    </row>
    <row r="353" spans="1:8" x14ac:dyDescent="0.25">
      <c r="A353" t="s">
        <v>571</v>
      </c>
      <c r="B353">
        <v>268</v>
      </c>
      <c r="C353" t="s">
        <v>5</v>
      </c>
      <c r="D353" t="s">
        <v>379</v>
      </c>
      <c r="E353" t="s">
        <v>382</v>
      </c>
      <c r="F353" t="s">
        <v>1531</v>
      </c>
      <c r="G353" t="s">
        <v>150</v>
      </c>
      <c r="H353" t="s">
        <v>1499</v>
      </c>
    </row>
    <row r="354" spans="1:8" x14ac:dyDescent="0.25">
      <c r="A354" t="s">
        <v>572</v>
      </c>
      <c r="B354">
        <v>269</v>
      </c>
      <c r="C354" t="s">
        <v>5</v>
      </c>
      <c r="D354" t="s">
        <v>377</v>
      </c>
      <c r="E354" t="s">
        <v>380</v>
      </c>
      <c r="F354" t="s">
        <v>1530</v>
      </c>
      <c r="G354" t="s">
        <v>150</v>
      </c>
      <c r="H354" t="s">
        <v>1500</v>
      </c>
    </row>
    <row r="355" spans="1:8" x14ac:dyDescent="0.25">
      <c r="A355" t="s">
        <v>573</v>
      </c>
      <c r="B355">
        <v>270</v>
      </c>
      <c r="C355" t="s">
        <v>5</v>
      </c>
      <c r="D355" t="s">
        <v>380</v>
      </c>
      <c r="E355" t="s">
        <v>383</v>
      </c>
      <c r="F355" t="s">
        <v>1531</v>
      </c>
      <c r="G355" t="s">
        <v>150</v>
      </c>
      <c r="H355" t="s">
        <v>1500</v>
      </c>
    </row>
    <row r="356" spans="1:8" x14ac:dyDescent="0.25">
      <c r="A356" t="s">
        <v>735</v>
      </c>
      <c r="B356">
        <v>271</v>
      </c>
      <c r="C356" t="s">
        <v>5</v>
      </c>
      <c r="D356" t="s">
        <v>340</v>
      </c>
      <c r="E356" t="s">
        <v>967</v>
      </c>
      <c r="F356" t="s">
        <v>146</v>
      </c>
      <c r="G356" t="s">
        <v>32</v>
      </c>
      <c r="H356" t="s">
        <v>1501</v>
      </c>
    </row>
    <row r="357" spans="1:8" x14ac:dyDescent="0.25">
      <c r="A357" t="s">
        <v>967</v>
      </c>
      <c r="B357">
        <v>609</v>
      </c>
      <c r="C357" t="s">
        <v>5</v>
      </c>
      <c r="D357" t="s">
        <v>967</v>
      </c>
      <c r="E357" t="s">
        <v>363</v>
      </c>
      <c r="F357" t="s">
        <v>146</v>
      </c>
      <c r="G357" t="s">
        <v>32</v>
      </c>
      <c r="H357" t="s">
        <v>1501</v>
      </c>
    </row>
    <row r="358" spans="1:8" x14ac:dyDescent="0.25">
      <c r="A358" t="s">
        <v>736</v>
      </c>
      <c r="B358">
        <v>272</v>
      </c>
      <c r="C358" t="s">
        <v>5</v>
      </c>
      <c r="D358" t="s">
        <v>341</v>
      </c>
      <c r="E358" t="s">
        <v>907</v>
      </c>
      <c r="F358" t="s">
        <v>146</v>
      </c>
      <c r="G358" t="s">
        <v>32</v>
      </c>
      <c r="H358" t="s">
        <v>1502</v>
      </c>
    </row>
    <row r="359" spans="1:8" x14ac:dyDescent="0.25">
      <c r="A359" t="s">
        <v>907</v>
      </c>
      <c r="B359">
        <v>429</v>
      </c>
      <c r="C359" t="s">
        <v>5</v>
      </c>
      <c r="D359" t="s">
        <v>907</v>
      </c>
      <c r="E359" t="s">
        <v>364</v>
      </c>
      <c r="F359" t="s">
        <v>146</v>
      </c>
      <c r="G359" t="s">
        <v>32</v>
      </c>
      <c r="H359" t="s">
        <v>1502</v>
      </c>
    </row>
    <row r="360" spans="1:8" x14ac:dyDescent="0.25">
      <c r="A360" t="s">
        <v>737</v>
      </c>
      <c r="B360">
        <v>273</v>
      </c>
      <c r="C360" t="s">
        <v>5</v>
      </c>
      <c r="D360" t="s">
        <v>342</v>
      </c>
      <c r="E360" t="s">
        <v>908</v>
      </c>
      <c r="F360" t="s">
        <v>146</v>
      </c>
      <c r="G360" t="s">
        <v>32</v>
      </c>
      <c r="H360" t="s">
        <v>1503</v>
      </c>
    </row>
    <row r="361" spans="1:8" x14ac:dyDescent="0.25">
      <c r="A361" t="s">
        <v>908</v>
      </c>
      <c r="B361">
        <v>430</v>
      </c>
      <c r="C361" t="s">
        <v>5</v>
      </c>
      <c r="D361" t="s">
        <v>908</v>
      </c>
      <c r="E361" t="s">
        <v>365</v>
      </c>
      <c r="F361" t="s">
        <v>146</v>
      </c>
      <c r="G361" t="s">
        <v>32</v>
      </c>
      <c r="H361" t="s">
        <v>1503</v>
      </c>
    </row>
    <row r="362" spans="1:8" x14ac:dyDescent="0.25">
      <c r="A362" t="s">
        <v>738</v>
      </c>
      <c r="B362">
        <v>274</v>
      </c>
      <c r="C362" t="s">
        <v>5</v>
      </c>
      <c r="D362" t="s">
        <v>343</v>
      </c>
      <c r="E362" t="s">
        <v>997</v>
      </c>
      <c r="F362" t="s">
        <v>146</v>
      </c>
      <c r="G362" t="s">
        <v>32</v>
      </c>
      <c r="H362" t="s">
        <v>1504</v>
      </c>
    </row>
    <row r="363" spans="1:8" x14ac:dyDescent="0.25">
      <c r="A363" t="s">
        <v>997</v>
      </c>
      <c r="B363">
        <v>699</v>
      </c>
      <c r="C363" t="s">
        <v>5</v>
      </c>
      <c r="D363" t="s">
        <v>997</v>
      </c>
      <c r="E363" t="s">
        <v>366</v>
      </c>
      <c r="F363" t="s">
        <v>146</v>
      </c>
      <c r="G363" t="s">
        <v>32</v>
      </c>
      <c r="H363" t="s">
        <v>1504</v>
      </c>
    </row>
    <row r="364" spans="1:8" x14ac:dyDescent="0.25">
      <c r="A364" t="s">
        <v>739</v>
      </c>
      <c r="B364">
        <v>275</v>
      </c>
      <c r="C364" t="s">
        <v>5</v>
      </c>
      <c r="D364" t="s">
        <v>349</v>
      </c>
      <c r="E364" t="s">
        <v>968</v>
      </c>
      <c r="F364" t="s">
        <v>146</v>
      </c>
      <c r="G364" t="s">
        <v>32</v>
      </c>
      <c r="H364" t="s">
        <v>1505</v>
      </c>
    </row>
    <row r="365" spans="1:8" x14ac:dyDescent="0.25">
      <c r="A365" t="s">
        <v>968</v>
      </c>
      <c r="B365">
        <v>610</v>
      </c>
      <c r="C365" t="s">
        <v>5</v>
      </c>
      <c r="D365" t="s">
        <v>968</v>
      </c>
      <c r="E365" t="s">
        <v>372</v>
      </c>
      <c r="F365" t="s">
        <v>146</v>
      </c>
      <c r="G365" t="s">
        <v>32</v>
      </c>
      <c r="H365" t="s">
        <v>1505</v>
      </c>
    </row>
    <row r="366" spans="1:8" x14ac:dyDescent="0.25">
      <c r="A366" t="s">
        <v>740</v>
      </c>
      <c r="B366">
        <v>276</v>
      </c>
      <c r="C366" t="s">
        <v>5</v>
      </c>
      <c r="D366" t="s">
        <v>350</v>
      </c>
      <c r="E366" t="s">
        <v>373</v>
      </c>
      <c r="F366" t="s">
        <v>147</v>
      </c>
      <c r="G366" t="s">
        <v>32</v>
      </c>
      <c r="H366" t="s">
        <v>1506</v>
      </c>
    </row>
    <row r="367" spans="1:8" x14ac:dyDescent="0.25">
      <c r="A367" t="s">
        <v>741</v>
      </c>
      <c r="B367">
        <v>277</v>
      </c>
      <c r="C367" t="s">
        <v>5</v>
      </c>
      <c r="D367" t="s">
        <v>351</v>
      </c>
      <c r="E367" t="s">
        <v>374</v>
      </c>
      <c r="F367" t="s">
        <v>147</v>
      </c>
      <c r="G367" t="s">
        <v>32</v>
      </c>
      <c r="H367" t="s">
        <v>1507</v>
      </c>
    </row>
    <row r="368" spans="1:8" x14ac:dyDescent="0.25">
      <c r="A368" t="s">
        <v>742</v>
      </c>
      <c r="B368">
        <v>278</v>
      </c>
      <c r="C368" t="s">
        <v>5</v>
      </c>
      <c r="D368" t="s">
        <v>352</v>
      </c>
      <c r="E368" t="s">
        <v>998</v>
      </c>
      <c r="F368" t="s">
        <v>146</v>
      </c>
      <c r="G368" t="s">
        <v>32</v>
      </c>
      <c r="H368" t="s">
        <v>1508</v>
      </c>
    </row>
    <row r="369" spans="1:8" x14ac:dyDescent="0.25">
      <c r="A369" t="s">
        <v>998</v>
      </c>
      <c r="B369">
        <v>700</v>
      </c>
      <c r="C369" t="s">
        <v>5</v>
      </c>
      <c r="D369" t="s">
        <v>998</v>
      </c>
      <c r="E369" t="s">
        <v>375</v>
      </c>
      <c r="F369" t="s">
        <v>146</v>
      </c>
      <c r="G369" t="s">
        <v>32</v>
      </c>
      <c r="H369" t="s">
        <v>1508</v>
      </c>
    </row>
    <row r="370" spans="1:8" x14ac:dyDescent="0.25">
      <c r="A370" t="s">
        <v>743</v>
      </c>
      <c r="B370">
        <v>279</v>
      </c>
      <c r="C370" t="s">
        <v>5</v>
      </c>
      <c r="D370" t="s">
        <v>353</v>
      </c>
      <c r="E370" t="s">
        <v>937</v>
      </c>
      <c r="F370" t="s">
        <v>146</v>
      </c>
      <c r="G370" t="s">
        <v>32</v>
      </c>
      <c r="H370" t="s">
        <v>1509</v>
      </c>
    </row>
    <row r="371" spans="1:8" x14ac:dyDescent="0.25">
      <c r="A371" t="s">
        <v>937</v>
      </c>
      <c r="B371">
        <v>519</v>
      </c>
      <c r="C371" t="s">
        <v>5</v>
      </c>
      <c r="D371" t="s">
        <v>937</v>
      </c>
      <c r="E371" t="s">
        <v>376</v>
      </c>
      <c r="F371" t="s">
        <v>146</v>
      </c>
      <c r="G371" t="s">
        <v>32</v>
      </c>
      <c r="H371" t="s">
        <v>1509</v>
      </c>
    </row>
    <row r="372" spans="1:8" x14ac:dyDescent="0.25">
      <c r="A372" t="s">
        <v>744</v>
      </c>
      <c r="B372">
        <v>280</v>
      </c>
      <c r="C372" t="s">
        <v>5</v>
      </c>
      <c r="D372" t="s">
        <v>354</v>
      </c>
      <c r="E372" t="s">
        <v>938</v>
      </c>
      <c r="F372" t="s">
        <v>146</v>
      </c>
      <c r="G372" t="s">
        <v>32</v>
      </c>
      <c r="H372" t="s">
        <v>1510</v>
      </c>
    </row>
    <row r="373" spans="1:8" x14ac:dyDescent="0.25">
      <c r="A373" t="s">
        <v>938</v>
      </c>
      <c r="B373">
        <v>520</v>
      </c>
      <c r="C373" t="s">
        <v>5</v>
      </c>
      <c r="D373" t="s">
        <v>938</v>
      </c>
      <c r="E373" t="s">
        <v>377</v>
      </c>
      <c r="F373" t="s">
        <v>146</v>
      </c>
      <c r="G373" t="s">
        <v>32</v>
      </c>
      <c r="H373" t="s">
        <v>1510</v>
      </c>
    </row>
    <row r="374" spans="1:8" x14ac:dyDescent="0.25">
      <c r="A374" t="s">
        <v>745</v>
      </c>
      <c r="B374">
        <v>281</v>
      </c>
      <c r="C374" t="s">
        <v>5</v>
      </c>
      <c r="D374" t="s">
        <v>358</v>
      </c>
      <c r="E374" t="s">
        <v>381</v>
      </c>
      <c r="F374" t="s">
        <v>147</v>
      </c>
      <c r="G374" t="s">
        <v>32</v>
      </c>
      <c r="H374" t="s">
        <v>1511</v>
      </c>
    </row>
    <row r="375" spans="1:8" x14ac:dyDescent="0.25">
      <c r="A375" t="s">
        <v>746</v>
      </c>
      <c r="B375">
        <v>282</v>
      </c>
      <c r="C375" t="s">
        <v>5</v>
      </c>
      <c r="D375" t="s">
        <v>359</v>
      </c>
      <c r="E375" t="s">
        <v>382</v>
      </c>
      <c r="F375" t="s">
        <v>147</v>
      </c>
      <c r="G375" t="s">
        <v>32</v>
      </c>
      <c r="H375" t="s">
        <v>1512</v>
      </c>
    </row>
    <row r="376" spans="1:8" x14ac:dyDescent="0.25">
      <c r="A376" t="s">
        <v>747</v>
      </c>
      <c r="B376">
        <v>283</v>
      </c>
      <c r="C376" t="s">
        <v>5</v>
      </c>
      <c r="D376" t="s">
        <v>360</v>
      </c>
      <c r="E376" t="s">
        <v>383</v>
      </c>
      <c r="F376" t="s">
        <v>147</v>
      </c>
      <c r="G376" t="s">
        <v>32</v>
      </c>
      <c r="H376" t="s">
        <v>1513</v>
      </c>
    </row>
    <row r="377" spans="1:8" x14ac:dyDescent="0.25">
      <c r="A377" t="s">
        <v>748</v>
      </c>
      <c r="B377">
        <v>284</v>
      </c>
      <c r="C377" t="s">
        <v>5</v>
      </c>
      <c r="D377" t="s">
        <v>361</v>
      </c>
      <c r="E377" t="s">
        <v>384</v>
      </c>
      <c r="F377" t="s">
        <v>147</v>
      </c>
      <c r="G377" t="s">
        <v>32</v>
      </c>
      <c r="H377" t="s">
        <v>1514</v>
      </c>
    </row>
    <row r="378" spans="1:8" x14ac:dyDescent="0.25">
      <c r="A378" t="s">
        <v>749</v>
      </c>
      <c r="B378">
        <v>285</v>
      </c>
      <c r="C378" t="s">
        <v>5</v>
      </c>
      <c r="D378" t="s">
        <v>344</v>
      </c>
      <c r="E378" t="s">
        <v>906</v>
      </c>
      <c r="F378" t="s">
        <v>144</v>
      </c>
      <c r="G378" t="s">
        <v>31</v>
      </c>
      <c r="H378" t="s">
        <v>1515</v>
      </c>
    </row>
    <row r="379" spans="1:8" x14ac:dyDescent="0.25">
      <c r="A379" t="s">
        <v>906</v>
      </c>
      <c r="B379">
        <v>428</v>
      </c>
      <c r="C379" t="s">
        <v>5</v>
      </c>
      <c r="D379" t="s">
        <v>906</v>
      </c>
      <c r="E379" t="s">
        <v>367</v>
      </c>
      <c r="F379" t="s">
        <v>144</v>
      </c>
      <c r="G379" t="s">
        <v>31</v>
      </c>
      <c r="H379" t="s">
        <v>1515</v>
      </c>
    </row>
    <row r="380" spans="1:8" x14ac:dyDescent="0.25">
      <c r="A380" t="s">
        <v>750</v>
      </c>
      <c r="B380">
        <v>286</v>
      </c>
      <c r="C380" t="s">
        <v>5</v>
      </c>
      <c r="D380" t="s">
        <v>355</v>
      </c>
      <c r="E380" t="s">
        <v>936</v>
      </c>
      <c r="F380" t="s">
        <v>144</v>
      </c>
      <c r="G380" t="s">
        <v>31</v>
      </c>
      <c r="H380" t="s">
        <v>1516</v>
      </c>
    </row>
    <row r="381" spans="1:8" x14ac:dyDescent="0.25">
      <c r="A381" t="s">
        <v>936</v>
      </c>
      <c r="B381">
        <v>518</v>
      </c>
      <c r="C381" t="s">
        <v>5</v>
      </c>
      <c r="D381" t="s">
        <v>936</v>
      </c>
      <c r="E381" t="s">
        <v>378</v>
      </c>
      <c r="F381" t="s">
        <v>144</v>
      </c>
      <c r="G381" t="s">
        <v>31</v>
      </c>
      <c r="H381" t="s">
        <v>1516</v>
      </c>
    </row>
    <row r="382" spans="1:8" x14ac:dyDescent="0.25">
      <c r="A382" t="s">
        <v>751</v>
      </c>
      <c r="B382">
        <v>287</v>
      </c>
      <c r="C382" t="s">
        <v>5</v>
      </c>
      <c r="D382" t="s">
        <v>347</v>
      </c>
      <c r="E382" t="s">
        <v>966</v>
      </c>
      <c r="F382" t="s">
        <v>145</v>
      </c>
      <c r="G382" t="s">
        <v>32</v>
      </c>
      <c r="H382" t="s">
        <v>1517</v>
      </c>
    </row>
    <row r="383" spans="1:8" x14ac:dyDescent="0.25">
      <c r="A383" t="s">
        <v>966</v>
      </c>
      <c r="B383">
        <v>608</v>
      </c>
      <c r="C383" t="s">
        <v>5</v>
      </c>
      <c r="D383" t="s">
        <v>966</v>
      </c>
      <c r="E383" t="s">
        <v>370</v>
      </c>
      <c r="F383" t="s">
        <v>145</v>
      </c>
      <c r="G383" t="s">
        <v>32</v>
      </c>
      <c r="H383" t="s">
        <v>1517</v>
      </c>
    </row>
    <row r="384" spans="1:8" x14ac:dyDescent="0.25">
      <c r="A384" t="s">
        <v>752</v>
      </c>
      <c r="B384">
        <v>288</v>
      </c>
      <c r="C384" t="s">
        <v>5</v>
      </c>
      <c r="D384" t="s">
        <v>348</v>
      </c>
      <c r="E384" t="s">
        <v>996</v>
      </c>
      <c r="F384" t="s">
        <v>145</v>
      </c>
      <c r="G384" t="s">
        <v>32</v>
      </c>
      <c r="H384" t="s">
        <v>1518</v>
      </c>
    </row>
    <row r="385" spans="1:8" x14ac:dyDescent="0.25">
      <c r="A385" t="s">
        <v>996</v>
      </c>
      <c r="B385">
        <v>698</v>
      </c>
      <c r="C385" t="s">
        <v>5</v>
      </c>
      <c r="D385" t="s">
        <v>996</v>
      </c>
      <c r="E385" t="s">
        <v>371</v>
      </c>
      <c r="F385" t="s">
        <v>145</v>
      </c>
      <c r="G385" t="s">
        <v>32</v>
      </c>
      <c r="H385" t="s">
        <v>1518</v>
      </c>
    </row>
    <row r="386" spans="1:8" x14ac:dyDescent="0.25">
      <c r="A386" t="s">
        <v>574</v>
      </c>
      <c r="B386">
        <v>289</v>
      </c>
      <c r="C386" t="s">
        <v>5</v>
      </c>
      <c r="D386" t="s">
        <v>386</v>
      </c>
      <c r="E386" t="s">
        <v>387</v>
      </c>
      <c r="F386" t="s">
        <v>1532</v>
      </c>
      <c r="G386" t="s">
        <v>150</v>
      </c>
      <c r="H386" t="s">
        <v>1495</v>
      </c>
    </row>
    <row r="387" spans="1:8" x14ac:dyDescent="0.25">
      <c r="A387" t="s">
        <v>575</v>
      </c>
      <c r="B387">
        <v>290</v>
      </c>
      <c r="C387" t="s">
        <v>5</v>
      </c>
      <c r="D387" t="s">
        <v>388</v>
      </c>
      <c r="E387" t="s">
        <v>389</v>
      </c>
      <c r="F387" t="s">
        <v>1532</v>
      </c>
      <c r="G387" t="s">
        <v>150</v>
      </c>
      <c r="H387" t="s">
        <v>1495</v>
      </c>
    </row>
    <row r="388" spans="1:8" x14ac:dyDescent="0.25">
      <c r="A388" t="s">
        <v>576</v>
      </c>
      <c r="B388">
        <v>291</v>
      </c>
      <c r="C388" t="s">
        <v>5</v>
      </c>
      <c r="D388" t="s">
        <v>391</v>
      </c>
      <c r="E388" t="s">
        <v>392</v>
      </c>
      <c r="F388" t="s">
        <v>1532</v>
      </c>
      <c r="G388" t="s">
        <v>150</v>
      </c>
      <c r="H388" t="s">
        <v>1495</v>
      </c>
    </row>
    <row r="389" spans="1:8" x14ac:dyDescent="0.25">
      <c r="A389" t="s">
        <v>577</v>
      </c>
      <c r="B389">
        <v>292</v>
      </c>
      <c r="C389" t="s">
        <v>5</v>
      </c>
      <c r="D389" t="s">
        <v>395</v>
      </c>
      <c r="E389" t="s">
        <v>396</v>
      </c>
      <c r="F389" t="s">
        <v>1532</v>
      </c>
      <c r="G389" t="s">
        <v>150</v>
      </c>
      <c r="H389" t="s">
        <v>1496</v>
      </c>
    </row>
    <row r="390" spans="1:8" x14ac:dyDescent="0.25">
      <c r="A390" t="s">
        <v>578</v>
      </c>
      <c r="B390">
        <v>293</v>
      </c>
      <c r="C390" t="s">
        <v>5</v>
      </c>
      <c r="D390" t="s">
        <v>396</v>
      </c>
      <c r="E390" t="s">
        <v>397</v>
      </c>
      <c r="F390" t="s">
        <v>1532</v>
      </c>
      <c r="G390" t="s">
        <v>150</v>
      </c>
      <c r="H390" t="s">
        <v>1496</v>
      </c>
    </row>
    <row r="391" spans="1:8" x14ac:dyDescent="0.25">
      <c r="A391" t="s">
        <v>579</v>
      </c>
      <c r="B391">
        <v>294</v>
      </c>
      <c r="C391" t="s">
        <v>5</v>
      </c>
      <c r="D391" t="s">
        <v>397</v>
      </c>
      <c r="E391" t="s">
        <v>398</v>
      </c>
      <c r="F391" t="s">
        <v>1532</v>
      </c>
      <c r="G391" t="s">
        <v>150</v>
      </c>
      <c r="H391" t="s">
        <v>1496</v>
      </c>
    </row>
    <row r="392" spans="1:8" x14ac:dyDescent="0.25">
      <c r="A392" t="s">
        <v>580</v>
      </c>
      <c r="B392">
        <v>295</v>
      </c>
      <c r="C392" t="s">
        <v>5</v>
      </c>
      <c r="D392" t="s">
        <v>402</v>
      </c>
      <c r="E392" t="s">
        <v>403</v>
      </c>
      <c r="F392" t="s">
        <v>1532</v>
      </c>
      <c r="G392" t="s">
        <v>150</v>
      </c>
      <c r="H392" t="s">
        <v>1497</v>
      </c>
    </row>
    <row r="393" spans="1:8" x14ac:dyDescent="0.25">
      <c r="A393" t="s">
        <v>581</v>
      </c>
      <c r="B393">
        <v>296</v>
      </c>
      <c r="C393" t="s">
        <v>5</v>
      </c>
      <c r="D393" t="s">
        <v>404</v>
      </c>
      <c r="E393" t="s">
        <v>405</v>
      </c>
      <c r="F393" t="s">
        <v>1532</v>
      </c>
      <c r="G393" t="s">
        <v>150</v>
      </c>
      <c r="H393" t="s">
        <v>1498</v>
      </c>
    </row>
    <row r="394" spans="1:8" x14ac:dyDescent="0.25">
      <c r="A394" t="s">
        <v>582</v>
      </c>
      <c r="B394">
        <v>297</v>
      </c>
      <c r="C394" t="s">
        <v>5</v>
      </c>
      <c r="D394" t="s">
        <v>405</v>
      </c>
      <c r="E394" t="s">
        <v>406</v>
      </c>
      <c r="F394" t="s">
        <v>1532</v>
      </c>
      <c r="G394" t="s">
        <v>150</v>
      </c>
      <c r="H394" t="s">
        <v>1498</v>
      </c>
    </row>
    <row r="395" spans="1:8" x14ac:dyDescent="0.25">
      <c r="A395" t="s">
        <v>583</v>
      </c>
      <c r="B395">
        <v>298</v>
      </c>
      <c r="C395" t="s">
        <v>5</v>
      </c>
      <c r="D395" t="s">
        <v>406</v>
      </c>
      <c r="E395" t="s">
        <v>407</v>
      </c>
      <c r="F395" t="s">
        <v>1532</v>
      </c>
      <c r="G395" t="s">
        <v>150</v>
      </c>
      <c r="H395" t="s">
        <v>1498</v>
      </c>
    </row>
    <row r="396" spans="1:8" x14ac:dyDescent="0.25">
      <c r="A396" t="s">
        <v>584</v>
      </c>
      <c r="B396">
        <v>299</v>
      </c>
      <c r="C396" t="s">
        <v>5</v>
      </c>
      <c r="D396" t="s">
        <v>387</v>
      </c>
      <c r="E396" t="s">
        <v>391</v>
      </c>
      <c r="F396" t="s">
        <v>1530</v>
      </c>
      <c r="G396" t="s">
        <v>150</v>
      </c>
      <c r="H396" t="s">
        <v>1499</v>
      </c>
    </row>
    <row r="397" spans="1:8" x14ac:dyDescent="0.25">
      <c r="A397" t="s">
        <v>585</v>
      </c>
      <c r="B397">
        <v>300</v>
      </c>
      <c r="C397" t="s">
        <v>5</v>
      </c>
      <c r="D397" t="s">
        <v>391</v>
      </c>
      <c r="E397" t="s">
        <v>396</v>
      </c>
      <c r="F397" t="s">
        <v>1531</v>
      </c>
      <c r="G397" t="s">
        <v>150</v>
      </c>
      <c r="H397" t="s">
        <v>1499</v>
      </c>
    </row>
    <row r="398" spans="1:8" x14ac:dyDescent="0.25">
      <c r="A398" t="s">
        <v>586</v>
      </c>
      <c r="B398">
        <v>301</v>
      </c>
      <c r="C398" t="s">
        <v>5</v>
      </c>
      <c r="D398" t="s">
        <v>388</v>
      </c>
      <c r="E398" t="s">
        <v>392</v>
      </c>
      <c r="F398" t="s">
        <v>1530</v>
      </c>
      <c r="G398" t="s">
        <v>150</v>
      </c>
      <c r="H398" t="s">
        <v>1500</v>
      </c>
    </row>
    <row r="399" spans="1:8" x14ac:dyDescent="0.25">
      <c r="A399" t="s">
        <v>587</v>
      </c>
      <c r="B399">
        <v>302</v>
      </c>
      <c r="C399" t="s">
        <v>5</v>
      </c>
      <c r="D399" t="s">
        <v>392</v>
      </c>
      <c r="E399" t="s">
        <v>397</v>
      </c>
      <c r="F399" t="s">
        <v>1531</v>
      </c>
      <c r="G399" t="s">
        <v>150</v>
      </c>
      <c r="H399" t="s">
        <v>1500</v>
      </c>
    </row>
    <row r="400" spans="1:8" x14ac:dyDescent="0.25">
      <c r="A400" t="s">
        <v>588</v>
      </c>
      <c r="B400">
        <v>303</v>
      </c>
      <c r="C400" t="s">
        <v>5</v>
      </c>
      <c r="D400" t="s">
        <v>399</v>
      </c>
      <c r="E400" t="s">
        <v>402</v>
      </c>
      <c r="F400" t="s">
        <v>1530</v>
      </c>
      <c r="G400" t="s">
        <v>150</v>
      </c>
      <c r="H400" t="s">
        <v>1499</v>
      </c>
    </row>
    <row r="401" spans="1:8" x14ac:dyDescent="0.25">
      <c r="A401" t="s">
        <v>589</v>
      </c>
      <c r="B401">
        <v>304</v>
      </c>
      <c r="C401" t="s">
        <v>5</v>
      </c>
      <c r="D401" t="s">
        <v>402</v>
      </c>
      <c r="E401" t="s">
        <v>405</v>
      </c>
      <c r="F401" t="s">
        <v>1531</v>
      </c>
      <c r="G401" t="s">
        <v>150</v>
      </c>
      <c r="H401" t="s">
        <v>1499</v>
      </c>
    </row>
    <row r="402" spans="1:8" x14ac:dyDescent="0.25">
      <c r="A402" t="s">
        <v>590</v>
      </c>
      <c r="B402">
        <v>305</v>
      </c>
      <c r="C402" t="s">
        <v>5</v>
      </c>
      <c r="D402" t="s">
        <v>400</v>
      </c>
      <c r="E402" t="s">
        <v>403</v>
      </c>
      <c r="F402" t="s">
        <v>1530</v>
      </c>
      <c r="G402" t="s">
        <v>150</v>
      </c>
      <c r="H402" t="s">
        <v>1500</v>
      </c>
    </row>
    <row r="403" spans="1:8" x14ac:dyDescent="0.25">
      <c r="A403" t="s">
        <v>591</v>
      </c>
      <c r="B403">
        <v>306</v>
      </c>
      <c r="C403" t="s">
        <v>5</v>
      </c>
      <c r="D403" t="s">
        <v>403</v>
      </c>
      <c r="E403" t="s">
        <v>406</v>
      </c>
      <c r="F403" t="s">
        <v>1531</v>
      </c>
      <c r="G403" t="s">
        <v>150</v>
      </c>
      <c r="H403" t="s">
        <v>1500</v>
      </c>
    </row>
    <row r="404" spans="1:8" x14ac:dyDescent="0.25">
      <c r="A404" t="s">
        <v>753</v>
      </c>
      <c r="B404">
        <v>307</v>
      </c>
      <c r="C404" t="s">
        <v>5</v>
      </c>
      <c r="D404" t="s">
        <v>363</v>
      </c>
      <c r="E404" t="s">
        <v>970</v>
      </c>
      <c r="F404" t="s">
        <v>146</v>
      </c>
      <c r="G404" t="s">
        <v>32</v>
      </c>
      <c r="H404" t="s">
        <v>1501</v>
      </c>
    </row>
    <row r="405" spans="1:8" x14ac:dyDescent="0.25">
      <c r="A405" t="s">
        <v>970</v>
      </c>
      <c r="B405">
        <v>618</v>
      </c>
      <c r="C405" t="s">
        <v>5</v>
      </c>
      <c r="D405" t="s">
        <v>970</v>
      </c>
      <c r="E405" t="s">
        <v>386</v>
      </c>
      <c r="F405" t="s">
        <v>146</v>
      </c>
      <c r="G405" t="s">
        <v>32</v>
      </c>
      <c r="H405" t="s">
        <v>1501</v>
      </c>
    </row>
    <row r="406" spans="1:8" x14ac:dyDescent="0.25">
      <c r="A406" t="s">
        <v>754</v>
      </c>
      <c r="B406">
        <v>308</v>
      </c>
      <c r="C406" t="s">
        <v>5</v>
      </c>
      <c r="D406" t="s">
        <v>364</v>
      </c>
      <c r="E406" t="s">
        <v>910</v>
      </c>
      <c r="F406" t="s">
        <v>146</v>
      </c>
      <c r="G406" t="s">
        <v>32</v>
      </c>
      <c r="H406" t="s">
        <v>1502</v>
      </c>
    </row>
    <row r="407" spans="1:8" x14ac:dyDescent="0.25">
      <c r="A407" t="s">
        <v>910</v>
      </c>
      <c r="B407">
        <v>438</v>
      </c>
      <c r="C407" t="s">
        <v>5</v>
      </c>
      <c r="D407" t="s">
        <v>910</v>
      </c>
      <c r="E407" t="s">
        <v>387</v>
      </c>
      <c r="F407" t="s">
        <v>146</v>
      </c>
      <c r="G407" t="s">
        <v>32</v>
      </c>
      <c r="H407" t="s">
        <v>1502</v>
      </c>
    </row>
    <row r="408" spans="1:8" x14ac:dyDescent="0.25">
      <c r="A408" t="s">
        <v>755</v>
      </c>
      <c r="B408">
        <v>309</v>
      </c>
      <c r="C408" t="s">
        <v>5</v>
      </c>
      <c r="D408" t="s">
        <v>365</v>
      </c>
      <c r="E408" t="s">
        <v>911</v>
      </c>
      <c r="F408" t="s">
        <v>146</v>
      </c>
      <c r="G408" t="s">
        <v>32</v>
      </c>
      <c r="H408" t="s">
        <v>1503</v>
      </c>
    </row>
    <row r="409" spans="1:8" x14ac:dyDescent="0.25">
      <c r="A409" t="s">
        <v>911</v>
      </c>
      <c r="B409">
        <v>439</v>
      </c>
      <c r="C409" t="s">
        <v>5</v>
      </c>
      <c r="D409" t="s">
        <v>911</v>
      </c>
      <c r="E409" t="s">
        <v>388</v>
      </c>
      <c r="F409" t="s">
        <v>146</v>
      </c>
      <c r="G409" t="s">
        <v>32</v>
      </c>
      <c r="H409" t="s">
        <v>1503</v>
      </c>
    </row>
    <row r="410" spans="1:8" x14ac:dyDescent="0.25">
      <c r="A410" t="s">
        <v>756</v>
      </c>
      <c r="B410">
        <v>310</v>
      </c>
      <c r="C410" t="s">
        <v>5</v>
      </c>
      <c r="D410" t="s">
        <v>366</v>
      </c>
      <c r="E410" t="s">
        <v>1000</v>
      </c>
      <c r="F410" t="s">
        <v>146</v>
      </c>
      <c r="G410" t="s">
        <v>32</v>
      </c>
      <c r="H410" t="s">
        <v>1504</v>
      </c>
    </row>
    <row r="411" spans="1:8" x14ac:dyDescent="0.25">
      <c r="A411" t="s">
        <v>1000</v>
      </c>
      <c r="B411">
        <v>708</v>
      </c>
      <c r="C411" t="s">
        <v>5</v>
      </c>
      <c r="D411" t="s">
        <v>1000</v>
      </c>
      <c r="E411" t="s">
        <v>389</v>
      </c>
      <c r="F411" t="s">
        <v>146</v>
      </c>
      <c r="G411" t="s">
        <v>32</v>
      </c>
      <c r="H411" t="s">
        <v>1504</v>
      </c>
    </row>
    <row r="412" spans="1:8" x14ac:dyDescent="0.25">
      <c r="A412" t="s">
        <v>757</v>
      </c>
      <c r="B412">
        <v>311</v>
      </c>
      <c r="C412" t="s">
        <v>5</v>
      </c>
      <c r="D412" t="s">
        <v>372</v>
      </c>
      <c r="E412" t="s">
        <v>971</v>
      </c>
      <c r="F412" t="s">
        <v>146</v>
      </c>
      <c r="G412" t="s">
        <v>32</v>
      </c>
      <c r="H412" t="s">
        <v>1505</v>
      </c>
    </row>
    <row r="413" spans="1:8" x14ac:dyDescent="0.25">
      <c r="A413" t="s">
        <v>971</v>
      </c>
      <c r="B413">
        <v>619</v>
      </c>
      <c r="C413" t="s">
        <v>5</v>
      </c>
      <c r="D413" t="s">
        <v>971</v>
      </c>
      <c r="E413" t="s">
        <v>395</v>
      </c>
      <c r="F413" t="s">
        <v>146</v>
      </c>
      <c r="G413" t="s">
        <v>32</v>
      </c>
      <c r="H413" t="s">
        <v>1505</v>
      </c>
    </row>
    <row r="414" spans="1:8" x14ac:dyDescent="0.25">
      <c r="A414" t="s">
        <v>758</v>
      </c>
      <c r="B414">
        <v>312</v>
      </c>
      <c r="C414" t="s">
        <v>5</v>
      </c>
      <c r="D414" t="s">
        <v>373</v>
      </c>
      <c r="E414" t="s">
        <v>396</v>
      </c>
      <c r="F414" t="s">
        <v>147</v>
      </c>
      <c r="G414" t="s">
        <v>32</v>
      </c>
      <c r="H414" t="s">
        <v>1506</v>
      </c>
    </row>
    <row r="415" spans="1:8" x14ac:dyDescent="0.25">
      <c r="A415" t="s">
        <v>759</v>
      </c>
      <c r="B415">
        <v>313</v>
      </c>
      <c r="C415" t="s">
        <v>5</v>
      </c>
      <c r="D415" t="s">
        <v>374</v>
      </c>
      <c r="E415" t="s">
        <v>397</v>
      </c>
      <c r="F415" t="s">
        <v>147</v>
      </c>
      <c r="G415" t="s">
        <v>32</v>
      </c>
      <c r="H415" t="s">
        <v>1507</v>
      </c>
    </row>
    <row r="416" spans="1:8" x14ac:dyDescent="0.25">
      <c r="A416" t="s">
        <v>760</v>
      </c>
      <c r="B416">
        <v>314</v>
      </c>
      <c r="C416" t="s">
        <v>5</v>
      </c>
      <c r="D416" t="s">
        <v>375</v>
      </c>
      <c r="E416" t="s">
        <v>1001</v>
      </c>
      <c r="F416" t="s">
        <v>146</v>
      </c>
      <c r="G416" t="s">
        <v>32</v>
      </c>
      <c r="H416" t="s">
        <v>1508</v>
      </c>
    </row>
    <row r="417" spans="1:8" x14ac:dyDescent="0.25">
      <c r="A417" t="s">
        <v>1001</v>
      </c>
      <c r="B417">
        <v>709</v>
      </c>
      <c r="C417" t="s">
        <v>5</v>
      </c>
      <c r="D417" t="s">
        <v>1001</v>
      </c>
      <c r="E417" t="s">
        <v>398</v>
      </c>
      <c r="F417" t="s">
        <v>146</v>
      </c>
      <c r="G417" t="s">
        <v>32</v>
      </c>
      <c r="H417" t="s">
        <v>1508</v>
      </c>
    </row>
    <row r="418" spans="1:8" x14ac:dyDescent="0.25">
      <c r="A418" t="s">
        <v>761</v>
      </c>
      <c r="B418">
        <v>315</v>
      </c>
      <c r="C418" t="s">
        <v>5</v>
      </c>
      <c r="D418" t="s">
        <v>376</v>
      </c>
      <c r="E418" t="s">
        <v>940</v>
      </c>
      <c r="F418" t="s">
        <v>146</v>
      </c>
      <c r="G418" t="s">
        <v>32</v>
      </c>
      <c r="H418" t="s">
        <v>1509</v>
      </c>
    </row>
    <row r="419" spans="1:8" x14ac:dyDescent="0.25">
      <c r="A419" t="s">
        <v>940</v>
      </c>
      <c r="B419">
        <v>528</v>
      </c>
      <c r="C419" t="s">
        <v>5</v>
      </c>
      <c r="D419" t="s">
        <v>940</v>
      </c>
      <c r="E419" t="s">
        <v>399</v>
      </c>
      <c r="F419" t="s">
        <v>146</v>
      </c>
      <c r="G419" t="s">
        <v>32</v>
      </c>
      <c r="H419" t="s">
        <v>1509</v>
      </c>
    </row>
    <row r="420" spans="1:8" x14ac:dyDescent="0.25">
      <c r="A420" t="s">
        <v>762</v>
      </c>
      <c r="B420">
        <v>316</v>
      </c>
      <c r="C420" t="s">
        <v>5</v>
      </c>
      <c r="D420" t="s">
        <v>377</v>
      </c>
      <c r="E420" t="s">
        <v>941</v>
      </c>
      <c r="F420" t="s">
        <v>146</v>
      </c>
      <c r="G420" t="s">
        <v>32</v>
      </c>
      <c r="H420" t="s">
        <v>1510</v>
      </c>
    </row>
    <row r="421" spans="1:8" x14ac:dyDescent="0.25">
      <c r="A421" t="s">
        <v>941</v>
      </c>
      <c r="B421">
        <v>529</v>
      </c>
      <c r="C421" t="s">
        <v>5</v>
      </c>
      <c r="D421" t="s">
        <v>941</v>
      </c>
      <c r="E421" t="s">
        <v>400</v>
      </c>
      <c r="F421" t="s">
        <v>146</v>
      </c>
      <c r="G421" t="s">
        <v>32</v>
      </c>
      <c r="H421" t="s">
        <v>1510</v>
      </c>
    </row>
    <row r="422" spans="1:8" x14ac:dyDescent="0.25">
      <c r="A422" t="s">
        <v>763</v>
      </c>
      <c r="B422">
        <v>317</v>
      </c>
      <c r="C422" t="s">
        <v>5</v>
      </c>
      <c r="D422" t="s">
        <v>381</v>
      </c>
      <c r="E422" t="s">
        <v>404</v>
      </c>
      <c r="F422" t="s">
        <v>147</v>
      </c>
      <c r="G422" t="s">
        <v>32</v>
      </c>
      <c r="H422" t="s">
        <v>1511</v>
      </c>
    </row>
    <row r="423" spans="1:8" x14ac:dyDescent="0.25">
      <c r="A423" t="s">
        <v>764</v>
      </c>
      <c r="B423">
        <v>318</v>
      </c>
      <c r="C423" t="s">
        <v>5</v>
      </c>
      <c r="D423" t="s">
        <v>382</v>
      </c>
      <c r="E423" t="s">
        <v>405</v>
      </c>
      <c r="F423" t="s">
        <v>147</v>
      </c>
      <c r="G423" t="s">
        <v>32</v>
      </c>
      <c r="H423" t="s">
        <v>1512</v>
      </c>
    </row>
    <row r="424" spans="1:8" x14ac:dyDescent="0.25">
      <c r="A424" t="s">
        <v>765</v>
      </c>
      <c r="B424">
        <v>319</v>
      </c>
      <c r="C424" t="s">
        <v>5</v>
      </c>
      <c r="D424" t="s">
        <v>383</v>
      </c>
      <c r="E424" t="s">
        <v>406</v>
      </c>
      <c r="F424" t="s">
        <v>147</v>
      </c>
      <c r="G424" t="s">
        <v>32</v>
      </c>
      <c r="H424" t="s">
        <v>1513</v>
      </c>
    </row>
    <row r="425" spans="1:8" x14ac:dyDescent="0.25">
      <c r="A425" t="s">
        <v>766</v>
      </c>
      <c r="B425">
        <v>320</v>
      </c>
      <c r="C425" t="s">
        <v>5</v>
      </c>
      <c r="D425" t="s">
        <v>384</v>
      </c>
      <c r="E425" t="s">
        <v>407</v>
      </c>
      <c r="F425" t="s">
        <v>147</v>
      </c>
      <c r="G425" t="s">
        <v>32</v>
      </c>
      <c r="H425" t="s">
        <v>1514</v>
      </c>
    </row>
    <row r="426" spans="1:8" x14ac:dyDescent="0.25">
      <c r="A426" t="s">
        <v>767</v>
      </c>
      <c r="B426">
        <v>321</v>
      </c>
      <c r="C426" t="s">
        <v>5</v>
      </c>
      <c r="D426" t="s">
        <v>367</v>
      </c>
      <c r="E426" t="s">
        <v>909</v>
      </c>
      <c r="F426" t="s">
        <v>144</v>
      </c>
      <c r="G426" t="s">
        <v>31</v>
      </c>
      <c r="H426" t="s">
        <v>1515</v>
      </c>
    </row>
    <row r="427" spans="1:8" x14ac:dyDescent="0.25">
      <c r="A427" t="s">
        <v>909</v>
      </c>
      <c r="B427">
        <v>437</v>
      </c>
      <c r="C427" t="s">
        <v>5</v>
      </c>
      <c r="D427" t="s">
        <v>909</v>
      </c>
      <c r="E427" t="s">
        <v>390</v>
      </c>
      <c r="F427" t="s">
        <v>144</v>
      </c>
      <c r="G427" t="s">
        <v>31</v>
      </c>
      <c r="H427" t="s">
        <v>1515</v>
      </c>
    </row>
    <row r="428" spans="1:8" x14ac:dyDescent="0.25">
      <c r="A428" t="s">
        <v>768</v>
      </c>
      <c r="B428">
        <v>322</v>
      </c>
      <c r="C428" t="s">
        <v>5</v>
      </c>
      <c r="D428" t="s">
        <v>378</v>
      </c>
      <c r="E428" t="s">
        <v>939</v>
      </c>
      <c r="F428" t="s">
        <v>144</v>
      </c>
      <c r="G428" t="s">
        <v>31</v>
      </c>
      <c r="H428" t="s">
        <v>1516</v>
      </c>
    </row>
    <row r="429" spans="1:8" x14ac:dyDescent="0.25">
      <c r="A429" t="s">
        <v>939</v>
      </c>
      <c r="B429">
        <v>527</v>
      </c>
      <c r="C429" t="s">
        <v>5</v>
      </c>
      <c r="D429" t="s">
        <v>939</v>
      </c>
      <c r="E429" t="s">
        <v>401</v>
      </c>
      <c r="F429" t="s">
        <v>144</v>
      </c>
      <c r="G429" t="s">
        <v>31</v>
      </c>
      <c r="H429" t="s">
        <v>1516</v>
      </c>
    </row>
    <row r="430" spans="1:8" x14ac:dyDescent="0.25">
      <c r="A430" t="s">
        <v>769</v>
      </c>
      <c r="B430">
        <v>323</v>
      </c>
      <c r="C430" t="s">
        <v>5</v>
      </c>
      <c r="D430" t="s">
        <v>370</v>
      </c>
      <c r="E430" t="s">
        <v>969</v>
      </c>
      <c r="F430" t="s">
        <v>145</v>
      </c>
      <c r="G430" t="s">
        <v>32</v>
      </c>
      <c r="H430" t="s">
        <v>1517</v>
      </c>
    </row>
    <row r="431" spans="1:8" x14ac:dyDescent="0.25">
      <c r="A431" t="s">
        <v>969</v>
      </c>
      <c r="B431">
        <v>617</v>
      </c>
      <c r="C431" t="s">
        <v>5</v>
      </c>
      <c r="D431" t="s">
        <v>969</v>
      </c>
      <c r="E431" t="s">
        <v>393</v>
      </c>
      <c r="F431" t="s">
        <v>145</v>
      </c>
      <c r="G431" t="s">
        <v>32</v>
      </c>
      <c r="H431" t="s">
        <v>1517</v>
      </c>
    </row>
    <row r="432" spans="1:8" x14ac:dyDescent="0.25">
      <c r="A432" t="s">
        <v>770</v>
      </c>
      <c r="B432">
        <v>324</v>
      </c>
      <c r="C432" t="s">
        <v>5</v>
      </c>
      <c r="D432" t="s">
        <v>371</v>
      </c>
      <c r="E432" t="s">
        <v>999</v>
      </c>
      <c r="F432" t="s">
        <v>145</v>
      </c>
      <c r="G432" t="s">
        <v>32</v>
      </c>
      <c r="H432" t="s">
        <v>1518</v>
      </c>
    </row>
    <row r="433" spans="1:8" x14ac:dyDescent="0.25">
      <c r="A433" t="s">
        <v>999</v>
      </c>
      <c r="B433">
        <v>707</v>
      </c>
      <c r="C433" t="s">
        <v>5</v>
      </c>
      <c r="D433" t="s">
        <v>999</v>
      </c>
      <c r="E433" t="s">
        <v>394</v>
      </c>
      <c r="F433" t="s">
        <v>145</v>
      </c>
      <c r="G433" t="s">
        <v>32</v>
      </c>
      <c r="H433" t="s">
        <v>1518</v>
      </c>
    </row>
    <row r="434" spans="1:8" x14ac:dyDescent="0.25">
      <c r="A434" t="s">
        <v>592</v>
      </c>
      <c r="B434">
        <v>325</v>
      </c>
      <c r="C434" t="s">
        <v>5</v>
      </c>
      <c r="D434" t="s">
        <v>409</v>
      </c>
      <c r="E434" t="s">
        <v>410</v>
      </c>
      <c r="F434" t="s">
        <v>1532</v>
      </c>
      <c r="G434" t="s">
        <v>150</v>
      </c>
      <c r="H434" t="s">
        <v>1495</v>
      </c>
    </row>
    <row r="435" spans="1:8" x14ac:dyDescent="0.25">
      <c r="A435" t="s">
        <v>593</v>
      </c>
      <c r="B435">
        <v>326</v>
      </c>
      <c r="C435" t="s">
        <v>5</v>
      </c>
      <c r="D435" t="s">
        <v>411</v>
      </c>
      <c r="E435" t="s">
        <v>412</v>
      </c>
      <c r="F435" t="s">
        <v>1532</v>
      </c>
      <c r="G435" t="s">
        <v>150</v>
      </c>
      <c r="H435" t="s">
        <v>1495</v>
      </c>
    </row>
    <row r="436" spans="1:8" x14ac:dyDescent="0.25">
      <c r="A436" t="s">
        <v>594</v>
      </c>
      <c r="B436">
        <v>327</v>
      </c>
      <c r="C436" t="s">
        <v>5</v>
      </c>
      <c r="D436" t="s">
        <v>414</v>
      </c>
      <c r="E436" t="s">
        <v>415</v>
      </c>
      <c r="F436" t="s">
        <v>1532</v>
      </c>
      <c r="G436" t="s">
        <v>150</v>
      </c>
      <c r="H436" t="s">
        <v>1495</v>
      </c>
    </row>
    <row r="437" spans="1:8" x14ac:dyDescent="0.25">
      <c r="A437" t="s">
        <v>595</v>
      </c>
      <c r="B437">
        <v>328</v>
      </c>
      <c r="C437" t="s">
        <v>5</v>
      </c>
      <c r="D437" t="s">
        <v>418</v>
      </c>
      <c r="E437" t="s">
        <v>419</v>
      </c>
      <c r="F437" t="s">
        <v>1532</v>
      </c>
      <c r="G437" t="s">
        <v>150</v>
      </c>
      <c r="H437" t="s">
        <v>1496</v>
      </c>
    </row>
    <row r="438" spans="1:8" x14ac:dyDescent="0.25">
      <c r="A438" t="s">
        <v>596</v>
      </c>
      <c r="B438">
        <v>329</v>
      </c>
      <c r="C438" t="s">
        <v>5</v>
      </c>
      <c r="D438" t="s">
        <v>419</v>
      </c>
      <c r="E438" t="s">
        <v>420</v>
      </c>
      <c r="F438" t="s">
        <v>1532</v>
      </c>
      <c r="G438" t="s">
        <v>150</v>
      </c>
      <c r="H438" t="s">
        <v>1496</v>
      </c>
    </row>
    <row r="439" spans="1:8" x14ac:dyDescent="0.25">
      <c r="A439" t="s">
        <v>597</v>
      </c>
      <c r="B439">
        <v>330</v>
      </c>
      <c r="C439" t="s">
        <v>5</v>
      </c>
      <c r="D439" t="s">
        <v>420</v>
      </c>
      <c r="E439" t="s">
        <v>421</v>
      </c>
      <c r="F439" t="s">
        <v>1532</v>
      </c>
      <c r="G439" t="s">
        <v>150</v>
      </c>
      <c r="H439" t="s">
        <v>1496</v>
      </c>
    </row>
    <row r="440" spans="1:8" x14ac:dyDescent="0.25">
      <c r="A440" t="s">
        <v>598</v>
      </c>
      <c r="B440">
        <v>331</v>
      </c>
      <c r="C440" t="s">
        <v>5</v>
      </c>
      <c r="D440" t="s">
        <v>425</v>
      </c>
      <c r="E440" t="s">
        <v>426</v>
      </c>
      <c r="F440" t="s">
        <v>1532</v>
      </c>
      <c r="G440" t="s">
        <v>150</v>
      </c>
      <c r="H440" t="s">
        <v>1497</v>
      </c>
    </row>
    <row r="441" spans="1:8" x14ac:dyDescent="0.25">
      <c r="A441" t="s">
        <v>599</v>
      </c>
      <c r="B441">
        <v>332</v>
      </c>
      <c r="C441" t="s">
        <v>5</v>
      </c>
      <c r="D441" t="s">
        <v>427</v>
      </c>
      <c r="E441" t="s">
        <v>428</v>
      </c>
      <c r="F441" t="s">
        <v>1532</v>
      </c>
      <c r="G441" t="s">
        <v>150</v>
      </c>
      <c r="H441" t="s">
        <v>1498</v>
      </c>
    </row>
    <row r="442" spans="1:8" x14ac:dyDescent="0.25">
      <c r="A442" t="s">
        <v>600</v>
      </c>
      <c r="B442">
        <v>333</v>
      </c>
      <c r="C442" t="s">
        <v>5</v>
      </c>
      <c r="D442" t="s">
        <v>428</v>
      </c>
      <c r="E442" t="s">
        <v>429</v>
      </c>
      <c r="F442" t="s">
        <v>1532</v>
      </c>
      <c r="G442" t="s">
        <v>150</v>
      </c>
      <c r="H442" t="s">
        <v>1498</v>
      </c>
    </row>
    <row r="443" spans="1:8" x14ac:dyDescent="0.25">
      <c r="A443" t="s">
        <v>601</v>
      </c>
      <c r="B443">
        <v>334</v>
      </c>
      <c r="C443" t="s">
        <v>5</v>
      </c>
      <c r="D443" t="s">
        <v>429</v>
      </c>
      <c r="E443" t="s">
        <v>430</v>
      </c>
      <c r="F443" t="s">
        <v>1532</v>
      </c>
      <c r="G443" t="s">
        <v>150</v>
      </c>
      <c r="H443" t="s">
        <v>1498</v>
      </c>
    </row>
    <row r="444" spans="1:8" x14ac:dyDescent="0.25">
      <c r="A444" t="s">
        <v>602</v>
      </c>
      <c r="B444">
        <v>335</v>
      </c>
      <c r="C444" t="s">
        <v>5</v>
      </c>
      <c r="D444" t="s">
        <v>410</v>
      </c>
      <c r="E444" t="s">
        <v>414</v>
      </c>
      <c r="F444" t="s">
        <v>1530</v>
      </c>
      <c r="G444" t="s">
        <v>150</v>
      </c>
      <c r="H444" t="s">
        <v>1499</v>
      </c>
    </row>
    <row r="445" spans="1:8" x14ac:dyDescent="0.25">
      <c r="A445" t="s">
        <v>603</v>
      </c>
      <c r="B445">
        <v>336</v>
      </c>
      <c r="C445" t="s">
        <v>5</v>
      </c>
      <c r="D445" t="s">
        <v>414</v>
      </c>
      <c r="E445" t="s">
        <v>419</v>
      </c>
      <c r="F445" t="s">
        <v>1531</v>
      </c>
      <c r="G445" t="s">
        <v>150</v>
      </c>
      <c r="H445" t="s">
        <v>1499</v>
      </c>
    </row>
    <row r="446" spans="1:8" x14ac:dyDescent="0.25">
      <c r="A446" t="s">
        <v>604</v>
      </c>
      <c r="B446">
        <v>337</v>
      </c>
      <c r="C446" t="s">
        <v>5</v>
      </c>
      <c r="D446" t="s">
        <v>411</v>
      </c>
      <c r="E446" t="s">
        <v>415</v>
      </c>
      <c r="F446" t="s">
        <v>1530</v>
      </c>
      <c r="G446" t="s">
        <v>150</v>
      </c>
      <c r="H446" t="s">
        <v>1500</v>
      </c>
    </row>
    <row r="447" spans="1:8" x14ac:dyDescent="0.25">
      <c r="A447" t="s">
        <v>605</v>
      </c>
      <c r="B447">
        <v>338</v>
      </c>
      <c r="C447" t="s">
        <v>5</v>
      </c>
      <c r="D447" t="s">
        <v>415</v>
      </c>
      <c r="E447" t="s">
        <v>420</v>
      </c>
      <c r="F447" t="s">
        <v>1531</v>
      </c>
      <c r="G447" t="s">
        <v>150</v>
      </c>
      <c r="H447" t="s">
        <v>1500</v>
      </c>
    </row>
    <row r="448" spans="1:8" x14ac:dyDescent="0.25">
      <c r="A448" t="s">
        <v>606</v>
      </c>
      <c r="B448">
        <v>339</v>
      </c>
      <c r="C448" t="s">
        <v>5</v>
      </c>
      <c r="D448" t="s">
        <v>422</v>
      </c>
      <c r="E448" t="s">
        <v>425</v>
      </c>
      <c r="F448" t="s">
        <v>1530</v>
      </c>
      <c r="G448" t="s">
        <v>150</v>
      </c>
      <c r="H448" t="s">
        <v>1499</v>
      </c>
    </row>
    <row r="449" spans="1:8" x14ac:dyDescent="0.25">
      <c r="A449" t="s">
        <v>607</v>
      </c>
      <c r="B449">
        <v>340</v>
      </c>
      <c r="C449" t="s">
        <v>5</v>
      </c>
      <c r="D449" t="s">
        <v>425</v>
      </c>
      <c r="E449" t="s">
        <v>428</v>
      </c>
      <c r="F449" t="s">
        <v>1531</v>
      </c>
      <c r="G449" t="s">
        <v>150</v>
      </c>
      <c r="H449" t="s">
        <v>1499</v>
      </c>
    </row>
    <row r="450" spans="1:8" x14ac:dyDescent="0.25">
      <c r="A450" t="s">
        <v>608</v>
      </c>
      <c r="B450">
        <v>341</v>
      </c>
      <c r="C450" t="s">
        <v>5</v>
      </c>
      <c r="D450" t="s">
        <v>423</v>
      </c>
      <c r="E450" t="s">
        <v>426</v>
      </c>
      <c r="F450" t="s">
        <v>1530</v>
      </c>
      <c r="G450" t="s">
        <v>150</v>
      </c>
      <c r="H450" t="s">
        <v>1500</v>
      </c>
    </row>
    <row r="451" spans="1:8" x14ac:dyDescent="0.25">
      <c r="A451" t="s">
        <v>609</v>
      </c>
      <c r="B451">
        <v>342</v>
      </c>
      <c r="C451" t="s">
        <v>5</v>
      </c>
      <c r="D451" t="s">
        <v>426</v>
      </c>
      <c r="E451" t="s">
        <v>429</v>
      </c>
      <c r="F451" t="s">
        <v>1531</v>
      </c>
      <c r="G451" t="s">
        <v>150</v>
      </c>
      <c r="H451" t="s">
        <v>1500</v>
      </c>
    </row>
    <row r="452" spans="1:8" x14ac:dyDescent="0.25">
      <c r="A452" t="s">
        <v>771</v>
      </c>
      <c r="B452">
        <v>343</v>
      </c>
      <c r="C452" t="s">
        <v>5</v>
      </c>
      <c r="D452" t="s">
        <v>386</v>
      </c>
      <c r="E452" t="s">
        <v>973</v>
      </c>
      <c r="F452" t="s">
        <v>146</v>
      </c>
      <c r="G452" t="s">
        <v>32</v>
      </c>
      <c r="H452" t="s">
        <v>1501</v>
      </c>
    </row>
    <row r="453" spans="1:8" x14ac:dyDescent="0.25">
      <c r="A453" t="s">
        <v>973</v>
      </c>
      <c r="B453">
        <v>627</v>
      </c>
      <c r="C453" t="s">
        <v>5</v>
      </c>
      <c r="D453" t="s">
        <v>973</v>
      </c>
      <c r="E453" t="s">
        <v>409</v>
      </c>
      <c r="F453" t="s">
        <v>146</v>
      </c>
      <c r="G453" t="s">
        <v>32</v>
      </c>
      <c r="H453" t="s">
        <v>1501</v>
      </c>
    </row>
    <row r="454" spans="1:8" x14ac:dyDescent="0.25">
      <c r="A454" t="s">
        <v>772</v>
      </c>
      <c r="B454">
        <v>344</v>
      </c>
      <c r="C454" t="s">
        <v>5</v>
      </c>
      <c r="D454" t="s">
        <v>387</v>
      </c>
      <c r="E454" t="s">
        <v>913</v>
      </c>
      <c r="F454" t="s">
        <v>146</v>
      </c>
      <c r="G454" t="s">
        <v>32</v>
      </c>
      <c r="H454" t="s">
        <v>1502</v>
      </c>
    </row>
    <row r="455" spans="1:8" x14ac:dyDescent="0.25">
      <c r="A455" t="s">
        <v>913</v>
      </c>
      <c r="B455">
        <v>447</v>
      </c>
      <c r="C455" t="s">
        <v>5</v>
      </c>
      <c r="D455" t="s">
        <v>913</v>
      </c>
      <c r="E455" t="s">
        <v>410</v>
      </c>
      <c r="F455" t="s">
        <v>146</v>
      </c>
      <c r="G455" t="s">
        <v>32</v>
      </c>
      <c r="H455" t="s">
        <v>1502</v>
      </c>
    </row>
    <row r="456" spans="1:8" x14ac:dyDescent="0.25">
      <c r="A456" t="s">
        <v>773</v>
      </c>
      <c r="B456">
        <v>345</v>
      </c>
      <c r="C456" t="s">
        <v>5</v>
      </c>
      <c r="D456" t="s">
        <v>388</v>
      </c>
      <c r="E456" t="s">
        <v>914</v>
      </c>
      <c r="F456" t="s">
        <v>146</v>
      </c>
      <c r="G456" t="s">
        <v>32</v>
      </c>
      <c r="H456" t="s">
        <v>1503</v>
      </c>
    </row>
    <row r="457" spans="1:8" x14ac:dyDescent="0.25">
      <c r="A457" t="s">
        <v>914</v>
      </c>
      <c r="B457">
        <v>448</v>
      </c>
      <c r="C457" t="s">
        <v>5</v>
      </c>
      <c r="D457" t="s">
        <v>914</v>
      </c>
      <c r="E457" t="s">
        <v>411</v>
      </c>
      <c r="F457" t="s">
        <v>146</v>
      </c>
      <c r="G457" t="s">
        <v>32</v>
      </c>
      <c r="H457" t="s">
        <v>1503</v>
      </c>
    </row>
    <row r="458" spans="1:8" x14ac:dyDescent="0.25">
      <c r="A458" t="s">
        <v>774</v>
      </c>
      <c r="B458">
        <v>346</v>
      </c>
      <c r="C458" t="s">
        <v>5</v>
      </c>
      <c r="D458" t="s">
        <v>389</v>
      </c>
      <c r="E458" t="s">
        <v>1003</v>
      </c>
      <c r="F458" t="s">
        <v>146</v>
      </c>
      <c r="G458" t="s">
        <v>32</v>
      </c>
      <c r="H458" t="s">
        <v>1504</v>
      </c>
    </row>
    <row r="459" spans="1:8" x14ac:dyDescent="0.25">
      <c r="A459" t="s">
        <v>1003</v>
      </c>
      <c r="B459">
        <v>717</v>
      </c>
      <c r="C459" t="s">
        <v>5</v>
      </c>
      <c r="D459" t="s">
        <v>1003</v>
      </c>
      <c r="E459" t="s">
        <v>412</v>
      </c>
      <c r="F459" t="s">
        <v>146</v>
      </c>
      <c r="G459" t="s">
        <v>32</v>
      </c>
      <c r="H459" t="s">
        <v>1504</v>
      </c>
    </row>
    <row r="460" spans="1:8" x14ac:dyDescent="0.25">
      <c r="A460" t="s">
        <v>775</v>
      </c>
      <c r="B460">
        <v>347</v>
      </c>
      <c r="C460" t="s">
        <v>5</v>
      </c>
      <c r="D460" t="s">
        <v>395</v>
      </c>
      <c r="E460" t="s">
        <v>974</v>
      </c>
      <c r="F460" t="s">
        <v>146</v>
      </c>
      <c r="G460" t="s">
        <v>32</v>
      </c>
      <c r="H460" t="s">
        <v>1505</v>
      </c>
    </row>
    <row r="461" spans="1:8" x14ac:dyDescent="0.25">
      <c r="A461" t="s">
        <v>974</v>
      </c>
      <c r="B461">
        <v>628</v>
      </c>
      <c r="C461" t="s">
        <v>5</v>
      </c>
      <c r="D461" t="s">
        <v>974</v>
      </c>
      <c r="E461" t="s">
        <v>418</v>
      </c>
      <c r="F461" t="s">
        <v>146</v>
      </c>
      <c r="G461" t="s">
        <v>32</v>
      </c>
      <c r="H461" t="s">
        <v>1505</v>
      </c>
    </row>
    <row r="462" spans="1:8" x14ac:dyDescent="0.25">
      <c r="A462" t="s">
        <v>776</v>
      </c>
      <c r="B462">
        <v>348</v>
      </c>
      <c r="C462" t="s">
        <v>5</v>
      </c>
      <c r="D462" t="s">
        <v>396</v>
      </c>
      <c r="E462" t="s">
        <v>419</v>
      </c>
      <c r="F462" t="s">
        <v>147</v>
      </c>
      <c r="G462" t="s">
        <v>32</v>
      </c>
      <c r="H462" t="s">
        <v>1506</v>
      </c>
    </row>
    <row r="463" spans="1:8" x14ac:dyDescent="0.25">
      <c r="A463" t="s">
        <v>777</v>
      </c>
      <c r="B463">
        <v>349</v>
      </c>
      <c r="C463" t="s">
        <v>5</v>
      </c>
      <c r="D463" t="s">
        <v>397</v>
      </c>
      <c r="E463" t="s">
        <v>420</v>
      </c>
      <c r="F463" t="s">
        <v>147</v>
      </c>
      <c r="G463" t="s">
        <v>32</v>
      </c>
      <c r="H463" t="s">
        <v>1507</v>
      </c>
    </row>
    <row r="464" spans="1:8" x14ac:dyDescent="0.25">
      <c r="A464" t="s">
        <v>778</v>
      </c>
      <c r="B464">
        <v>350</v>
      </c>
      <c r="C464" t="s">
        <v>5</v>
      </c>
      <c r="D464" t="s">
        <v>398</v>
      </c>
      <c r="E464" t="s">
        <v>1004</v>
      </c>
      <c r="F464" t="s">
        <v>146</v>
      </c>
      <c r="G464" t="s">
        <v>32</v>
      </c>
      <c r="H464" t="s">
        <v>1508</v>
      </c>
    </row>
    <row r="465" spans="1:8" x14ac:dyDescent="0.25">
      <c r="A465" t="s">
        <v>1004</v>
      </c>
      <c r="B465">
        <v>718</v>
      </c>
      <c r="C465" t="s">
        <v>5</v>
      </c>
      <c r="D465" t="s">
        <v>1004</v>
      </c>
      <c r="E465" t="s">
        <v>421</v>
      </c>
      <c r="F465" t="s">
        <v>146</v>
      </c>
      <c r="G465" t="s">
        <v>32</v>
      </c>
      <c r="H465" t="s">
        <v>1508</v>
      </c>
    </row>
    <row r="466" spans="1:8" x14ac:dyDescent="0.25">
      <c r="A466" t="s">
        <v>779</v>
      </c>
      <c r="B466">
        <v>351</v>
      </c>
      <c r="C466" t="s">
        <v>5</v>
      </c>
      <c r="D466" t="s">
        <v>399</v>
      </c>
      <c r="E466" t="s">
        <v>943</v>
      </c>
      <c r="F466" t="s">
        <v>146</v>
      </c>
      <c r="G466" t="s">
        <v>32</v>
      </c>
      <c r="H466" t="s">
        <v>1509</v>
      </c>
    </row>
    <row r="467" spans="1:8" x14ac:dyDescent="0.25">
      <c r="A467" t="s">
        <v>943</v>
      </c>
      <c r="B467">
        <v>537</v>
      </c>
      <c r="C467" t="s">
        <v>5</v>
      </c>
      <c r="D467" t="s">
        <v>943</v>
      </c>
      <c r="E467" t="s">
        <v>422</v>
      </c>
      <c r="F467" t="s">
        <v>146</v>
      </c>
      <c r="G467" t="s">
        <v>32</v>
      </c>
      <c r="H467" t="s">
        <v>1509</v>
      </c>
    </row>
    <row r="468" spans="1:8" x14ac:dyDescent="0.25">
      <c r="A468" t="s">
        <v>780</v>
      </c>
      <c r="B468">
        <v>352</v>
      </c>
      <c r="C468" t="s">
        <v>5</v>
      </c>
      <c r="D468" t="s">
        <v>400</v>
      </c>
      <c r="E468" t="s">
        <v>944</v>
      </c>
      <c r="F468" t="s">
        <v>146</v>
      </c>
      <c r="G468" t="s">
        <v>32</v>
      </c>
      <c r="H468" t="s">
        <v>1510</v>
      </c>
    </row>
    <row r="469" spans="1:8" x14ac:dyDescent="0.25">
      <c r="A469" t="s">
        <v>944</v>
      </c>
      <c r="B469">
        <v>538</v>
      </c>
      <c r="C469" t="s">
        <v>5</v>
      </c>
      <c r="D469" t="s">
        <v>944</v>
      </c>
      <c r="E469" t="s">
        <v>423</v>
      </c>
      <c r="F469" t="s">
        <v>146</v>
      </c>
      <c r="G469" t="s">
        <v>32</v>
      </c>
      <c r="H469" t="s">
        <v>1510</v>
      </c>
    </row>
    <row r="470" spans="1:8" x14ac:dyDescent="0.25">
      <c r="A470" t="s">
        <v>781</v>
      </c>
      <c r="B470">
        <v>353</v>
      </c>
      <c r="C470" t="s">
        <v>5</v>
      </c>
      <c r="D470" t="s">
        <v>404</v>
      </c>
      <c r="E470" t="s">
        <v>427</v>
      </c>
      <c r="F470" t="s">
        <v>147</v>
      </c>
      <c r="G470" t="s">
        <v>32</v>
      </c>
      <c r="H470" t="s">
        <v>1511</v>
      </c>
    </row>
    <row r="471" spans="1:8" x14ac:dyDescent="0.25">
      <c r="A471" t="s">
        <v>782</v>
      </c>
      <c r="B471">
        <v>354</v>
      </c>
      <c r="C471" t="s">
        <v>5</v>
      </c>
      <c r="D471" t="s">
        <v>405</v>
      </c>
      <c r="E471" t="s">
        <v>428</v>
      </c>
      <c r="F471" t="s">
        <v>147</v>
      </c>
      <c r="G471" t="s">
        <v>32</v>
      </c>
      <c r="H471" t="s">
        <v>1512</v>
      </c>
    </row>
    <row r="472" spans="1:8" x14ac:dyDescent="0.25">
      <c r="A472" t="s">
        <v>783</v>
      </c>
      <c r="B472">
        <v>355</v>
      </c>
      <c r="C472" t="s">
        <v>5</v>
      </c>
      <c r="D472" t="s">
        <v>406</v>
      </c>
      <c r="E472" t="s">
        <v>429</v>
      </c>
      <c r="F472" t="s">
        <v>147</v>
      </c>
      <c r="G472" t="s">
        <v>32</v>
      </c>
      <c r="H472" t="s">
        <v>1513</v>
      </c>
    </row>
    <row r="473" spans="1:8" x14ac:dyDescent="0.25">
      <c r="A473" t="s">
        <v>784</v>
      </c>
      <c r="B473">
        <v>356</v>
      </c>
      <c r="C473" t="s">
        <v>5</v>
      </c>
      <c r="D473" t="s">
        <v>407</v>
      </c>
      <c r="E473" t="s">
        <v>430</v>
      </c>
      <c r="F473" t="s">
        <v>147</v>
      </c>
      <c r="G473" t="s">
        <v>32</v>
      </c>
      <c r="H473" t="s">
        <v>1514</v>
      </c>
    </row>
    <row r="474" spans="1:8" x14ac:dyDescent="0.25">
      <c r="A474" t="s">
        <v>785</v>
      </c>
      <c r="B474">
        <v>357</v>
      </c>
      <c r="C474" t="s">
        <v>5</v>
      </c>
      <c r="D474" t="s">
        <v>390</v>
      </c>
      <c r="E474" t="s">
        <v>912</v>
      </c>
      <c r="F474" t="s">
        <v>144</v>
      </c>
      <c r="G474" t="s">
        <v>31</v>
      </c>
      <c r="H474" t="s">
        <v>1515</v>
      </c>
    </row>
    <row r="475" spans="1:8" x14ac:dyDescent="0.25">
      <c r="A475" t="s">
        <v>912</v>
      </c>
      <c r="B475">
        <v>446</v>
      </c>
      <c r="C475" t="s">
        <v>5</v>
      </c>
      <c r="D475" t="s">
        <v>912</v>
      </c>
      <c r="E475" t="s">
        <v>413</v>
      </c>
      <c r="F475" t="s">
        <v>144</v>
      </c>
      <c r="G475" t="s">
        <v>31</v>
      </c>
      <c r="H475" t="s">
        <v>1515</v>
      </c>
    </row>
    <row r="476" spans="1:8" x14ac:dyDescent="0.25">
      <c r="A476" t="s">
        <v>786</v>
      </c>
      <c r="B476">
        <v>358</v>
      </c>
      <c r="C476" t="s">
        <v>5</v>
      </c>
      <c r="D476" t="s">
        <v>401</v>
      </c>
      <c r="E476" t="s">
        <v>942</v>
      </c>
      <c r="F476" t="s">
        <v>144</v>
      </c>
      <c r="G476" t="s">
        <v>31</v>
      </c>
      <c r="H476" t="s">
        <v>1516</v>
      </c>
    </row>
    <row r="477" spans="1:8" x14ac:dyDescent="0.25">
      <c r="A477" t="s">
        <v>942</v>
      </c>
      <c r="B477">
        <v>536</v>
      </c>
      <c r="C477" t="s">
        <v>5</v>
      </c>
      <c r="D477" t="s">
        <v>942</v>
      </c>
      <c r="E477" t="s">
        <v>424</v>
      </c>
      <c r="F477" t="s">
        <v>144</v>
      </c>
      <c r="G477" t="s">
        <v>31</v>
      </c>
      <c r="H477" t="s">
        <v>1516</v>
      </c>
    </row>
    <row r="478" spans="1:8" x14ac:dyDescent="0.25">
      <c r="A478" t="s">
        <v>787</v>
      </c>
      <c r="B478">
        <v>359</v>
      </c>
      <c r="C478" t="s">
        <v>5</v>
      </c>
      <c r="D478" t="s">
        <v>393</v>
      </c>
      <c r="E478" t="s">
        <v>972</v>
      </c>
      <c r="F478" t="s">
        <v>145</v>
      </c>
      <c r="G478" t="s">
        <v>32</v>
      </c>
      <c r="H478" t="s">
        <v>1517</v>
      </c>
    </row>
    <row r="479" spans="1:8" x14ac:dyDescent="0.25">
      <c r="A479" t="s">
        <v>972</v>
      </c>
      <c r="B479">
        <v>626</v>
      </c>
      <c r="C479" t="s">
        <v>5</v>
      </c>
      <c r="D479" t="s">
        <v>972</v>
      </c>
      <c r="E479" t="s">
        <v>416</v>
      </c>
      <c r="F479" t="s">
        <v>145</v>
      </c>
      <c r="G479" t="s">
        <v>32</v>
      </c>
      <c r="H479" t="s">
        <v>1517</v>
      </c>
    </row>
    <row r="480" spans="1:8" x14ac:dyDescent="0.25">
      <c r="A480" t="s">
        <v>788</v>
      </c>
      <c r="B480">
        <v>360</v>
      </c>
      <c r="C480" t="s">
        <v>5</v>
      </c>
      <c r="D480" t="s">
        <v>394</v>
      </c>
      <c r="E480" t="s">
        <v>1002</v>
      </c>
      <c r="F480" t="s">
        <v>145</v>
      </c>
      <c r="G480" t="s">
        <v>32</v>
      </c>
      <c r="H480" t="s">
        <v>1518</v>
      </c>
    </row>
    <row r="481" spans="1:8" x14ac:dyDescent="0.25">
      <c r="A481" t="s">
        <v>1002</v>
      </c>
      <c r="B481">
        <v>716</v>
      </c>
      <c r="C481" t="s">
        <v>5</v>
      </c>
      <c r="D481" t="s">
        <v>1002</v>
      </c>
      <c r="E481" t="s">
        <v>417</v>
      </c>
      <c r="F481" t="s">
        <v>145</v>
      </c>
      <c r="G481" t="s">
        <v>32</v>
      </c>
      <c r="H481" t="s">
        <v>1518</v>
      </c>
    </row>
    <row r="482" spans="1:8" x14ac:dyDescent="0.25">
      <c r="A482" t="s">
        <v>1006</v>
      </c>
      <c r="B482">
        <v>361</v>
      </c>
      <c r="C482" t="s">
        <v>5</v>
      </c>
      <c r="D482" t="s">
        <v>413</v>
      </c>
      <c r="E482" t="s">
        <v>1007</v>
      </c>
      <c r="F482" t="s">
        <v>144</v>
      </c>
      <c r="G482" t="s">
        <v>31</v>
      </c>
    </row>
    <row r="483" spans="1:8" x14ac:dyDescent="0.25">
      <c r="A483" t="s">
        <v>1008</v>
      </c>
      <c r="B483">
        <v>362</v>
      </c>
      <c r="C483" t="s">
        <v>5</v>
      </c>
      <c r="D483" t="s">
        <v>424</v>
      </c>
      <c r="E483" t="s">
        <v>1009</v>
      </c>
      <c r="F483" t="s">
        <v>144</v>
      </c>
      <c r="G483" t="s">
        <v>31</v>
      </c>
    </row>
    <row r="484" spans="1:8" x14ac:dyDescent="0.25">
      <c r="A484" t="s">
        <v>1010</v>
      </c>
      <c r="B484">
        <v>363</v>
      </c>
      <c r="C484" t="s">
        <v>5</v>
      </c>
      <c r="D484" t="s">
        <v>416</v>
      </c>
      <c r="E484" t="s">
        <v>1011</v>
      </c>
      <c r="F484" t="s">
        <v>145</v>
      </c>
      <c r="G484" t="s">
        <v>32</v>
      </c>
    </row>
    <row r="485" spans="1:8" x14ac:dyDescent="0.25">
      <c r="A485" t="s">
        <v>1012</v>
      </c>
      <c r="B485">
        <v>364</v>
      </c>
      <c r="C485" t="s">
        <v>5</v>
      </c>
      <c r="D485" t="s">
        <v>417</v>
      </c>
      <c r="E485" t="s">
        <v>1013</v>
      </c>
      <c r="F485" t="s">
        <v>145</v>
      </c>
      <c r="G485" t="s">
        <v>32</v>
      </c>
    </row>
    <row r="486" spans="1:8" x14ac:dyDescent="0.25">
      <c r="A486" t="s">
        <v>1061</v>
      </c>
      <c r="B486">
        <v>368</v>
      </c>
      <c r="C486" t="s">
        <v>1056</v>
      </c>
      <c r="D486" t="s">
        <v>1059</v>
      </c>
      <c r="E486" t="s">
        <v>1060</v>
      </c>
      <c r="F486" t="s">
        <v>880</v>
      </c>
      <c r="H486" t="s">
        <v>885</v>
      </c>
    </row>
    <row r="487" spans="1:8" x14ac:dyDescent="0.25">
      <c r="A487" t="s">
        <v>1062</v>
      </c>
      <c r="B487">
        <v>369</v>
      </c>
      <c r="C487" t="s">
        <v>1057</v>
      </c>
      <c r="D487" t="s">
        <v>884</v>
      </c>
      <c r="E487" t="s">
        <v>1059</v>
      </c>
      <c r="H487" t="s">
        <v>1058</v>
      </c>
    </row>
    <row r="488" spans="1:8" x14ac:dyDescent="0.25">
      <c r="A488" t="s">
        <v>1063</v>
      </c>
      <c r="B488">
        <v>370</v>
      </c>
      <c r="C488" t="s">
        <v>1057</v>
      </c>
      <c r="D488" t="s">
        <v>886</v>
      </c>
      <c r="E488" t="s">
        <v>1060</v>
      </c>
      <c r="H488" t="s">
        <v>1058</v>
      </c>
    </row>
    <row r="489" spans="1:8" x14ac:dyDescent="0.25">
      <c r="A489" t="s">
        <v>1066</v>
      </c>
      <c r="B489">
        <v>371</v>
      </c>
      <c r="C489" t="s">
        <v>1056</v>
      </c>
      <c r="D489" t="s">
        <v>1064</v>
      </c>
      <c r="E489" t="s">
        <v>1065</v>
      </c>
      <c r="F489" t="s">
        <v>880</v>
      </c>
      <c r="H489" t="s">
        <v>885</v>
      </c>
    </row>
    <row r="490" spans="1:8" x14ac:dyDescent="0.25">
      <c r="A490" t="s">
        <v>1067</v>
      </c>
      <c r="B490">
        <v>372</v>
      </c>
      <c r="C490" t="s">
        <v>1057</v>
      </c>
      <c r="D490" t="s">
        <v>884</v>
      </c>
      <c r="E490" t="s">
        <v>1064</v>
      </c>
      <c r="H490" t="s">
        <v>1058</v>
      </c>
    </row>
    <row r="491" spans="1:8" x14ac:dyDescent="0.25">
      <c r="A491" t="s">
        <v>1068</v>
      </c>
      <c r="B491">
        <v>373</v>
      </c>
      <c r="C491" t="s">
        <v>1057</v>
      </c>
      <c r="D491" t="s">
        <v>887</v>
      </c>
      <c r="E491" t="s">
        <v>1065</v>
      </c>
      <c r="H491" t="s">
        <v>1058</v>
      </c>
    </row>
    <row r="492" spans="1:8" x14ac:dyDescent="0.25">
      <c r="A492" t="s">
        <v>1071</v>
      </c>
      <c r="B492">
        <v>377</v>
      </c>
      <c r="C492" t="s">
        <v>1056</v>
      </c>
      <c r="D492" t="s">
        <v>1069</v>
      </c>
      <c r="E492" t="s">
        <v>1070</v>
      </c>
      <c r="F492" t="s">
        <v>880</v>
      </c>
      <c r="H492" t="s">
        <v>885</v>
      </c>
    </row>
    <row r="493" spans="1:8" x14ac:dyDescent="0.25">
      <c r="A493" t="s">
        <v>1072</v>
      </c>
      <c r="B493">
        <v>378</v>
      </c>
      <c r="C493" t="s">
        <v>1057</v>
      </c>
      <c r="D493" t="s">
        <v>888</v>
      </c>
      <c r="E493" t="s">
        <v>1069</v>
      </c>
      <c r="H493" t="s">
        <v>1058</v>
      </c>
    </row>
    <row r="494" spans="1:8" x14ac:dyDescent="0.25">
      <c r="A494" t="s">
        <v>1073</v>
      </c>
      <c r="B494">
        <v>379</v>
      </c>
      <c r="C494" t="s">
        <v>1057</v>
      </c>
      <c r="D494" t="s">
        <v>889</v>
      </c>
      <c r="E494" t="s">
        <v>1070</v>
      </c>
      <c r="H494" t="s">
        <v>1058</v>
      </c>
    </row>
    <row r="495" spans="1:8" x14ac:dyDescent="0.25">
      <c r="A495" t="s">
        <v>1076</v>
      </c>
      <c r="B495">
        <v>380</v>
      </c>
      <c r="C495" t="s">
        <v>1056</v>
      </c>
      <c r="D495" t="s">
        <v>1074</v>
      </c>
      <c r="E495" t="s">
        <v>1075</v>
      </c>
      <c r="F495" t="s">
        <v>880</v>
      </c>
      <c r="H495" t="s">
        <v>885</v>
      </c>
    </row>
    <row r="496" spans="1:8" x14ac:dyDescent="0.25">
      <c r="A496" t="s">
        <v>1077</v>
      </c>
      <c r="B496">
        <v>381</v>
      </c>
      <c r="C496" t="s">
        <v>1057</v>
      </c>
      <c r="D496" t="s">
        <v>888</v>
      </c>
      <c r="E496" t="s">
        <v>1074</v>
      </c>
      <c r="H496" t="s">
        <v>1058</v>
      </c>
    </row>
    <row r="497" spans="1:8" x14ac:dyDescent="0.25">
      <c r="A497" t="s">
        <v>1078</v>
      </c>
      <c r="B497">
        <v>382</v>
      </c>
      <c r="C497" t="s">
        <v>1057</v>
      </c>
      <c r="D497" t="s">
        <v>890</v>
      </c>
      <c r="E497" t="s">
        <v>1075</v>
      </c>
      <c r="H497" t="s">
        <v>1058</v>
      </c>
    </row>
    <row r="498" spans="1:8" x14ac:dyDescent="0.25">
      <c r="A498" t="s">
        <v>1081</v>
      </c>
      <c r="B498">
        <v>386</v>
      </c>
      <c r="C498" t="s">
        <v>1056</v>
      </c>
      <c r="D498" t="s">
        <v>1079</v>
      </c>
      <c r="E498" t="s">
        <v>1080</v>
      </c>
      <c r="F498" t="s">
        <v>880</v>
      </c>
      <c r="H498" t="s">
        <v>885</v>
      </c>
    </row>
    <row r="499" spans="1:8" x14ac:dyDescent="0.25">
      <c r="A499" t="s">
        <v>1082</v>
      </c>
      <c r="B499">
        <v>387</v>
      </c>
      <c r="C499" t="s">
        <v>1057</v>
      </c>
      <c r="D499" t="s">
        <v>891</v>
      </c>
      <c r="E499" t="s">
        <v>1079</v>
      </c>
      <c r="H499" t="s">
        <v>1058</v>
      </c>
    </row>
    <row r="500" spans="1:8" x14ac:dyDescent="0.25">
      <c r="A500" t="s">
        <v>1083</v>
      </c>
      <c r="B500">
        <v>388</v>
      </c>
      <c r="C500" t="s">
        <v>1057</v>
      </c>
      <c r="D500" t="s">
        <v>892</v>
      </c>
      <c r="E500" t="s">
        <v>1080</v>
      </c>
      <c r="H500" t="s">
        <v>1058</v>
      </c>
    </row>
    <row r="501" spans="1:8" x14ac:dyDescent="0.25">
      <c r="A501" t="s">
        <v>1086</v>
      </c>
      <c r="B501">
        <v>389</v>
      </c>
      <c r="C501" t="s">
        <v>1056</v>
      </c>
      <c r="D501" t="s">
        <v>1084</v>
      </c>
      <c r="E501" t="s">
        <v>1085</v>
      </c>
      <c r="F501" t="s">
        <v>880</v>
      </c>
      <c r="H501" t="s">
        <v>885</v>
      </c>
    </row>
    <row r="502" spans="1:8" x14ac:dyDescent="0.25">
      <c r="A502" t="s">
        <v>1087</v>
      </c>
      <c r="B502">
        <v>390</v>
      </c>
      <c r="C502" t="s">
        <v>1057</v>
      </c>
      <c r="D502" t="s">
        <v>891</v>
      </c>
      <c r="E502" t="s">
        <v>1084</v>
      </c>
      <c r="H502" t="s">
        <v>1058</v>
      </c>
    </row>
    <row r="503" spans="1:8" x14ac:dyDescent="0.25">
      <c r="A503" t="s">
        <v>1088</v>
      </c>
      <c r="B503">
        <v>391</v>
      </c>
      <c r="C503" t="s">
        <v>1057</v>
      </c>
      <c r="D503" t="s">
        <v>893</v>
      </c>
      <c r="E503" t="s">
        <v>1085</v>
      </c>
      <c r="H503" t="s">
        <v>1058</v>
      </c>
    </row>
    <row r="504" spans="1:8" x14ac:dyDescent="0.25">
      <c r="A504" t="s">
        <v>1091</v>
      </c>
      <c r="B504">
        <v>395</v>
      </c>
      <c r="C504" t="s">
        <v>1056</v>
      </c>
      <c r="D504" t="s">
        <v>1089</v>
      </c>
      <c r="E504" t="s">
        <v>1090</v>
      </c>
      <c r="F504" t="s">
        <v>879</v>
      </c>
      <c r="H504" t="s">
        <v>885</v>
      </c>
    </row>
    <row r="505" spans="1:8" x14ac:dyDescent="0.25">
      <c r="A505" t="s">
        <v>1092</v>
      </c>
      <c r="B505">
        <v>396</v>
      </c>
      <c r="C505" t="s">
        <v>1057</v>
      </c>
      <c r="D505" t="s">
        <v>894</v>
      </c>
      <c r="E505" t="s">
        <v>1089</v>
      </c>
      <c r="H505" t="s">
        <v>1058</v>
      </c>
    </row>
    <row r="506" spans="1:8" x14ac:dyDescent="0.25">
      <c r="A506" t="s">
        <v>1093</v>
      </c>
      <c r="B506">
        <v>397</v>
      </c>
      <c r="C506" t="s">
        <v>1057</v>
      </c>
      <c r="D506" t="s">
        <v>895</v>
      </c>
      <c r="E506" t="s">
        <v>1090</v>
      </c>
      <c r="H506" t="s">
        <v>1058</v>
      </c>
    </row>
    <row r="507" spans="1:8" x14ac:dyDescent="0.25">
      <c r="A507" t="s">
        <v>1096</v>
      </c>
      <c r="B507">
        <v>398</v>
      </c>
      <c r="C507" t="s">
        <v>1056</v>
      </c>
      <c r="D507" t="s">
        <v>1094</v>
      </c>
      <c r="E507" t="s">
        <v>1095</v>
      </c>
      <c r="F507" t="s">
        <v>879</v>
      </c>
      <c r="H507" t="s">
        <v>885</v>
      </c>
    </row>
    <row r="508" spans="1:8" x14ac:dyDescent="0.25">
      <c r="A508" t="s">
        <v>1097</v>
      </c>
      <c r="B508">
        <v>399</v>
      </c>
      <c r="C508" t="s">
        <v>1057</v>
      </c>
      <c r="D508" t="s">
        <v>894</v>
      </c>
      <c r="E508" t="s">
        <v>1094</v>
      </c>
      <c r="H508" t="s">
        <v>1058</v>
      </c>
    </row>
    <row r="509" spans="1:8" x14ac:dyDescent="0.25">
      <c r="A509" t="s">
        <v>1098</v>
      </c>
      <c r="B509">
        <v>400</v>
      </c>
      <c r="C509" t="s">
        <v>1057</v>
      </c>
      <c r="D509" t="s">
        <v>896</v>
      </c>
      <c r="E509" t="s">
        <v>1095</v>
      </c>
      <c r="H509" t="s">
        <v>1058</v>
      </c>
    </row>
    <row r="510" spans="1:8" x14ac:dyDescent="0.25">
      <c r="A510" t="s">
        <v>1101</v>
      </c>
      <c r="B510">
        <v>404</v>
      </c>
      <c r="C510" t="s">
        <v>1056</v>
      </c>
      <c r="D510" t="s">
        <v>1099</v>
      </c>
      <c r="E510" t="s">
        <v>1100</v>
      </c>
      <c r="F510" t="s">
        <v>879</v>
      </c>
      <c r="H510" t="s">
        <v>885</v>
      </c>
    </row>
    <row r="511" spans="1:8" x14ac:dyDescent="0.25">
      <c r="A511" t="s">
        <v>1102</v>
      </c>
      <c r="B511">
        <v>405</v>
      </c>
      <c r="C511" t="s">
        <v>1057</v>
      </c>
      <c r="D511" t="s">
        <v>897</v>
      </c>
      <c r="E511" t="s">
        <v>1099</v>
      </c>
      <c r="H511" t="s">
        <v>1058</v>
      </c>
    </row>
    <row r="512" spans="1:8" x14ac:dyDescent="0.25">
      <c r="A512" t="s">
        <v>1103</v>
      </c>
      <c r="B512">
        <v>406</v>
      </c>
      <c r="C512" t="s">
        <v>1057</v>
      </c>
      <c r="D512" t="s">
        <v>898</v>
      </c>
      <c r="E512" t="s">
        <v>1100</v>
      </c>
      <c r="H512" t="s">
        <v>1058</v>
      </c>
    </row>
    <row r="513" spans="1:8" x14ac:dyDescent="0.25">
      <c r="A513" t="s">
        <v>1106</v>
      </c>
      <c r="B513">
        <v>407</v>
      </c>
      <c r="C513" t="s">
        <v>1056</v>
      </c>
      <c r="D513" t="s">
        <v>1104</v>
      </c>
      <c r="E513" t="s">
        <v>1105</v>
      </c>
      <c r="F513" t="s">
        <v>879</v>
      </c>
      <c r="H513" t="s">
        <v>885</v>
      </c>
    </row>
    <row r="514" spans="1:8" x14ac:dyDescent="0.25">
      <c r="A514" t="s">
        <v>1107</v>
      </c>
      <c r="B514">
        <v>408</v>
      </c>
      <c r="C514" t="s">
        <v>1057</v>
      </c>
      <c r="D514" t="s">
        <v>897</v>
      </c>
      <c r="E514" t="s">
        <v>1104</v>
      </c>
      <c r="H514" t="s">
        <v>1058</v>
      </c>
    </row>
    <row r="515" spans="1:8" x14ac:dyDescent="0.25">
      <c r="A515" t="s">
        <v>1108</v>
      </c>
      <c r="B515">
        <v>409</v>
      </c>
      <c r="C515" t="s">
        <v>1057</v>
      </c>
      <c r="D515" t="s">
        <v>899</v>
      </c>
      <c r="E515" t="s">
        <v>1105</v>
      </c>
      <c r="H515" t="s">
        <v>1058</v>
      </c>
    </row>
    <row r="516" spans="1:8" x14ac:dyDescent="0.25">
      <c r="A516" t="s">
        <v>1111</v>
      </c>
      <c r="B516">
        <v>413</v>
      </c>
      <c r="C516" t="s">
        <v>1056</v>
      </c>
      <c r="D516" t="s">
        <v>1109</v>
      </c>
      <c r="E516" t="s">
        <v>1110</v>
      </c>
      <c r="F516" t="s">
        <v>879</v>
      </c>
      <c r="H516" t="s">
        <v>885</v>
      </c>
    </row>
    <row r="517" spans="1:8" x14ac:dyDescent="0.25">
      <c r="A517" t="s">
        <v>1112</v>
      </c>
      <c r="B517">
        <v>414</v>
      </c>
      <c r="C517" t="s">
        <v>1057</v>
      </c>
      <c r="D517" t="s">
        <v>900</v>
      </c>
      <c r="E517" t="s">
        <v>1109</v>
      </c>
      <c r="H517" t="s">
        <v>1058</v>
      </c>
    </row>
    <row r="518" spans="1:8" x14ac:dyDescent="0.25">
      <c r="A518" t="s">
        <v>1113</v>
      </c>
      <c r="B518">
        <v>415</v>
      </c>
      <c r="C518" t="s">
        <v>1057</v>
      </c>
      <c r="D518" t="s">
        <v>901</v>
      </c>
      <c r="E518" t="s">
        <v>1110</v>
      </c>
      <c r="H518" t="s">
        <v>1058</v>
      </c>
    </row>
    <row r="519" spans="1:8" x14ac:dyDescent="0.25">
      <c r="A519" t="s">
        <v>1116</v>
      </c>
      <c r="B519">
        <v>416</v>
      </c>
      <c r="C519" t="s">
        <v>1056</v>
      </c>
      <c r="D519" t="s">
        <v>1114</v>
      </c>
      <c r="E519" t="s">
        <v>1115</v>
      </c>
      <c r="F519" t="s">
        <v>879</v>
      </c>
      <c r="H519" t="s">
        <v>885</v>
      </c>
    </row>
    <row r="520" spans="1:8" x14ac:dyDescent="0.25">
      <c r="A520" t="s">
        <v>1117</v>
      </c>
      <c r="B520">
        <v>417</v>
      </c>
      <c r="C520" t="s">
        <v>1057</v>
      </c>
      <c r="D520" t="s">
        <v>900</v>
      </c>
      <c r="E520" t="s">
        <v>1114</v>
      </c>
      <c r="H520" t="s">
        <v>1058</v>
      </c>
    </row>
    <row r="521" spans="1:8" x14ac:dyDescent="0.25">
      <c r="A521" t="s">
        <v>1118</v>
      </c>
      <c r="B521">
        <v>418</v>
      </c>
      <c r="C521" t="s">
        <v>1057</v>
      </c>
      <c r="D521" t="s">
        <v>902</v>
      </c>
      <c r="E521" t="s">
        <v>1115</v>
      </c>
      <c r="H521" t="s">
        <v>1058</v>
      </c>
    </row>
    <row r="522" spans="1:8" x14ac:dyDescent="0.25">
      <c r="A522" t="s">
        <v>1121</v>
      </c>
      <c r="B522">
        <v>422</v>
      </c>
      <c r="C522" t="s">
        <v>1056</v>
      </c>
      <c r="D522" t="s">
        <v>1119</v>
      </c>
      <c r="E522" t="s">
        <v>1120</v>
      </c>
      <c r="F522" t="s">
        <v>879</v>
      </c>
      <c r="H522" t="s">
        <v>885</v>
      </c>
    </row>
    <row r="523" spans="1:8" x14ac:dyDescent="0.25">
      <c r="A523" t="s">
        <v>1122</v>
      </c>
      <c r="B523">
        <v>423</v>
      </c>
      <c r="C523" t="s">
        <v>1057</v>
      </c>
      <c r="D523" t="s">
        <v>903</v>
      </c>
      <c r="E523" t="s">
        <v>1119</v>
      </c>
      <c r="H523" t="s">
        <v>1058</v>
      </c>
    </row>
    <row r="524" spans="1:8" x14ac:dyDescent="0.25">
      <c r="A524" t="s">
        <v>1123</v>
      </c>
      <c r="B524">
        <v>424</v>
      </c>
      <c r="C524" t="s">
        <v>1057</v>
      </c>
      <c r="D524" t="s">
        <v>904</v>
      </c>
      <c r="E524" t="s">
        <v>1120</v>
      </c>
      <c r="H524" t="s">
        <v>1058</v>
      </c>
    </row>
    <row r="525" spans="1:8" x14ac:dyDescent="0.25">
      <c r="A525" t="s">
        <v>1126</v>
      </c>
      <c r="B525">
        <v>425</v>
      </c>
      <c r="C525" t="s">
        <v>1056</v>
      </c>
      <c r="D525" t="s">
        <v>1124</v>
      </c>
      <c r="E525" t="s">
        <v>1125</v>
      </c>
      <c r="F525" t="s">
        <v>879</v>
      </c>
      <c r="H525" t="s">
        <v>885</v>
      </c>
    </row>
    <row r="526" spans="1:8" x14ac:dyDescent="0.25">
      <c r="A526" t="s">
        <v>1127</v>
      </c>
      <c r="B526">
        <v>426</v>
      </c>
      <c r="C526" t="s">
        <v>1057</v>
      </c>
      <c r="D526" t="s">
        <v>903</v>
      </c>
      <c r="E526" t="s">
        <v>1124</v>
      </c>
      <c r="H526" t="s">
        <v>1058</v>
      </c>
    </row>
    <row r="527" spans="1:8" x14ac:dyDescent="0.25">
      <c r="A527" t="s">
        <v>1128</v>
      </c>
      <c r="B527">
        <v>427</v>
      </c>
      <c r="C527" t="s">
        <v>1057</v>
      </c>
      <c r="D527" t="s">
        <v>905</v>
      </c>
      <c r="E527" t="s">
        <v>1125</v>
      </c>
      <c r="H527" t="s">
        <v>1058</v>
      </c>
    </row>
    <row r="528" spans="1:8" x14ac:dyDescent="0.25">
      <c r="A528" t="s">
        <v>1131</v>
      </c>
      <c r="B528">
        <v>431</v>
      </c>
      <c r="C528" t="s">
        <v>1056</v>
      </c>
      <c r="D528" t="s">
        <v>1129</v>
      </c>
      <c r="E528" t="s">
        <v>1130</v>
      </c>
      <c r="F528" t="s">
        <v>879</v>
      </c>
      <c r="H528" t="s">
        <v>885</v>
      </c>
    </row>
    <row r="529" spans="1:8" x14ac:dyDescent="0.25">
      <c r="A529" t="s">
        <v>1132</v>
      </c>
      <c r="B529">
        <v>432</v>
      </c>
      <c r="C529" t="s">
        <v>1057</v>
      </c>
      <c r="D529" t="s">
        <v>906</v>
      </c>
      <c r="E529" t="s">
        <v>1129</v>
      </c>
      <c r="H529" t="s">
        <v>1058</v>
      </c>
    </row>
    <row r="530" spans="1:8" x14ac:dyDescent="0.25">
      <c r="A530" t="s">
        <v>1133</v>
      </c>
      <c r="B530">
        <v>433</v>
      </c>
      <c r="C530" t="s">
        <v>1057</v>
      </c>
      <c r="D530" t="s">
        <v>907</v>
      </c>
      <c r="E530" t="s">
        <v>1130</v>
      </c>
      <c r="H530" t="s">
        <v>1058</v>
      </c>
    </row>
    <row r="531" spans="1:8" x14ac:dyDescent="0.25">
      <c r="A531" t="s">
        <v>1136</v>
      </c>
      <c r="B531">
        <v>434</v>
      </c>
      <c r="C531" t="s">
        <v>1056</v>
      </c>
      <c r="D531" t="s">
        <v>1134</v>
      </c>
      <c r="E531" t="s">
        <v>1135</v>
      </c>
      <c r="F531" t="s">
        <v>879</v>
      </c>
      <c r="H531" t="s">
        <v>885</v>
      </c>
    </row>
    <row r="532" spans="1:8" x14ac:dyDescent="0.25">
      <c r="A532" t="s">
        <v>1137</v>
      </c>
      <c r="B532">
        <v>435</v>
      </c>
      <c r="C532" t="s">
        <v>1057</v>
      </c>
      <c r="D532" t="s">
        <v>906</v>
      </c>
      <c r="E532" t="s">
        <v>1134</v>
      </c>
      <c r="H532" t="s">
        <v>1058</v>
      </c>
    </row>
    <row r="533" spans="1:8" x14ac:dyDescent="0.25">
      <c r="A533" t="s">
        <v>1138</v>
      </c>
      <c r="B533">
        <v>436</v>
      </c>
      <c r="C533" t="s">
        <v>1057</v>
      </c>
      <c r="D533" t="s">
        <v>908</v>
      </c>
      <c r="E533" t="s">
        <v>1135</v>
      </c>
      <c r="H533" t="s">
        <v>1058</v>
      </c>
    </row>
    <row r="534" spans="1:8" x14ac:dyDescent="0.25">
      <c r="A534" t="s">
        <v>1141</v>
      </c>
      <c r="B534">
        <v>440</v>
      </c>
      <c r="C534" t="s">
        <v>1056</v>
      </c>
      <c r="D534" t="s">
        <v>1139</v>
      </c>
      <c r="E534" t="s">
        <v>1140</v>
      </c>
      <c r="F534" t="s">
        <v>879</v>
      </c>
      <c r="H534" t="s">
        <v>885</v>
      </c>
    </row>
    <row r="535" spans="1:8" x14ac:dyDescent="0.25">
      <c r="A535" t="s">
        <v>1142</v>
      </c>
      <c r="B535">
        <v>441</v>
      </c>
      <c r="C535" t="s">
        <v>1057</v>
      </c>
      <c r="D535" t="s">
        <v>909</v>
      </c>
      <c r="E535" t="s">
        <v>1139</v>
      </c>
      <c r="H535" t="s">
        <v>1058</v>
      </c>
    </row>
    <row r="536" spans="1:8" x14ac:dyDescent="0.25">
      <c r="A536" t="s">
        <v>1143</v>
      </c>
      <c r="B536">
        <v>442</v>
      </c>
      <c r="C536" t="s">
        <v>1057</v>
      </c>
      <c r="D536" t="s">
        <v>910</v>
      </c>
      <c r="E536" t="s">
        <v>1140</v>
      </c>
      <c r="H536" t="s">
        <v>1058</v>
      </c>
    </row>
    <row r="537" spans="1:8" x14ac:dyDescent="0.25">
      <c r="A537" t="s">
        <v>1146</v>
      </c>
      <c r="B537">
        <v>443</v>
      </c>
      <c r="C537" t="s">
        <v>1056</v>
      </c>
      <c r="D537" t="s">
        <v>1144</v>
      </c>
      <c r="E537" t="s">
        <v>1145</v>
      </c>
      <c r="F537" t="s">
        <v>879</v>
      </c>
      <c r="H537" t="s">
        <v>885</v>
      </c>
    </row>
    <row r="538" spans="1:8" x14ac:dyDescent="0.25">
      <c r="A538" t="s">
        <v>1147</v>
      </c>
      <c r="B538">
        <v>444</v>
      </c>
      <c r="C538" t="s">
        <v>1057</v>
      </c>
      <c r="D538" t="s">
        <v>909</v>
      </c>
      <c r="E538" t="s">
        <v>1144</v>
      </c>
      <c r="H538" t="s">
        <v>1058</v>
      </c>
    </row>
    <row r="539" spans="1:8" x14ac:dyDescent="0.25">
      <c r="A539" t="s">
        <v>1148</v>
      </c>
      <c r="B539">
        <v>445</v>
      </c>
      <c r="C539" t="s">
        <v>1057</v>
      </c>
      <c r="D539" t="s">
        <v>911</v>
      </c>
      <c r="E539" t="s">
        <v>1145</v>
      </c>
      <c r="H539" t="s">
        <v>1058</v>
      </c>
    </row>
    <row r="540" spans="1:8" x14ac:dyDescent="0.25">
      <c r="A540" t="s">
        <v>1151</v>
      </c>
      <c r="B540">
        <v>449</v>
      </c>
      <c r="C540" t="s">
        <v>1056</v>
      </c>
      <c r="D540" t="s">
        <v>1149</v>
      </c>
      <c r="E540" t="s">
        <v>1150</v>
      </c>
      <c r="F540" t="s">
        <v>879</v>
      </c>
      <c r="H540" t="s">
        <v>885</v>
      </c>
    </row>
    <row r="541" spans="1:8" x14ac:dyDescent="0.25">
      <c r="A541" t="s">
        <v>1152</v>
      </c>
      <c r="B541">
        <v>450</v>
      </c>
      <c r="C541" t="s">
        <v>1057</v>
      </c>
      <c r="D541" t="s">
        <v>912</v>
      </c>
      <c r="E541" t="s">
        <v>1149</v>
      </c>
      <c r="H541" t="s">
        <v>1058</v>
      </c>
    </row>
    <row r="542" spans="1:8" x14ac:dyDescent="0.25">
      <c r="A542" t="s">
        <v>1153</v>
      </c>
      <c r="B542">
        <v>451</v>
      </c>
      <c r="C542" t="s">
        <v>1057</v>
      </c>
      <c r="D542" t="s">
        <v>913</v>
      </c>
      <c r="E542" t="s">
        <v>1150</v>
      </c>
      <c r="H542" t="s">
        <v>1058</v>
      </c>
    </row>
    <row r="543" spans="1:8" x14ac:dyDescent="0.25">
      <c r="A543" t="s">
        <v>1156</v>
      </c>
      <c r="B543">
        <v>452</v>
      </c>
      <c r="C543" t="s">
        <v>1056</v>
      </c>
      <c r="D543" t="s">
        <v>1154</v>
      </c>
      <c r="E543" t="s">
        <v>1155</v>
      </c>
      <c r="F543" t="s">
        <v>879</v>
      </c>
      <c r="H543" t="s">
        <v>885</v>
      </c>
    </row>
    <row r="544" spans="1:8" x14ac:dyDescent="0.25">
      <c r="A544" t="s">
        <v>1157</v>
      </c>
      <c r="B544">
        <v>453</v>
      </c>
      <c r="C544" t="s">
        <v>1057</v>
      </c>
      <c r="D544" t="s">
        <v>912</v>
      </c>
      <c r="E544" t="s">
        <v>1154</v>
      </c>
      <c r="H544" t="s">
        <v>1058</v>
      </c>
    </row>
    <row r="545" spans="1:8" x14ac:dyDescent="0.25">
      <c r="A545" t="s">
        <v>1158</v>
      </c>
      <c r="B545">
        <v>454</v>
      </c>
      <c r="C545" t="s">
        <v>1057</v>
      </c>
      <c r="D545" t="s">
        <v>914</v>
      </c>
      <c r="E545" t="s">
        <v>1155</v>
      </c>
      <c r="H545" t="s">
        <v>1058</v>
      </c>
    </row>
    <row r="546" spans="1:8" x14ac:dyDescent="0.25">
      <c r="A546" t="s">
        <v>1161</v>
      </c>
      <c r="B546">
        <v>458</v>
      </c>
      <c r="C546" t="s">
        <v>1056</v>
      </c>
      <c r="D546" t="s">
        <v>1159</v>
      </c>
      <c r="E546" t="s">
        <v>1160</v>
      </c>
      <c r="F546" t="s">
        <v>880</v>
      </c>
      <c r="H546" t="s">
        <v>885</v>
      </c>
    </row>
    <row r="547" spans="1:8" x14ac:dyDescent="0.25">
      <c r="A547" t="s">
        <v>1162</v>
      </c>
      <c r="B547">
        <v>459</v>
      </c>
      <c r="C547" t="s">
        <v>1057</v>
      </c>
      <c r="D547" t="s">
        <v>915</v>
      </c>
      <c r="E547" t="s">
        <v>1159</v>
      </c>
      <c r="H547" t="s">
        <v>1058</v>
      </c>
    </row>
    <row r="548" spans="1:8" x14ac:dyDescent="0.25">
      <c r="A548" t="s">
        <v>1163</v>
      </c>
      <c r="B548">
        <v>460</v>
      </c>
      <c r="C548" t="s">
        <v>1057</v>
      </c>
      <c r="D548" t="s">
        <v>916</v>
      </c>
      <c r="E548" t="s">
        <v>1160</v>
      </c>
      <c r="H548" t="s">
        <v>1058</v>
      </c>
    </row>
    <row r="549" spans="1:8" x14ac:dyDescent="0.25">
      <c r="A549" t="s">
        <v>1166</v>
      </c>
      <c r="B549">
        <v>461</v>
      </c>
      <c r="C549" t="s">
        <v>1056</v>
      </c>
      <c r="D549" t="s">
        <v>1164</v>
      </c>
      <c r="E549" t="s">
        <v>1165</v>
      </c>
      <c r="F549" t="s">
        <v>880</v>
      </c>
      <c r="H549" t="s">
        <v>885</v>
      </c>
    </row>
    <row r="550" spans="1:8" x14ac:dyDescent="0.25">
      <c r="A550" t="s">
        <v>1167</v>
      </c>
      <c r="B550">
        <v>462</v>
      </c>
      <c r="C550" t="s">
        <v>1057</v>
      </c>
      <c r="D550" t="s">
        <v>915</v>
      </c>
      <c r="E550" t="s">
        <v>1164</v>
      </c>
      <c r="H550" t="s">
        <v>1058</v>
      </c>
    </row>
    <row r="551" spans="1:8" x14ac:dyDescent="0.25">
      <c r="A551" t="s">
        <v>1168</v>
      </c>
      <c r="B551">
        <v>463</v>
      </c>
      <c r="C551" t="s">
        <v>1057</v>
      </c>
      <c r="D551" t="s">
        <v>917</v>
      </c>
      <c r="E551" t="s">
        <v>1165</v>
      </c>
      <c r="H551" t="s">
        <v>1058</v>
      </c>
    </row>
    <row r="552" spans="1:8" x14ac:dyDescent="0.25">
      <c r="A552" t="s">
        <v>1171</v>
      </c>
      <c r="B552">
        <v>467</v>
      </c>
      <c r="C552" t="s">
        <v>1056</v>
      </c>
      <c r="D552" t="s">
        <v>1169</v>
      </c>
      <c r="E552" t="s">
        <v>1170</v>
      </c>
      <c r="F552" t="s">
        <v>880</v>
      </c>
      <c r="H552" t="s">
        <v>885</v>
      </c>
    </row>
    <row r="553" spans="1:8" x14ac:dyDescent="0.25">
      <c r="A553" t="s">
        <v>1172</v>
      </c>
      <c r="B553">
        <v>468</v>
      </c>
      <c r="C553" t="s">
        <v>1057</v>
      </c>
      <c r="D553" t="s">
        <v>918</v>
      </c>
      <c r="E553" t="s">
        <v>1169</v>
      </c>
      <c r="H553" t="s">
        <v>1058</v>
      </c>
    </row>
    <row r="554" spans="1:8" x14ac:dyDescent="0.25">
      <c r="A554" t="s">
        <v>1173</v>
      </c>
      <c r="B554">
        <v>469</v>
      </c>
      <c r="C554" t="s">
        <v>1057</v>
      </c>
      <c r="D554" t="s">
        <v>919</v>
      </c>
      <c r="E554" t="s">
        <v>1170</v>
      </c>
      <c r="H554" t="s">
        <v>1058</v>
      </c>
    </row>
    <row r="555" spans="1:8" x14ac:dyDescent="0.25">
      <c r="A555" t="s">
        <v>1176</v>
      </c>
      <c r="B555">
        <v>470</v>
      </c>
      <c r="C555" t="s">
        <v>1056</v>
      </c>
      <c r="D555" t="s">
        <v>1174</v>
      </c>
      <c r="E555" t="s">
        <v>1175</v>
      </c>
      <c r="F555" t="s">
        <v>880</v>
      </c>
      <c r="H555" t="s">
        <v>885</v>
      </c>
    </row>
    <row r="556" spans="1:8" x14ac:dyDescent="0.25">
      <c r="A556" t="s">
        <v>1177</v>
      </c>
      <c r="B556">
        <v>471</v>
      </c>
      <c r="C556" t="s">
        <v>1057</v>
      </c>
      <c r="D556" t="s">
        <v>918</v>
      </c>
      <c r="E556" t="s">
        <v>1174</v>
      </c>
      <c r="H556" t="s">
        <v>1058</v>
      </c>
    </row>
    <row r="557" spans="1:8" x14ac:dyDescent="0.25">
      <c r="A557" t="s">
        <v>1178</v>
      </c>
      <c r="B557">
        <v>472</v>
      </c>
      <c r="C557" t="s">
        <v>1057</v>
      </c>
      <c r="D557" t="s">
        <v>920</v>
      </c>
      <c r="E557" t="s">
        <v>1175</v>
      </c>
      <c r="H557" t="s">
        <v>1058</v>
      </c>
    </row>
    <row r="558" spans="1:8" x14ac:dyDescent="0.25">
      <c r="A558" t="s">
        <v>1181</v>
      </c>
      <c r="B558">
        <v>476</v>
      </c>
      <c r="C558" t="s">
        <v>1056</v>
      </c>
      <c r="D558" t="s">
        <v>1179</v>
      </c>
      <c r="E558" t="s">
        <v>1180</v>
      </c>
      <c r="F558" t="s">
        <v>880</v>
      </c>
      <c r="H558" t="s">
        <v>885</v>
      </c>
    </row>
    <row r="559" spans="1:8" x14ac:dyDescent="0.25">
      <c r="A559" t="s">
        <v>1182</v>
      </c>
      <c r="B559">
        <v>477</v>
      </c>
      <c r="C559" t="s">
        <v>1057</v>
      </c>
      <c r="D559" t="s">
        <v>921</v>
      </c>
      <c r="E559" t="s">
        <v>1179</v>
      </c>
      <c r="H559" t="s">
        <v>1058</v>
      </c>
    </row>
    <row r="560" spans="1:8" x14ac:dyDescent="0.25">
      <c r="A560" t="s">
        <v>1183</v>
      </c>
      <c r="B560">
        <v>478</v>
      </c>
      <c r="C560" t="s">
        <v>1057</v>
      </c>
      <c r="D560" t="s">
        <v>922</v>
      </c>
      <c r="E560" t="s">
        <v>1180</v>
      </c>
      <c r="H560" t="s">
        <v>1058</v>
      </c>
    </row>
    <row r="561" spans="1:8" x14ac:dyDescent="0.25">
      <c r="A561" t="s">
        <v>1186</v>
      </c>
      <c r="B561">
        <v>479</v>
      </c>
      <c r="C561" t="s">
        <v>1056</v>
      </c>
      <c r="D561" t="s">
        <v>1184</v>
      </c>
      <c r="E561" t="s">
        <v>1185</v>
      </c>
      <c r="F561" t="s">
        <v>880</v>
      </c>
      <c r="H561" t="s">
        <v>885</v>
      </c>
    </row>
    <row r="562" spans="1:8" x14ac:dyDescent="0.25">
      <c r="A562" t="s">
        <v>1187</v>
      </c>
      <c r="B562">
        <v>480</v>
      </c>
      <c r="C562" t="s">
        <v>1057</v>
      </c>
      <c r="D562" t="s">
        <v>921</v>
      </c>
      <c r="E562" t="s">
        <v>1184</v>
      </c>
      <c r="H562" t="s">
        <v>1058</v>
      </c>
    </row>
    <row r="563" spans="1:8" x14ac:dyDescent="0.25">
      <c r="A563" t="s">
        <v>1188</v>
      </c>
      <c r="B563">
        <v>481</v>
      </c>
      <c r="C563" t="s">
        <v>1057</v>
      </c>
      <c r="D563" t="s">
        <v>923</v>
      </c>
      <c r="E563" t="s">
        <v>1185</v>
      </c>
      <c r="H563" t="s">
        <v>1058</v>
      </c>
    </row>
    <row r="564" spans="1:8" x14ac:dyDescent="0.25">
      <c r="A564" t="s">
        <v>1191</v>
      </c>
      <c r="B564">
        <v>485</v>
      </c>
      <c r="C564" t="s">
        <v>1056</v>
      </c>
      <c r="D564" t="s">
        <v>1189</v>
      </c>
      <c r="E564" t="s">
        <v>1190</v>
      </c>
      <c r="F564" t="s">
        <v>879</v>
      </c>
      <c r="H564" t="s">
        <v>885</v>
      </c>
    </row>
    <row r="565" spans="1:8" x14ac:dyDescent="0.25">
      <c r="A565" t="s">
        <v>1192</v>
      </c>
      <c r="B565">
        <v>486</v>
      </c>
      <c r="C565" t="s">
        <v>1057</v>
      </c>
      <c r="D565" t="s">
        <v>924</v>
      </c>
      <c r="E565" t="s">
        <v>1189</v>
      </c>
      <c r="H565" t="s">
        <v>1058</v>
      </c>
    </row>
    <row r="566" spans="1:8" x14ac:dyDescent="0.25">
      <c r="A566" t="s">
        <v>1193</v>
      </c>
      <c r="B566">
        <v>487</v>
      </c>
      <c r="C566" t="s">
        <v>1057</v>
      </c>
      <c r="D566" t="s">
        <v>925</v>
      </c>
      <c r="E566" t="s">
        <v>1190</v>
      </c>
      <c r="H566" t="s">
        <v>1058</v>
      </c>
    </row>
    <row r="567" spans="1:8" x14ac:dyDescent="0.25">
      <c r="A567" t="s">
        <v>1196</v>
      </c>
      <c r="B567">
        <v>488</v>
      </c>
      <c r="C567" t="s">
        <v>1056</v>
      </c>
      <c r="D567" t="s">
        <v>1194</v>
      </c>
      <c r="E567" t="s">
        <v>1195</v>
      </c>
      <c r="F567" t="s">
        <v>879</v>
      </c>
      <c r="H567" t="s">
        <v>885</v>
      </c>
    </row>
    <row r="568" spans="1:8" x14ac:dyDescent="0.25">
      <c r="A568" t="s">
        <v>1197</v>
      </c>
      <c r="B568">
        <v>489</v>
      </c>
      <c r="C568" t="s">
        <v>1057</v>
      </c>
      <c r="D568" t="s">
        <v>924</v>
      </c>
      <c r="E568" t="s">
        <v>1194</v>
      </c>
      <c r="H568" t="s">
        <v>1058</v>
      </c>
    </row>
    <row r="569" spans="1:8" x14ac:dyDescent="0.25">
      <c r="A569" t="s">
        <v>1198</v>
      </c>
      <c r="B569">
        <v>490</v>
      </c>
      <c r="C569" t="s">
        <v>1057</v>
      </c>
      <c r="D569" t="s">
        <v>926</v>
      </c>
      <c r="E569" t="s">
        <v>1195</v>
      </c>
      <c r="H569" t="s">
        <v>1058</v>
      </c>
    </row>
    <row r="570" spans="1:8" x14ac:dyDescent="0.25">
      <c r="A570" t="s">
        <v>1201</v>
      </c>
      <c r="B570">
        <v>494</v>
      </c>
      <c r="C570" t="s">
        <v>1056</v>
      </c>
      <c r="D570" t="s">
        <v>1199</v>
      </c>
      <c r="E570" t="s">
        <v>1200</v>
      </c>
      <c r="F570" t="s">
        <v>879</v>
      </c>
      <c r="H570" t="s">
        <v>885</v>
      </c>
    </row>
    <row r="571" spans="1:8" x14ac:dyDescent="0.25">
      <c r="A571" t="s">
        <v>1202</v>
      </c>
      <c r="B571">
        <v>495</v>
      </c>
      <c r="C571" t="s">
        <v>1057</v>
      </c>
      <c r="D571" t="s">
        <v>927</v>
      </c>
      <c r="E571" t="s">
        <v>1199</v>
      </c>
      <c r="H571" t="s">
        <v>1058</v>
      </c>
    </row>
    <row r="572" spans="1:8" x14ac:dyDescent="0.25">
      <c r="A572" t="s">
        <v>1203</v>
      </c>
      <c r="B572">
        <v>496</v>
      </c>
      <c r="C572" t="s">
        <v>1057</v>
      </c>
      <c r="D572" t="s">
        <v>928</v>
      </c>
      <c r="E572" t="s">
        <v>1200</v>
      </c>
      <c r="H572" t="s">
        <v>1058</v>
      </c>
    </row>
    <row r="573" spans="1:8" x14ac:dyDescent="0.25">
      <c r="A573" t="s">
        <v>1206</v>
      </c>
      <c r="B573">
        <v>497</v>
      </c>
      <c r="C573" t="s">
        <v>1056</v>
      </c>
      <c r="D573" t="s">
        <v>1204</v>
      </c>
      <c r="E573" t="s">
        <v>1205</v>
      </c>
      <c r="F573" t="s">
        <v>879</v>
      </c>
      <c r="H573" t="s">
        <v>885</v>
      </c>
    </row>
    <row r="574" spans="1:8" x14ac:dyDescent="0.25">
      <c r="A574" t="s">
        <v>1207</v>
      </c>
      <c r="B574">
        <v>498</v>
      </c>
      <c r="C574" t="s">
        <v>1057</v>
      </c>
      <c r="D574" t="s">
        <v>927</v>
      </c>
      <c r="E574" t="s">
        <v>1204</v>
      </c>
      <c r="H574" t="s">
        <v>1058</v>
      </c>
    </row>
    <row r="575" spans="1:8" x14ac:dyDescent="0.25">
      <c r="A575" t="s">
        <v>1208</v>
      </c>
      <c r="B575">
        <v>499</v>
      </c>
      <c r="C575" t="s">
        <v>1057</v>
      </c>
      <c r="D575" t="s">
        <v>929</v>
      </c>
      <c r="E575" t="s">
        <v>1205</v>
      </c>
      <c r="H575" t="s">
        <v>1058</v>
      </c>
    </row>
    <row r="576" spans="1:8" x14ac:dyDescent="0.25">
      <c r="A576" t="s">
        <v>1211</v>
      </c>
      <c r="B576">
        <v>503</v>
      </c>
      <c r="C576" t="s">
        <v>1056</v>
      </c>
      <c r="D576" t="s">
        <v>1209</v>
      </c>
      <c r="E576" t="s">
        <v>1210</v>
      </c>
      <c r="F576" t="s">
        <v>879</v>
      </c>
      <c r="H576" t="s">
        <v>885</v>
      </c>
    </row>
    <row r="577" spans="1:8" x14ac:dyDescent="0.25">
      <c r="A577" t="s">
        <v>1212</v>
      </c>
      <c r="B577">
        <v>504</v>
      </c>
      <c r="C577" t="s">
        <v>1057</v>
      </c>
      <c r="D577" t="s">
        <v>930</v>
      </c>
      <c r="E577" t="s">
        <v>1209</v>
      </c>
      <c r="H577" t="s">
        <v>1058</v>
      </c>
    </row>
    <row r="578" spans="1:8" x14ac:dyDescent="0.25">
      <c r="A578" t="s">
        <v>1213</v>
      </c>
      <c r="B578">
        <v>505</v>
      </c>
      <c r="C578" t="s">
        <v>1057</v>
      </c>
      <c r="D578" t="s">
        <v>931</v>
      </c>
      <c r="E578" t="s">
        <v>1210</v>
      </c>
      <c r="H578" t="s">
        <v>1058</v>
      </c>
    </row>
    <row r="579" spans="1:8" x14ac:dyDescent="0.25">
      <c r="A579" t="s">
        <v>1216</v>
      </c>
      <c r="B579">
        <v>506</v>
      </c>
      <c r="C579" t="s">
        <v>1056</v>
      </c>
      <c r="D579" t="s">
        <v>1214</v>
      </c>
      <c r="E579" t="s">
        <v>1215</v>
      </c>
      <c r="F579" t="s">
        <v>879</v>
      </c>
      <c r="H579" t="s">
        <v>885</v>
      </c>
    </row>
    <row r="580" spans="1:8" x14ac:dyDescent="0.25">
      <c r="A580" t="s">
        <v>1217</v>
      </c>
      <c r="B580">
        <v>507</v>
      </c>
      <c r="C580" t="s">
        <v>1057</v>
      </c>
      <c r="D580" t="s">
        <v>930</v>
      </c>
      <c r="E580" t="s">
        <v>1214</v>
      </c>
      <c r="H580" t="s">
        <v>1058</v>
      </c>
    </row>
    <row r="581" spans="1:8" x14ac:dyDescent="0.25">
      <c r="A581" t="s">
        <v>1218</v>
      </c>
      <c r="B581">
        <v>508</v>
      </c>
      <c r="C581" t="s">
        <v>1057</v>
      </c>
      <c r="D581" t="s">
        <v>932</v>
      </c>
      <c r="E581" t="s">
        <v>1215</v>
      </c>
      <c r="H581" t="s">
        <v>1058</v>
      </c>
    </row>
    <row r="582" spans="1:8" x14ac:dyDescent="0.25">
      <c r="A582" t="s">
        <v>1221</v>
      </c>
      <c r="B582">
        <v>512</v>
      </c>
      <c r="C582" t="s">
        <v>1056</v>
      </c>
      <c r="D582" t="s">
        <v>1219</v>
      </c>
      <c r="E582" t="s">
        <v>1220</v>
      </c>
      <c r="F582" t="s">
        <v>879</v>
      </c>
      <c r="H582" t="s">
        <v>885</v>
      </c>
    </row>
    <row r="583" spans="1:8" x14ac:dyDescent="0.25">
      <c r="A583" t="s">
        <v>1222</v>
      </c>
      <c r="B583">
        <v>513</v>
      </c>
      <c r="C583" t="s">
        <v>1057</v>
      </c>
      <c r="D583" t="s">
        <v>933</v>
      </c>
      <c r="E583" t="s">
        <v>1219</v>
      </c>
      <c r="H583" t="s">
        <v>1058</v>
      </c>
    </row>
    <row r="584" spans="1:8" x14ac:dyDescent="0.25">
      <c r="A584" t="s">
        <v>1223</v>
      </c>
      <c r="B584">
        <v>514</v>
      </c>
      <c r="C584" t="s">
        <v>1057</v>
      </c>
      <c r="D584" t="s">
        <v>934</v>
      </c>
      <c r="E584" t="s">
        <v>1220</v>
      </c>
      <c r="H584" t="s">
        <v>1058</v>
      </c>
    </row>
    <row r="585" spans="1:8" x14ac:dyDescent="0.25">
      <c r="A585" t="s">
        <v>1226</v>
      </c>
      <c r="B585">
        <v>515</v>
      </c>
      <c r="C585" t="s">
        <v>1056</v>
      </c>
      <c r="D585" t="s">
        <v>1224</v>
      </c>
      <c r="E585" t="s">
        <v>1225</v>
      </c>
      <c r="F585" t="s">
        <v>879</v>
      </c>
      <c r="H585" t="s">
        <v>885</v>
      </c>
    </row>
    <row r="586" spans="1:8" x14ac:dyDescent="0.25">
      <c r="A586" t="s">
        <v>1227</v>
      </c>
      <c r="B586">
        <v>516</v>
      </c>
      <c r="C586" t="s">
        <v>1057</v>
      </c>
      <c r="D586" t="s">
        <v>933</v>
      </c>
      <c r="E586" t="s">
        <v>1224</v>
      </c>
      <c r="H586" t="s">
        <v>1058</v>
      </c>
    </row>
    <row r="587" spans="1:8" x14ac:dyDescent="0.25">
      <c r="A587" t="s">
        <v>1228</v>
      </c>
      <c r="B587">
        <v>517</v>
      </c>
      <c r="C587" t="s">
        <v>1057</v>
      </c>
      <c r="D587" t="s">
        <v>935</v>
      </c>
      <c r="E587" t="s">
        <v>1225</v>
      </c>
      <c r="H587" t="s">
        <v>1058</v>
      </c>
    </row>
    <row r="588" spans="1:8" x14ac:dyDescent="0.25">
      <c r="A588" t="s">
        <v>1231</v>
      </c>
      <c r="B588">
        <v>521</v>
      </c>
      <c r="C588" t="s">
        <v>1056</v>
      </c>
      <c r="D588" t="s">
        <v>1229</v>
      </c>
      <c r="E588" t="s">
        <v>1230</v>
      </c>
      <c r="F588" t="s">
        <v>879</v>
      </c>
      <c r="H588" t="s">
        <v>885</v>
      </c>
    </row>
    <row r="589" spans="1:8" x14ac:dyDescent="0.25">
      <c r="A589" t="s">
        <v>1232</v>
      </c>
      <c r="B589">
        <v>522</v>
      </c>
      <c r="C589" t="s">
        <v>1057</v>
      </c>
      <c r="D589" t="s">
        <v>936</v>
      </c>
      <c r="E589" t="s">
        <v>1229</v>
      </c>
      <c r="H589" t="s">
        <v>1058</v>
      </c>
    </row>
    <row r="590" spans="1:8" x14ac:dyDescent="0.25">
      <c r="A590" t="s">
        <v>1233</v>
      </c>
      <c r="B590">
        <v>523</v>
      </c>
      <c r="C590" t="s">
        <v>1057</v>
      </c>
      <c r="D590" t="s">
        <v>937</v>
      </c>
      <c r="E590" t="s">
        <v>1230</v>
      </c>
      <c r="H590" t="s">
        <v>1058</v>
      </c>
    </row>
    <row r="591" spans="1:8" x14ac:dyDescent="0.25">
      <c r="A591" t="s">
        <v>1236</v>
      </c>
      <c r="B591">
        <v>524</v>
      </c>
      <c r="C591" t="s">
        <v>1056</v>
      </c>
      <c r="D591" t="s">
        <v>1234</v>
      </c>
      <c r="E591" t="s">
        <v>1235</v>
      </c>
      <c r="F591" t="s">
        <v>879</v>
      </c>
      <c r="H591" t="s">
        <v>885</v>
      </c>
    </row>
    <row r="592" spans="1:8" x14ac:dyDescent="0.25">
      <c r="A592" t="s">
        <v>1237</v>
      </c>
      <c r="B592">
        <v>525</v>
      </c>
      <c r="C592" t="s">
        <v>1057</v>
      </c>
      <c r="D592" t="s">
        <v>936</v>
      </c>
      <c r="E592" t="s">
        <v>1234</v>
      </c>
      <c r="H592" t="s">
        <v>1058</v>
      </c>
    </row>
    <row r="593" spans="1:8" x14ac:dyDescent="0.25">
      <c r="A593" t="s">
        <v>1238</v>
      </c>
      <c r="B593">
        <v>526</v>
      </c>
      <c r="C593" t="s">
        <v>1057</v>
      </c>
      <c r="D593" t="s">
        <v>938</v>
      </c>
      <c r="E593" t="s">
        <v>1235</v>
      </c>
      <c r="H593" t="s">
        <v>1058</v>
      </c>
    </row>
    <row r="594" spans="1:8" x14ac:dyDescent="0.25">
      <c r="A594" t="s">
        <v>1241</v>
      </c>
      <c r="B594">
        <v>530</v>
      </c>
      <c r="C594" t="s">
        <v>1056</v>
      </c>
      <c r="D594" t="s">
        <v>1239</v>
      </c>
      <c r="E594" t="s">
        <v>1240</v>
      </c>
      <c r="F594" t="s">
        <v>879</v>
      </c>
      <c r="H594" t="s">
        <v>885</v>
      </c>
    </row>
    <row r="595" spans="1:8" x14ac:dyDescent="0.25">
      <c r="A595" t="s">
        <v>1242</v>
      </c>
      <c r="B595">
        <v>531</v>
      </c>
      <c r="C595" t="s">
        <v>1057</v>
      </c>
      <c r="D595" t="s">
        <v>939</v>
      </c>
      <c r="E595" t="s">
        <v>1239</v>
      </c>
      <c r="H595" t="s">
        <v>1058</v>
      </c>
    </row>
    <row r="596" spans="1:8" x14ac:dyDescent="0.25">
      <c r="A596" t="s">
        <v>1243</v>
      </c>
      <c r="B596">
        <v>532</v>
      </c>
      <c r="C596" t="s">
        <v>1057</v>
      </c>
      <c r="D596" t="s">
        <v>940</v>
      </c>
      <c r="E596" t="s">
        <v>1240</v>
      </c>
      <c r="H596" t="s">
        <v>1058</v>
      </c>
    </row>
    <row r="597" spans="1:8" x14ac:dyDescent="0.25">
      <c r="A597" t="s">
        <v>1246</v>
      </c>
      <c r="B597">
        <v>533</v>
      </c>
      <c r="C597" t="s">
        <v>1056</v>
      </c>
      <c r="D597" t="s">
        <v>1244</v>
      </c>
      <c r="E597" t="s">
        <v>1245</v>
      </c>
      <c r="F597" t="s">
        <v>879</v>
      </c>
      <c r="H597" t="s">
        <v>885</v>
      </c>
    </row>
    <row r="598" spans="1:8" x14ac:dyDescent="0.25">
      <c r="A598" t="s">
        <v>1247</v>
      </c>
      <c r="B598">
        <v>534</v>
      </c>
      <c r="C598" t="s">
        <v>1057</v>
      </c>
      <c r="D598" t="s">
        <v>939</v>
      </c>
      <c r="E598" t="s">
        <v>1244</v>
      </c>
      <c r="H598" t="s">
        <v>1058</v>
      </c>
    </row>
    <row r="599" spans="1:8" x14ac:dyDescent="0.25">
      <c r="A599" t="s">
        <v>1248</v>
      </c>
      <c r="B599">
        <v>535</v>
      </c>
      <c r="C599" t="s">
        <v>1057</v>
      </c>
      <c r="D599" t="s">
        <v>941</v>
      </c>
      <c r="E599" t="s">
        <v>1245</v>
      </c>
      <c r="H599" t="s">
        <v>1058</v>
      </c>
    </row>
    <row r="600" spans="1:8" x14ac:dyDescent="0.25">
      <c r="A600" t="s">
        <v>1251</v>
      </c>
      <c r="B600">
        <v>539</v>
      </c>
      <c r="C600" t="s">
        <v>1056</v>
      </c>
      <c r="D600" t="s">
        <v>1249</v>
      </c>
      <c r="E600" t="s">
        <v>1250</v>
      </c>
      <c r="F600" t="s">
        <v>879</v>
      </c>
      <c r="H600" t="s">
        <v>885</v>
      </c>
    </row>
    <row r="601" spans="1:8" x14ac:dyDescent="0.25">
      <c r="A601" t="s">
        <v>1252</v>
      </c>
      <c r="B601">
        <v>540</v>
      </c>
      <c r="C601" t="s">
        <v>1057</v>
      </c>
      <c r="D601" t="s">
        <v>942</v>
      </c>
      <c r="E601" t="s">
        <v>1249</v>
      </c>
      <c r="H601" t="s">
        <v>1058</v>
      </c>
    </row>
    <row r="602" spans="1:8" x14ac:dyDescent="0.25">
      <c r="A602" t="s">
        <v>1253</v>
      </c>
      <c r="B602">
        <v>541</v>
      </c>
      <c r="C602" t="s">
        <v>1057</v>
      </c>
      <c r="D602" t="s">
        <v>943</v>
      </c>
      <c r="E602" t="s">
        <v>1250</v>
      </c>
      <c r="H602" t="s">
        <v>1058</v>
      </c>
    </row>
    <row r="603" spans="1:8" x14ac:dyDescent="0.25">
      <c r="A603" t="s">
        <v>1256</v>
      </c>
      <c r="B603">
        <v>542</v>
      </c>
      <c r="C603" t="s">
        <v>1056</v>
      </c>
      <c r="D603" t="s">
        <v>1254</v>
      </c>
      <c r="E603" t="s">
        <v>1255</v>
      </c>
      <c r="F603" t="s">
        <v>879</v>
      </c>
      <c r="H603" t="s">
        <v>885</v>
      </c>
    </row>
    <row r="604" spans="1:8" x14ac:dyDescent="0.25">
      <c r="A604" t="s">
        <v>1257</v>
      </c>
      <c r="B604">
        <v>543</v>
      </c>
      <c r="C604" t="s">
        <v>1057</v>
      </c>
      <c r="D604" t="s">
        <v>942</v>
      </c>
      <c r="E604" t="s">
        <v>1254</v>
      </c>
      <c r="H604" t="s">
        <v>1058</v>
      </c>
    </row>
    <row r="605" spans="1:8" x14ac:dyDescent="0.25">
      <c r="A605" t="s">
        <v>1258</v>
      </c>
      <c r="B605">
        <v>544</v>
      </c>
      <c r="C605" t="s">
        <v>1057</v>
      </c>
      <c r="D605" t="s">
        <v>944</v>
      </c>
      <c r="E605" t="s">
        <v>1255</v>
      </c>
      <c r="H605" t="s">
        <v>1058</v>
      </c>
    </row>
    <row r="606" spans="1:8" x14ac:dyDescent="0.25">
      <c r="A606" t="s">
        <v>1261</v>
      </c>
      <c r="B606">
        <v>548</v>
      </c>
      <c r="C606" t="s">
        <v>1056</v>
      </c>
      <c r="D606" t="s">
        <v>1259</v>
      </c>
      <c r="E606" t="s">
        <v>1260</v>
      </c>
      <c r="F606" t="s">
        <v>880</v>
      </c>
      <c r="H606" t="s">
        <v>885</v>
      </c>
    </row>
    <row r="607" spans="1:8" x14ac:dyDescent="0.25">
      <c r="A607" t="s">
        <v>1262</v>
      </c>
      <c r="B607">
        <v>549</v>
      </c>
      <c r="C607" t="s">
        <v>1057</v>
      </c>
      <c r="D607" t="s">
        <v>945</v>
      </c>
      <c r="E607" t="s">
        <v>1259</v>
      </c>
      <c r="H607" t="s">
        <v>1058</v>
      </c>
    </row>
    <row r="608" spans="1:8" x14ac:dyDescent="0.25">
      <c r="A608" t="s">
        <v>1263</v>
      </c>
      <c r="B608">
        <v>550</v>
      </c>
      <c r="C608" t="s">
        <v>1057</v>
      </c>
      <c r="D608" t="s">
        <v>946</v>
      </c>
      <c r="E608" t="s">
        <v>1260</v>
      </c>
      <c r="H608" t="s">
        <v>1058</v>
      </c>
    </row>
    <row r="609" spans="1:8" x14ac:dyDescent="0.25">
      <c r="A609" t="s">
        <v>1266</v>
      </c>
      <c r="B609">
        <v>551</v>
      </c>
      <c r="C609" t="s">
        <v>1056</v>
      </c>
      <c r="D609" t="s">
        <v>1264</v>
      </c>
      <c r="E609" t="s">
        <v>1265</v>
      </c>
      <c r="F609" t="s">
        <v>880</v>
      </c>
      <c r="H609" t="s">
        <v>885</v>
      </c>
    </row>
    <row r="610" spans="1:8" x14ac:dyDescent="0.25">
      <c r="A610" t="s">
        <v>1267</v>
      </c>
      <c r="B610">
        <v>552</v>
      </c>
      <c r="C610" t="s">
        <v>1057</v>
      </c>
      <c r="D610" t="s">
        <v>945</v>
      </c>
      <c r="E610" t="s">
        <v>1264</v>
      </c>
      <c r="H610" t="s">
        <v>1058</v>
      </c>
    </row>
    <row r="611" spans="1:8" x14ac:dyDescent="0.25">
      <c r="A611" t="s">
        <v>1268</v>
      </c>
      <c r="B611">
        <v>553</v>
      </c>
      <c r="C611" t="s">
        <v>1057</v>
      </c>
      <c r="D611" t="s">
        <v>947</v>
      </c>
      <c r="E611" t="s">
        <v>1265</v>
      </c>
      <c r="H611" t="s">
        <v>1058</v>
      </c>
    </row>
    <row r="612" spans="1:8" x14ac:dyDescent="0.25">
      <c r="A612" t="s">
        <v>1271</v>
      </c>
      <c r="B612">
        <v>557</v>
      </c>
      <c r="C612" t="s">
        <v>1056</v>
      </c>
      <c r="D612" t="s">
        <v>1269</v>
      </c>
      <c r="E612" t="s">
        <v>1270</v>
      </c>
      <c r="F612" t="s">
        <v>880</v>
      </c>
      <c r="H612" t="s">
        <v>885</v>
      </c>
    </row>
    <row r="613" spans="1:8" x14ac:dyDescent="0.25">
      <c r="A613" t="s">
        <v>1272</v>
      </c>
      <c r="B613">
        <v>558</v>
      </c>
      <c r="C613" t="s">
        <v>1057</v>
      </c>
      <c r="D613" t="s">
        <v>948</v>
      </c>
      <c r="E613" t="s">
        <v>1269</v>
      </c>
      <c r="H613" t="s">
        <v>1058</v>
      </c>
    </row>
    <row r="614" spans="1:8" x14ac:dyDescent="0.25">
      <c r="A614" t="s">
        <v>1273</v>
      </c>
      <c r="B614">
        <v>559</v>
      </c>
      <c r="C614" t="s">
        <v>1057</v>
      </c>
      <c r="D614" t="s">
        <v>949</v>
      </c>
      <c r="E614" t="s">
        <v>1270</v>
      </c>
      <c r="H614" t="s">
        <v>1058</v>
      </c>
    </row>
    <row r="615" spans="1:8" x14ac:dyDescent="0.25">
      <c r="A615" t="s">
        <v>1276</v>
      </c>
      <c r="B615">
        <v>560</v>
      </c>
      <c r="C615" t="s">
        <v>1056</v>
      </c>
      <c r="D615" t="s">
        <v>1274</v>
      </c>
      <c r="E615" t="s">
        <v>1275</v>
      </c>
      <c r="F615" t="s">
        <v>880</v>
      </c>
      <c r="H615" t="s">
        <v>885</v>
      </c>
    </row>
    <row r="616" spans="1:8" x14ac:dyDescent="0.25">
      <c r="A616" t="s">
        <v>1277</v>
      </c>
      <c r="B616">
        <v>561</v>
      </c>
      <c r="C616" t="s">
        <v>1057</v>
      </c>
      <c r="D616" t="s">
        <v>948</v>
      </c>
      <c r="E616" t="s">
        <v>1274</v>
      </c>
      <c r="H616" t="s">
        <v>1058</v>
      </c>
    </row>
    <row r="617" spans="1:8" x14ac:dyDescent="0.25">
      <c r="A617" t="s">
        <v>1278</v>
      </c>
      <c r="B617">
        <v>562</v>
      </c>
      <c r="C617" t="s">
        <v>1057</v>
      </c>
      <c r="D617" t="s">
        <v>950</v>
      </c>
      <c r="E617" t="s">
        <v>1275</v>
      </c>
      <c r="H617" t="s">
        <v>1058</v>
      </c>
    </row>
    <row r="618" spans="1:8" x14ac:dyDescent="0.25">
      <c r="A618" t="s">
        <v>1281</v>
      </c>
      <c r="B618">
        <v>566</v>
      </c>
      <c r="C618" t="s">
        <v>1056</v>
      </c>
      <c r="D618" t="s">
        <v>1279</v>
      </c>
      <c r="E618" t="s">
        <v>1280</v>
      </c>
      <c r="F618" t="s">
        <v>880</v>
      </c>
      <c r="H618" t="s">
        <v>885</v>
      </c>
    </row>
    <row r="619" spans="1:8" x14ac:dyDescent="0.25">
      <c r="A619" t="s">
        <v>1282</v>
      </c>
      <c r="B619">
        <v>567</v>
      </c>
      <c r="C619" t="s">
        <v>1057</v>
      </c>
      <c r="D619" t="s">
        <v>951</v>
      </c>
      <c r="E619" t="s">
        <v>1279</v>
      </c>
      <c r="H619" t="s">
        <v>1058</v>
      </c>
    </row>
    <row r="620" spans="1:8" x14ac:dyDescent="0.25">
      <c r="A620" t="s">
        <v>1283</v>
      </c>
      <c r="B620">
        <v>568</v>
      </c>
      <c r="C620" t="s">
        <v>1057</v>
      </c>
      <c r="D620" t="s">
        <v>952</v>
      </c>
      <c r="E620" t="s">
        <v>1280</v>
      </c>
      <c r="H620" t="s">
        <v>1058</v>
      </c>
    </row>
    <row r="621" spans="1:8" x14ac:dyDescent="0.25">
      <c r="A621" t="s">
        <v>1286</v>
      </c>
      <c r="B621">
        <v>569</v>
      </c>
      <c r="C621" t="s">
        <v>1056</v>
      </c>
      <c r="D621" t="s">
        <v>1284</v>
      </c>
      <c r="E621" t="s">
        <v>1285</v>
      </c>
      <c r="F621" t="s">
        <v>880</v>
      </c>
      <c r="H621" t="s">
        <v>885</v>
      </c>
    </row>
    <row r="622" spans="1:8" x14ac:dyDescent="0.25">
      <c r="A622" t="s">
        <v>1287</v>
      </c>
      <c r="B622">
        <v>570</v>
      </c>
      <c r="C622" t="s">
        <v>1057</v>
      </c>
      <c r="D622" t="s">
        <v>951</v>
      </c>
      <c r="E622" t="s">
        <v>1284</v>
      </c>
      <c r="H622" t="s">
        <v>1058</v>
      </c>
    </row>
    <row r="623" spans="1:8" x14ac:dyDescent="0.25">
      <c r="A623" t="s">
        <v>1288</v>
      </c>
      <c r="B623">
        <v>571</v>
      </c>
      <c r="C623" t="s">
        <v>1057</v>
      </c>
      <c r="D623" t="s">
        <v>953</v>
      </c>
      <c r="E623" t="s">
        <v>1285</v>
      </c>
      <c r="H623" t="s">
        <v>1058</v>
      </c>
    </row>
    <row r="624" spans="1:8" x14ac:dyDescent="0.25">
      <c r="A624" t="s">
        <v>1291</v>
      </c>
      <c r="B624">
        <v>575</v>
      </c>
      <c r="C624" t="s">
        <v>1056</v>
      </c>
      <c r="D624" t="s">
        <v>1289</v>
      </c>
      <c r="E624" t="s">
        <v>1290</v>
      </c>
      <c r="F624" t="s">
        <v>879</v>
      </c>
      <c r="H624" t="s">
        <v>885</v>
      </c>
    </row>
    <row r="625" spans="1:8" x14ac:dyDescent="0.25">
      <c r="A625" t="s">
        <v>1292</v>
      </c>
      <c r="B625">
        <v>576</v>
      </c>
      <c r="C625" t="s">
        <v>1057</v>
      </c>
      <c r="D625" t="s">
        <v>954</v>
      </c>
      <c r="E625" t="s">
        <v>1289</v>
      </c>
      <c r="H625" t="s">
        <v>1058</v>
      </c>
    </row>
    <row r="626" spans="1:8" x14ac:dyDescent="0.25">
      <c r="A626" t="s">
        <v>1293</v>
      </c>
      <c r="B626">
        <v>577</v>
      </c>
      <c r="C626" t="s">
        <v>1057</v>
      </c>
      <c r="D626" t="s">
        <v>955</v>
      </c>
      <c r="E626" t="s">
        <v>1290</v>
      </c>
      <c r="H626" t="s">
        <v>1058</v>
      </c>
    </row>
    <row r="627" spans="1:8" x14ac:dyDescent="0.25">
      <c r="A627" t="s">
        <v>1296</v>
      </c>
      <c r="B627">
        <v>578</v>
      </c>
      <c r="C627" t="s">
        <v>1056</v>
      </c>
      <c r="D627" t="s">
        <v>1294</v>
      </c>
      <c r="E627" t="s">
        <v>1295</v>
      </c>
      <c r="F627" t="s">
        <v>879</v>
      </c>
      <c r="H627" t="s">
        <v>885</v>
      </c>
    </row>
    <row r="628" spans="1:8" x14ac:dyDescent="0.25">
      <c r="A628" t="s">
        <v>1297</v>
      </c>
      <c r="B628">
        <v>579</v>
      </c>
      <c r="C628" t="s">
        <v>1057</v>
      </c>
      <c r="D628" t="s">
        <v>954</v>
      </c>
      <c r="E628" t="s">
        <v>1294</v>
      </c>
      <c r="H628" t="s">
        <v>1058</v>
      </c>
    </row>
    <row r="629" spans="1:8" x14ac:dyDescent="0.25">
      <c r="A629" t="s">
        <v>1298</v>
      </c>
      <c r="B629">
        <v>580</v>
      </c>
      <c r="C629" t="s">
        <v>1057</v>
      </c>
      <c r="D629" t="s">
        <v>956</v>
      </c>
      <c r="E629" t="s">
        <v>1295</v>
      </c>
      <c r="H629" t="s">
        <v>1058</v>
      </c>
    </row>
    <row r="630" spans="1:8" x14ac:dyDescent="0.25">
      <c r="A630" t="s">
        <v>1301</v>
      </c>
      <c r="B630">
        <v>584</v>
      </c>
      <c r="C630" t="s">
        <v>1056</v>
      </c>
      <c r="D630" t="s">
        <v>1299</v>
      </c>
      <c r="E630" t="s">
        <v>1300</v>
      </c>
      <c r="F630" t="s">
        <v>879</v>
      </c>
      <c r="H630" t="s">
        <v>885</v>
      </c>
    </row>
    <row r="631" spans="1:8" x14ac:dyDescent="0.25">
      <c r="A631" t="s">
        <v>1302</v>
      </c>
      <c r="B631">
        <v>585</v>
      </c>
      <c r="C631" t="s">
        <v>1057</v>
      </c>
      <c r="D631" t="s">
        <v>957</v>
      </c>
      <c r="E631" t="s">
        <v>1299</v>
      </c>
      <c r="H631" t="s">
        <v>1058</v>
      </c>
    </row>
    <row r="632" spans="1:8" x14ac:dyDescent="0.25">
      <c r="A632" t="s">
        <v>1303</v>
      </c>
      <c r="B632">
        <v>586</v>
      </c>
      <c r="C632" t="s">
        <v>1057</v>
      </c>
      <c r="D632" t="s">
        <v>958</v>
      </c>
      <c r="E632" t="s">
        <v>1300</v>
      </c>
      <c r="H632" t="s">
        <v>1058</v>
      </c>
    </row>
    <row r="633" spans="1:8" x14ac:dyDescent="0.25">
      <c r="A633" t="s">
        <v>1306</v>
      </c>
      <c r="B633">
        <v>587</v>
      </c>
      <c r="C633" t="s">
        <v>1056</v>
      </c>
      <c r="D633" t="s">
        <v>1304</v>
      </c>
      <c r="E633" t="s">
        <v>1305</v>
      </c>
      <c r="F633" t="s">
        <v>879</v>
      </c>
      <c r="H633" t="s">
        <v>885</v>
      </c>
    </row>
    <row r="634" spans="1:8" x14ac:dyDescent="0.25">
      <c r="A634" t="s">
        <v>1307</v>
      </c>
      <c r="B634">
        <v>588</v>
      </c>
      <c r="C634" t="s">
        <v>1057</v>
      </c>
      <c r="D634" t="s">
        <v>957</v>
      </c>
      <c r="E634" t="s">
        <v>1304</v>
      </c>
      <c r="H634" t="s">
        <v>1058</v>
      </c>
    </row>
    <row r="635" spans="1:8" x14ac:dyDescent="0.25">
      <c r="A635" t="s">
        <v>1308</v>
      </c>
      <c r="B635">
        <v>589</v>
      </c>
      <c r="C635" t="s">
        <v>1057</v>
      </c>
      <c r="D635" t="s">
        <v>959</v>
      </c>
      <c r="E635" t="s">
        <v>1305</v>
      </c>
      <c r="H635" t="s">
        <v>1058</v>
      </c>
    </row>
    <row r="636" spans="1:8" x14ac:dyDescent="0.25">
      <c r="A636" t="s">
        <v>1311</v>
      </c>
      <c r="B636">
        <v>593</v>
      </c>
      <c r="C636" t="s">
        <v>1056</v>
      </c>
      <c r="D636" t="s">
        <v>1309</v>
      </c>
      <c r="E636" t="s">
        <v>1310</v>
      </c>
      <c r="F636" t="s">
        <v>879</v>
      </c>
      <c r="H636" t="s">
        <v>885</v>
      </c>
    </row>
    <row r="637" spans="1:8" x14ac:dyDescent="0.25">
      <c r="A637" t="s">
        <v>1312</v>
      </c>
      <c r="B637">
        <v>594</v>
      </c>
      <c r="C637" t="s">
        <v>1057</v>
      </c>
      <c r="D637" t="s">
        <v>960</v>
      </c>
      <c r="E637" t="s">
        <v>1309</v>
      </c>
      <c r="H637" t="s">
        <v>1058</v>
      </c>
    </row>
    <row r="638" spans="1:8" x14ac:dyDescent="0.25">
      <c r="A638" t="s">
        <v>1313</v>
      </c>
      <c r="B638">
        <v>595</v>
      </c>
      <c r="C638" t="s">
        <v>1057</v>
      </c>
      <c r="D638" t="s">
        <v>961</v>
      </c>
      <c r="E638" t="s">
        <v>1310</v>
      </c>
      <c r="H638" t="s">
        <v>1058</v>
      </c>
    </row>
    <row r="639" spans="1:8" x14ac:dyDescent="0.25">
      <c r="A639" t="s">
        <v>1316</v>
      </c>
      <c r="B639">
        <v>596</v>
      </c>
      <c r="C639" t="s">
        <v>1056</v>
      </c>
      <c r="D639" t="s">
        <v>1314</v>
      </c>
      <c r="E639" t="s">
        <v>1315</v>
      </c>
      <c r="F639" t="s">
        <v>879</v>
      </c>
      <c r="H639" t="s">
        <v>885</v>
      </c>
    </row>
    <row r="640" spans="1:8" x14ac:dyDescent="0.25">
      <c r="A640" t="s">
        <v>1317</v>
      </c>
      <c r="B640">
        <v>597</v>
      </c>
      <c r="C640" t="s">
        <v>1057</v>
      </c>
      <c r="D640" t="s">
        <v>960</v>
      </c>
      <c r="E640" t="s">
        <v>1314</v>
      </c>
      <c r="H640" t="s">
        <v>1058</v>
      </c>
    </row>
    <row r="641" spans="1:8" x14ac:dyDescent="0.25">
      <c r="A641" t="s">
        <v>1318</v>
      </c>
      <c r="B641">
        <v>598</v>
      </c>
      <c r="C641" t="s">
        <v>1057</v>
      </c>
      <c r="D641" t="s">
        <v>962</v>
      </c>
      <c r="E641" t="s">
        <v>1315</v>
      </c>
      <c r="H641" t="s">
        <v>1058</v>
      </c>
    </row>
    <row r="642" spans="1:8" x14ac:dyDescent="0.25">
      <c r="A642" t="s">
        <v>1321</v>
      </c>
      <c r="B642">
        <v>602</v>
      </c>
      <c r="C642" t="s">
        <v>1056</v>
      </c>
      <c r="D642" t="s">
        <v>1319</v>
      </c>
      <c r="E642" t="s">
        <v>1320</v>
      </c>
      <c r="F642" t="s">
        <v>879</v>
      </c>
      <c r="H642" t="s">
        <v>885</v>
      </c>
    </row>
    <row r="643" spans="1:8" x14ac:dyDescent="0.25">
      <c r="A643" t="s">
        <v>1322</v>
      </c>
      <c r="B643">
        <v>603</v>
      </c>
      <c r="C643" t="s">
        <v>1057</v>
      </c>
      <c r="D643" t="s">
        <v>963</v>
      </c>
      <c r="E643" t="s">
        <v>1319</v>
      </c>
      <c r="H643" t="s">
        <v>1058</v>
      </c>
    </row>
    <row r="644" spans="1:8" x14ac:dyDescent="0.25">
      <c r="A644" t="s">
        <v>1323</v>
      </c>
      <c r="B644">
        <v>604</v>
      </c>
      <c r="C644" t="s">
        <v>1057</v>
      </c>
      <c r="D644" t="s">
        <v>964</v>
      </c>
      <c r="E644" t="s">
        <v>1320</v>
      </c>
      <c r="H644" t="s">
        <v>1058</v>
      </c>
    </row>
    <row r="645" spans="1:8" x14ac:dyDescent="0.25">
      <c r="A645" t="s">
        <v>1326</v>
      </c>
      <c r="B645">
        <v>605</v>
      </c>
      <c r="C645" t="s">
        <v>1056</v>
      </c>
      <c r="D645" t="s">
        <v>1324</v>
      </c>
      <c r="E645" t="s">
        <v>1325</v>
      </c>
      <c r="F645" t="s">
        <v>879</v>
      </c>
      <c r="H645" t="s">
        <v>885</v>
      </c>
    </row>
    <row r="646" spans="1:8" x14ac:dyDescent="0.25">
      <c r="A646" t="s">
        <v>1327</v>
      </c>
      <c r="B646">
        <v>606</v>
      </c>
      <c r="C646" t="s">
        <v>1057</v>
      </c>
      <c r="D646" t="s">
        <v>963</v>
      </c>
      <c r="E646" t="s">
        <v>1324</v>
      </c>
      <c r="H646" t="s">
        <v>1058</v>
      </c>
    </row>
    <row r="647" spans="1:8" x14ac:dyDescent="0.25">
      <c r="A647" t="s">
        <v>1328</v>
      </c>
      <c r="B647">
        <v>607</v>
      </c>
      <c r="C647" t="s">
        <v>1057</v>
      </c>
      <c r="D647" t="s">
        <v>965</v>
      </c>
      <c r="E647" t="s">
        <v>1325</v>
      </c>
      <c r="H647" t="s">
        <v>1058</v>
      </c>
    </row>
    <row r="648" spans="1:8" x14ac:dyDescent="0.25">
      <c r="A648" t="s">
        <v>1331</v>
      </c>
      <c r="B648">
        <v>611</v>
      </c>
      <c r="C648" t="s">
        <v>1056</v>
      </c>
      <c r="D648" t="s">
        <v>1329</v>
      </c>
      <c r="E648" t="s">
        <v>1330</v>
      </c>
      <c r="F648" t="s">
        <v>879</v>
      </c>
      <c r="H648" t="s">
        <v>885</v>
      </c>
    </row>
    <row r="649" spans="1:8" x14ac:dyDescent="0.25">
      <c r="A649" t="s">
        <v>1332</v>
      </c>
      <c r="B649">
        <v>612</v>
      </c>
      <c r="C649" t="s">
        <v>1057</v>
      </c>
      <c r="D649" t="s">
        <v>966</v>
      </c>
      <c r="E649" t="s">
        <v>1329</v>
      </c>
      <c r="H649" t="s">
        <v>1058</v>
      </c>
    </row>
    <row r="650" spans="1:8" x14ac:dyDescent="0.25">
      <c r="A650" t="s">
        <v>1333</v>
      </c>
      <c r="B650">
        <v>613</v>
      </c>
      <c r="C650" t="s">
        <v>1057</v>
      </c>
      <c r="D650" t="s">
        <v>967</v>
      </c>
      <c r="E650" t="s">
        <v>1330</v>
      </c>
      <c r="H650" t="s">
        <v>1058</v>
      </c>
    </row>
    <row r="651" spans="1:8" x14ac:dyDescent="0.25">
      <c r="A651" t="s">
        <v>1336</v>
      </c>
      <c r="B651">
        <v>614</v>
      </c>
      <c r="C651" t="s">
        <v>1056</v>
      </c>
      <c r="D651" t="s">
        <v>1334</v>
      </c>
      <c r="E651" t="s">
        <v>1335</v>
      </c>
      <c r="F651" t="s">
        <v>879</v>
      </c>
      <c r="H651" t="s">
        <v>885</v>
      </c>
    </row>
    <row r="652" spans="1:8" x14ac:dyDescent="0.25">
      <c r="A652" t="s">
        <v>1337</v>
      </c>
      <c r="B652">
        <v>615</v>
      </c>
      <c r="C652" t="s">
        <v>1057</v>
      </c>
      <c r="D652" t="s">
        <v>966</v>
      </c>
      <c r="E652" t="s">
        <v>1334</v>
      </c>
      <c r="H652" t="s">
        <v>1058</v>
      </c>
    </row>
    <row r="653" spans="1:8" x14ac:dyDescent="0.25">
      <c r="A653" t="s">
        <v>1338</v>
      </c>
      <c r="B653">
        <v>616</v>
      </c>
      <c r="C653" t="s">
        <v>1057</v>
      </c>
      <c r="D653" t="s">
        <v>968</v>
      </c>
      <c r="E653" t="s">
        <v>1335</v>
      </c>
      <c r="H653" t="s">
        <v>1058</v>
      </c>
    </row>
    <row r="654" spans="1:8" x14ac:dyDescent="0.25">
      <c r="A654" t="s">
        <v>1341</v>
      </c>
      <c r="B654">
        <v>620</v>
      </c>
      <c r="C654" t="s">
        <v>1056</v>
      </c>
      <c r="D654" t="s">
        <v>1339</v>
      </c>
      <c r="E654" t="s">
        <v>1340</v>
      </c>
      <c r="F654" t="s">
        <v>879</v>
      </c>
      <c r="H654" t="s">
        <v>885</v>
      </c>
    </row>
    <row r="655" spans="1:8" x14ac:dyDescent="0.25">
      <c r="A655" t="s">
        <v>1342</v>
      </c>
      <c r="B655">
        <v>621</v>
      </c>
      <c r="C655" t="s">
        <v>1057</v>
      </c>
      <c r="D655" t="s">
        <v>969</v>
      </c>
      <c r="E655" t="s">
        <v>1339</v>
      </c>
      <c r="H655" t="s">
        <v>1058</v>
      </c>
    </row>
    <row r="656" spans="1:8" x14ac:dyDescent="0.25">
      <c r="A656" t="s">
        <v>1343</v>
      </c>
      <c r="B656">
        <v>622</v>
      </c>
      <c r="C656" t="s">
        <v>1057</v>
      </c>
      <c r="D656" t="s">
        <v>970</v>
      </c>
      <c r="E656" t="s">
        <v>1340</v>
      </c>
      <c r="H656" t="s">
        <v>1058</v>
      </c>
    </row>
    <row r="657" spans="1:8" x14ac:dyDescent="0.25">
      <c r="A657" t="s">
        <v>1346</v>
      </c>
      <c r="B657">
        <v>623</v>
      </c>
      <c r="C657" t="s">
        <v>1056</v>
      </c>
      <c r="D657" t="s">
        <v>1344</v>
      </c>
      <c r="E657" t="s">
        <v>1345</v>
      </c>
      <c r="F657" t="s">
        <v>879</v>
      </c>
      <c r="H657" t="s">
        <v>885</v>
      </c>
    </row>
    <row r="658" spans="1:8" x14ac:dyDescent="0.25">
      <c r="A658" t="s">
        <v>1347</v>
      </c>
      <c r="B658">
        <v>624</v>
      </c>
      <c r="C658" t="s">
        <v>1057</v>
      </c>
      <c r="D658" t="s">
        <v>969</v>
      </c>
      <c r="E658" t="s">
        <v>1344</v>
      </c>
      <c r="H658" t="s">
        <v>1058</v>
      </c>
    </row>
    <row r="659" spans="1:8" x14ac:dyDescent="0.25">
      <c r="A659" t="s">
        <v>1348</v>
      </c>
      <c r="B659">
        <v>625</v>
      </c>
      <c r="C659" t="s">
        <v>1057</v>
      </c>
      <c r="D659" t="s">
        <v>971</v>
      </c>
      <c r="E659" t="s">
        <v>1345</v>
      </c>
      <c r="H659" t="s">
        <v>1058</v>
      </c>
    </row>
    <row r="660" spans="1:8" x14ac:dyDescent="0.25">
      <c r="A660" t="s">
        <v>1351</v>
      </c>
      <c r="B660">
        <v>629</v>
      </c>
      <c r="C660" t="s">
        <v>1056</v>
      </c>
      <c r="D660" t="s">
        <v>1349</v>
      </c>
      <c r="E660" t="s">
        <v>1350</v>
      </c>
      <c r="F660" t="s">
        <v>879</v>
      </c>
      <c r="H660" t="s">
        <v>885</v>
      </c>
    </row>
    <row r="661" spans="1:8" x14ac:dyDescent="0.25">
      <c r="A661" t="s">
        <v>1352</v>
      </c>
      <c r="B661">
        <v>630</v>
      </c>
      <c r="C661" t="s">
        <v>1057</v>
      </c>
      <c r="D661" t="s">
        <v>972</v>
      </c>
      <c r="E661" t="s">
        <v>1349</v>
      </c>
      <c r="H661" t="s">
        <v>1058</v>
      </c>
    </row>
    <row r="662" spans="1:8" x14ac:dyDescent="0.25">
      <c r="A662" t="s">
        <v>1353</v>
      </c>
      <c r="B662">
        <v>631</v>
      </c>
      <c r="C662" t="s">
        <v>1057</v>
      </c>
      <c r="D662" t="s">
        <v>973</v>
      </c>
      <c r="E662" t="s">
        <v>1350</v>
      </c>
      <c r="H662" t="s">
        <v>1058</v>
      </c>
    </row>
    <row r="663" spans="1:8" x14ac:dyDescent="0.25">
      <c r="A663" t="s">
        <v>1356</v>
      </c>
      <c r="B663">
        <v>632</v>
      </c>
      <c r="C663" t="s">
        <v>1056</v>
      </c>
      <c r="D663" t="s">
        <v>1354</v>
      </c>
      <c r="E663" t="s">
        <v>1355</v>
      </c>
      <c r="F663" t="s">
        <v>879</v>
      </c>
      <c r="H663" t="s">
        <v>885</v>
      </c>
    </row>
    <row r="664" spans="1:8" x14ac:dyDescent="0.25">
      <c r="A664" t="s">
        <v>1357</v>
      </c>
      <c r="B664">
        <v>633</v>
      </c>
      <c r="C664" t="s">
        <v>1057</v>
      </c>
      <c r="D664" t="s">
        <v>972</v>
      </c>
      <c r="E664" t="s">
        <v>1354</v>
      </c>
      <c r="H664" t="s">
        <v>1058</v>
      </c>
    </row>
    <row r="665" spans="1:8" x14ac:dyDescent="0.25">
      <c r="A665" t="s">
        <v>1358</v>
      </c>
      <c r="B665">
        <v>634</v>
      </c>
      <c r="C665" t="s">
        <v>1057</v>
      </c>
      <c r="D665" t="s">
        <v>974</v>
      </c>
      <c r="E665" t="s">
        <v>1355</v>
      </c>
      <c r="H665" t="s">
        <v>1058</v>
      </c>
    </row>
    <row r="666" spans="1:8" x14ac:dyDescent="0.25">
      <c r="A666" t="s">
        <v>1361</v>
      </c>
      <c r="B666">
        <v>638</v>
      </c>
      <c r="C666" t="s">
        <v>1056</v>
      </c>
      <c r="D666" t="s">
        <v>1359</v>
      </c>
      <c r="E666" t="s">
        <v>1360</v>
      </c>
      <c r="F666" t="s">
        <v>880</v>
      </c>
      <c r="H666" t="s">
        <v>885</v>
      </c>
    </row>
    <row r="667" spans="1:8" x14ac:dyDescent="0.25">
      <c r="A667" t="s">
        <v>1362</v>
      </c>
      <c r="B667">
        <v>639</v>
      </c>
      <c r="C667" t="s">
        <v>1057</v>
      </c>
      <c r="D667" t="s">
        <v>975</v>
      </c>
      <c r="E667" t="s">
        <v>1359</v>
      </c>
      <c r="H667" t="s">
        <v>1058</v>
      </c>
    </row>
    <row r="668" spans="1:8" x14ac:dyDescent="0.25">
      <c r="A668" t="s">
        <v>1363</v>
      </c>
      <c r="B668">
        <v>640</v>
      </c>
      <c r="C668" t="s">
        <v>1057</v>
      </c>
      <c r="D668" t="s">
        <v>976</v>
      </c>
      <c r="E668" t="s">
        <v>1360</v>
      </c>
      <c r="H668" t="s">
        <v>1058</v>
      </c>
    </row>
    <row r="669" spans="1:8" x14ac:dyDescent="0.25">
      <c r="A669" t="s">
        <v>1366</v>
      </c>
      <c r="B669">
        <v>641</v>
      </c>
      <c r="C669" t="s">
        <v>1056</v>
      </c>
      <c r="D669" t="s">
        <v>1364</v>
      </c>
      <c r="E669" t="s">
        <v>1365</v>
      </c>
      <c r="F669" t="s">
        <v>880</v>
      </c>
      <c r="H669" t="s">
        <v>885</v>
      </c>
    </row>
    <row r="670" spans="1:8" x14ac:dyDescent="0.25">
      <c r="A670" t="s">
        <v>1367</v>
      </c>
      <c r="B670">
        <v>642</v>
      </c>
      <c r="C670" t="s">
        <v>1057</v>
      </c>
      <c r="D670" t="s">
        <v>975</v>
      </c>
      <c r="E670" t="s">
        <v>1364</v>
      </c>
      <c r="H670" t="s">
        <v>1058</v>
      </c>
    </row>
    <row r="671" spans="1:8" x14ac:dyDescent="0.25">
      <c r="A671" t="s">
        <v>1368</v>
      </c>
      <c r="B671">
        <v>643</v>
      </c>
      <c r="C671" t="s">
        <v>1057</v>
      </c>
      <c r="D671" t="s">
        <v>977</v>
      </c>
      <c r="E671" t="s">
        <v>1365</v>
      </c>
      <c r="H671" t="s">
        <v>1058</v>
      </c>
    </row>
    <row r="672" spans="1:8" x14ac:dyDescent="0.25">
      <c r="A672" t="s">
        <v>1371</v>
      </c>
      <c r="B672">
        <v>647</v>
      </c>
      <c r="C672" t="s">
        <v>1056</v>
      </c>
      <c r="D672" t="s">
        <v>1369</v>
      </c>
      <c r="E672" t="s">
        <v>1370</v>
      </c>
      <c r="F672" t="s">
        <v>880</v>
      </c>
      <c r="H672" t="s">
        <v>885</v>
      </c>
    </row>
    <row r="673" spans="1:8" x14ac:dyDescent="0.25">
      <c r="A673" t="s">
        <v>1372</v>
      </c>
      <c r="B673">
        <v>648</v>
      </c>
      <c r="C673" t="s">
        <v>1057</v>
      </c>
      <c r="D673" t="s">
        <v>978</v>
      </c>
      <c r="E673" t="s">
        <v>1369</v>
      </c>
      <c r="H673" t="s">
        <v>1058</v>
      </c>
    </row>
    <row r="674" spans="1:8" x14ac:dyDescent="0.25">
      <c r="A674" t="s">
        <v>1373</v>
      </c>
      <c r="B674">
        <v>649</v>
      </c>
      <c r="C674" t="s">
        <v>1057</v>
      </c>
      <c r="D674" t="s">
        <v>979</v>
      </c>
      <c r="E674" t="s">
        <v>1370</v>
      </c>
      <c r="H674" t="s">
        <v>1058</v>
      </c>
    </row>
    <row r="675" spans="1:8" x14ac:dyDescent="0.25">
      <c r="A675" t="s">
        <v>1376</v>
      </c>
      <c r="B675">
        <v>650</v>
      </c>
      <c r="C675" t="s">
        <v>1056</v>
      </c>
      <c r="D675" t="s">
        <v>1374</v>
      </c>
      <c r="E675" t="s">
        <v>1375</v>
      </c>
      <c r="F675" t="s">
        <v>880</v>
      </c>
      <c r="H675" t="s">
        <v>885</v>
      </c>
    </row>
    <row r="676" spans="1:8" x14ac:dyDescent="0.25">
      <c r="A676" t="s">
        <v>1377</v>
      </c>
      <c r="B676">
        <v>651</v>
      </c>
      <c r="C676" t="s">
        <v>1057</v>
      </c>
      <c r="D676" t="s">
        <v>978</v>
      </c>
      <c r="E676" t="s">
        <v>1374</v>
      </c>
      <c r="H676" t="s">
        <v>1058</v>
      </c>
    </row>
    <row r="677" spans="1:8" x14ac:dyDescent="0.25">
      <c r="A677" t="s">
        <v>1378</v>
      </c>
      <c r="B677">
        <v>652</v>
      </c>
      <c r="C677" t="s">
        <v>1057</v>
      </c>
      <c r="D677" t="s">
        <v>980</v>
      </c>
      <c r="E677" t="s">
        <v>1375</v>
      </c>
      <c r="H677" t="s">
        <v>1058</v>
      </c>
    </row>
    <row r="678" spans="1:8" x14ac:dyDescent="0.25">
      <c r="A678" t="s">
        <v>1381</v>
      </c>
      <c r="B678">
        <v>656</v>
      </c>
      <c r="C678" t="s">
        <v>1056</v>
      </c>
      <c r="D678" t="s">
        <v>1379</v>
      </c>
      <c r="E678" t="s">
        <v>1380</v>
      </c>
      <c r="F678" t="s">
        <v>880</v>
      </c>
      <c r="H678" t="s">
        <v>885</v>
      </c>
    </row>
    <row r="679" spans="1:8" x14ac:dyDescent="0.25">
      <c r="A679" t="s">
        <v>1382</v>
      </c>
      <c r="B679">
        <v>657</v>
      </c>
      <c r="C679" t="s">
        <v>1057</v>
      </c>
      <c r="D679" t="s">
        <v>981</v>
      </c>
      <c r="E679" t="s">
        <v>1379</v>
      </c>
      <c r="H679" t="s">
        <v>1058</v>
      </c>
    </row>
    <row r="680" spans="1:8" x14ac:dyDescent="0.25">
      <c r="A680" t="s">
        <v>1383</v>
      </c>
      <c r="B680">
        <v>658</v>
      </c>
      <c r="C680" t="s">
        <v>1057</v>
      </c>
      <c r="D680" t="s">
        <v>982</v>
      </c>
      <c r="E680" t="s">
        <v>1380</v>
      </c>
      <c r="H680" t="s">
        <v>1058</v>
      </c>
    </row>
    <row r="681" spans="1:8" x14ac:dyDescent="0.25">
      <c r="A681" t="s">
        <v>1386</v>
      </c>
      <c r="B681">
        <v>659</v>
      </c>
      <c r="C681" t="s">
        <v>1056</v>
      </c>
      <c r="D681" t="s">
        <v>1384</v>
      </c>
      <c r="E681" t="s">
        <v>1385</v>
      </c>
      <c r="F681" t="s">
        <v>880</v>
      </c>
      <c r="H681" t="s">
        <v>885</v>
      </c>
    </row>
    <row r="682" spans="1:8" x14ac:dyDescent="0.25">
      <c r="A682" t="s">
        <v>1387</v>
      </c>
      <c r="B682">
        <v>660</v>
      </c>
      <c r="C682" t="s">
        <v>1057</v>
      </c>
      <c r="D682" t="s">
        <v>981</v>
      </c>
      <c r="E682" t="s">
        <v>1384</v>
      </c>
      <c r="H682" t="s">
        <v>1058</v>
      </c>
    </row>
    <row r="683" spans="1:8" x14ac:dyDescent="0.25">
      <c r="A683" t="s">
        <v>1388</v>
      </c>
      <c r="B683">
        <v>661</v>
      </c>
      <c r="C683" t="s">
        <v>1057</v>
      </c>
      <c r="D683" t="s">
        <v>983</v>
      </c>
      <c r="E683" t="s">
        <v>1385</v>
      </c>
      <c r="H683" t="s">
        <v>1058</v>
      </c>
    </row>
    <row r="684" spans="1:8" x14ac:dyDescent="0.25">
      <c r="A684" t="s">
        <v>1391</v>
      </c>
      <c r="B684">
        <v>665</v>
      </c>
      <c r="C684" t="s">
        <v>1056</v>
      </c>
      <c r="D684" t="s">
        <v>1389</v>
      </c>
      <c r="E684" t="s">
        <v>1390</v>
      </c>
      <c r="F684" t="s">
        <v>879</v>
      </c>
      <c r="H684" t="s">
        <v>885</v>
      </c>
    </row>
    <row r="685" spans="1:8" x14ac:dyDescent="0.25">
      <c r="A685" t="s">
        <v>1392</v>
      </c>
      <c r="B685">
        <v>666</v>
      </c>
      <c r="C685" t="s">
        <v>1057</v>
      </c>
      <c r="D685" t="s">
        <v>984</v>
      </c>
      <c r="E685" t="s">
        <v>1389</v>
      </c>
      <c r="H685" t="s">
        <v>1058</v>
      </c>
    </row>
    <row r="686" spans="1:8" x14ac:dyDescent="0.25">
      <c r="A686" t="s">
        <v>1393</v>
      </c>
      <c r="B686">
        <v>667</v>
      </c>
      <c r="C686" t="s">
        <v>1057</v>
      </c>
      <c r="D686" t="s">
        <v>985</v>
      </c>
      <c r="E686" t="s">
        <v>1390</v>
      </c>
      <c r="H686" t="s">
        <v>1058</v>
      </c>
    </row>
    <row r="687" spans="1:8" x14ac:dyDescent="0.25">
      <c r="A687" t="s">
        <v>1396</v>
      </c>
      <c r="B687">
        <v>668</v>
      </c>
      <c r="C687" t="s">
        <v>1056</v>
      </c>
      <c r="D687" t="s">
        <v>1394</v>
      </c>
      <c r="E687" t="s">
        <v>1395</v>
      </c>
      <c r="F687" t="s">
        <v>879</v>
      </c>
      <c r="H687" t="s">
        <v>885</v>
      </c>
    </row>
    <row r="688" spans="1:8" x14ac:dyDescent="0.25">
      <c r="A688" t="s">
        <v>1397</v>
      </c>
      <c r="B688">
        <v>669</v>
      </c>
      <c r="C688" t="s">
        <v>1057</v>
      </c>
      <c r="D688" t="s">
        <v>984</v>
      </c>
      <c r="E688" t="s">
        <v>1394</v>
      </c>
      <c r="H688" t="s">
        <v>1058</v>
      </c>
    </row>
    <row r="689" spans="1:8" x14ac:dyDescent="0.25">
      <c r="A689" t="s">
        <v>1398</v>
      </c>
      <c r="B689">
        <v>670</v>
      </c>
      <c r="C689" t="s">
        <v>1057</v>
      </c>
      <c r="D689" t="s">
        <v>986</v>
      </c>
      <c r="E689" t="s">
        <v>1395</v>
      </c>
      <c r="H689" t="s">
        <v>1058</v>
      </c>
    </row>
    <row r="690" spans="1:8" x14ac:dyDescent="0.25">
      <c r="A690" t="s">
        <v>1401</v>
      </c>
      <c r="B690">
        <v>674</v>
      </c>
      <c r="C690" t="s">
        <v>1056</v>
      </c>
      <c r="D690" t="s">
        <v>1399</v>
      </c>
      <c r="E690" t="s">
        <v>1400</v>
      </c>
      <c r="F690" t="s">
        <v>879</v>
      </c>
      <c r="H690" t="s">
        <v>885</v>
      </c>
    </row>
    <row r="691" spans="1:8" x14ac:dyDescent="0.25">
      <c r="A691" t="s">
        <v>1402</v>
      </c>
      <c r="B691">
        <v>675</v>
      </c>
      <c r="C691" t="s">
        <v>1057</v>
      </c>
      <c r="D691" t="s">
        <v>987</v>
      </c>
      <c r="E691" t="s">
        <v>1399</v>
      </c>
      <c r="H691" t="s">
        <v>1058</v>
      </c>
    </row>
    <row r="692" spans="1:8" x14ac:dyDescent="0.25">
      <c r="A692" t="s">
        <v>1403</v>
      </c>
      <c r="B692">
        <v>676</v>
      </c>
      <c r="C692" t="s">
        <v>1057</v>
      </c>
      <c r="D692" t="s">
        <v>988</v>
      </c>
      <c r="E692" t="s">
        <v>1400</v>
      </c>
      <c r="H692" t="s">
        <v>1058</v>
      </c>
    </row>
    <row r="693" spans="1:8" x14ac:dyDescent="0.25">
      <c r="A693" t="s">
        <v>1406</v>
      </c>
      <c r="B693">
        <v>677</v>
      </c>
      <c r="C693" t="s">
        <v>1056</v>
      </c>
      <c r="D693" t="s">
        <v>1404</v>
      </c>
      <c r="E693" t="s">
        <v>1405</v>
      </c>
      <c r="F693" t="s">
        <v>879</v>
      </c>
      <c r="H693" t="s">
        <v>885</v>
      </c>
    </row>
    <row r="694" spans="1:8" x14ac:dyDescent="0.25">
      <c r="A694" t="s">
        <v>1407</v>
      </c>
      <c r="B694">
        <v>678</v>
      </c>
      <c r="C694" t="s">
        <v>1057</v>
      </c>
      <c r="D694" t="s">
        <v>987</v>
      </c>
      <c r="E694" t="s">
        <v>1404</v>
      </c>
      <c r="H694" t="s">
        <v>1058</v>
      </c>
    </row>
    <row r="695" spans="1:8" x14ac:dyDescent="0.25">
      <c r="A695" t="s">
        <v>1408</v>
      </c>
      <c r="B695">
        <v>679</v>
      </c>
      <c r="C695" t="s">
        <v>1057</v>
      </c>
      <c r="D695" t="s">
        <v>989</v>
      </c>
      <c r="E695" t="s">
        <v>1405</v>
      </c>
      <c r="H695" t="s">
        <v>1058</v>
      </c>
    </row>
    <row r="696" spans="1:8" x14ac:dyDescent="0.25">
      <c r="A696" t="s">
        <v>1411</v>
      </c>
      <c r="B696">
        <v>683</v>
      </c>
      <c r="C696" t="s">
        <v>1056</v>
      </c>
      <c r="D696" t="s">
        <v>1409</v>
      </c>
      <c r="E696" t="s">
        <v>1410</v>
      </c>
      <c r="F696" t="s">
        <v>879</v>
      </c>
      <c r="H696" t="s">
        <v>885</v>
      </c>
    </row>
    <row r="697" spans="1:8" x14ac:dyDescent="0.25">
      <c r="A697" t="s">
        <v>1412</v>
      </c>
      <c r="B697">
        <v>684</v>
      </c>
      <c r="C697" t="s">
        <v>1057</v>
      </c>
      <c r="D697" t="s">
        <v>990</v>
      </c>
      <c r="E697" t="s">
        <v>1409</v>
      </c>
      <c r="H697" t="s">
        <v>1058</v>
      </c>
    </row>
    <row r="698" spans="1:8" x14ac:dyDescent="0.25">
      <c r="A698" t="s">
        <v>1413</v>
      </c>
      <c r="B698">
        <v>685</v>
      </c>
      <c r="C698" t="s">
        <v>1057</v>
      </c>
      <c r="D698" t="s">
        <v>991</v>
      </c>
      <c r="E698" t="s">
        <v>1410</v>
      </c>
      <c r="H698" t="s">
        <v>1058</v>
      </c>
    </row>
    <row r="699" spans="1:8" x14ac:dyDescent="0.25">
      <c r="A699" t="s">
        <v>1416</v>
      </c>
      <c r="B699">
        <v>686</v>
      </c>
      <c r="C699" t="s">
        <v>1056</v>
      </c>
      <c r="D699" t="s">
        <v>1414</v>
      </c>
      <c r="E699" t="s">
        <v>1415</v>
      </c>
      <c r="F699" t="s">
        <v>879</v>
      </c>
      <c r="H699" t="s">
        <v>885</v>
      </c>
    </row>
    <row r="700" spans="1:8" x14ac:dyDescent="0.25">
      <c r="A700" t="s">
        <v>1417</v>
      </c>
      <c r="B700">
        <v>687</v>
      </c>
      <c r="C700" t="s">
        <v>1057</v>
      </c>
      <c r="D700" t="s">
        <v>990</v>
      </c>
      <c r="E700" t="s">
        <v>1414</v>
      </c>
      <c r="H700" t="s">
        <v>1058</v>
      </c>
    </row>
    <row r="701" spans="1:8" x14ac:dyDescent="0.25">
      <c r="A701" t="s">
        <v>1418</v>
      </c>
      <c r="B701">
        <v>688</v>
      </c>
      <c r="C701" t="s">
        <v>1057</v>
      </c>
      <c r="D701" t="s">
        <v>992</v>
      </c>
      <c r="E701" t="s">
        <v>1415</v>
      </c>
      <c r="H701" t="s">
        <v>1058</v>
      </c>
    </row>
    <row r="702" spans="1:8" x14ac:dyDescent="0.25">
      <c r="A702" t="s">
        <v>1421</v>
      </c>
      <c r="B702">
        <v>692</v>
      </c>
      <c r="C702" t="s">
        <v>1056</v>
      </c>
      <c r="D702" t="s">
        <v>1419</v>
      </c>
      <c r="E702" t="s">
        <v>1420</v>
      </c>
      <c r="F702" t="s">
        <v>879</v>
      </c>
      <c r="H702" t="s">
        <v>885</v>
      </c>
    </row>
    <row r="703" spans="1:8" x14ac:dyDescent="0.25">
      <c r="A703" t="s">
        <v>1422</v>
      </c>
      <c r="B703">
        <v>693</v>
      </c>
      <c r="C703" t="s">
        <v>1057</v>
      </c>
      <c r="D703" t="s">
        <v>993</v>
      </c>
      <c r="E703" t="s">
        <v>1419</v>
      </c>
      <c r="H703" t="s">
        <v>1058</v>
      </c>
    </row>
    <row r="704" spans="1:8" x14ac:dyDescent="0.25">
      <c r="A704" t="s">
        <v>1423</v>
      </c>
      <c r="B704">
        <v>694</v>
      </c>
      <c r="C704" t="s">
        <v>1057</v>
      </c>
      <c r="D704" t="s">
        <v>994</v>
      </c>
      <c r="E704" t="s">
        <v>1420</v>
      </c>
      <c r="H704" t="s">
        <v>1058</v>
      </c>
    </row>
    <row r="705" spans="1:8" x14ac:dyDescent="0.25">
      <c r="A705" t="s">
        <v>1426</v>
      </c>
      <c r="B705">
        <v>695</v>
      </c>
      <c r="C705" t="s">
        <v>1056</v>
      </c>
      <c r="D705" t="s">
        <v>1424</v>
      </c>
      <c r="E705" t="s">
        <v>1425</v>
      </c>
      <c r="F705" t="s">
        <v>879</v>
      </c>
      <c r="H705" t="s">
        <v>885</v>
      </c>
    </row>
    <row r="706" spans="1:8" x14ac:dyDescent="0.25">
      <c r="A706" t="s">
        <v>1427</v>
      </c>
      <c r="B706">
        <v>696</v>
      </c>
      <c r="C706" t="s">
        <v>1057</v>
      </c>
      <c r="D706" t="s">
        <v>993</v>
      </c>
      <c r="E706" t="s">
        <v>1424</v>
      </c>
      <c r="H706" t="s">
        <v>1058</v>
      </c>
    </row>
    <row r="707" spans="1:8" x14ac:dyDescent="0.25">
      <c r="A707" t="s">
        <v>1428</v>
      </c>
      <c r="B707">
        <v>697</v>
      </c>
      <c r="C707" t="s">
        <v>1057</v>
      </c>
      <c r="D707" t="s">
        <v>995</v>
      </c>
      <c r="E707" t="s">
        <v>1425</v>
      </c>
      <c r="H707" t="s">
        <v>1058</v>
      </c>
    </row>
    <row r="708" spans="1:8" x14ac:dyDescent="0.25">
      <c r="A708" t="s">
        <v>1431</v>
      </c>
      <c r="B708">
        <v>701</v>
      </c>
      <c r="C708" t="s">
        <v>1056</v>
      </c>
      <c r="D708" t="s">
        <v>1429</v>
      </c>
      <c r="E708" t="s">
        <v>1430</v>
      </c>
      <c r="F708" t="s">
        <v>879</v>
      </c>
      <c r="H708" t="s">
        <v>885</v>
      </c>
    </row>
    <row r="709" spans="1:8" x14ac:dyDescent="0.25">
      <c r="A709" t="s">
        <v>1432</v>
      </c>
      <c r="B709">
        <v>702</v>
      </c>
      <c r="C709" t="s">
        <v>1057</v>
      </c>
      <c r="D709" t="s">
        <v>996</v>
      </c>
      <c r="E709" t="s">
        <v>1429</v>
      </c>
      <c r="H709" t="s">
        <v>1058</v>
      </c>
    </row>
    <row r="710" spans="1:8" x14ac:dyDescent="0.25">
      <c r="A710" t="s">
        <v>1433</v>
      </c>
      <c r="B710">
        <v>703</v>
      </c>
      <c r="C710" t="s">
        <v>1057</v>
      </c>
      <c r="D710" t="s">
        <v>997</v>
      </c>
      <c r="E710" t="s">
        <v>1430</v>
      </c>
      <c r="H710" t="s">
        <v>1058</v>
      </c>
    </row>
    <row r="711" spans="1:8" x14ac:dyDescent="0.25">
      <c r="A711" t="s">
        <v>1436</v>
      </c>
      <c r="B711">
        <v>704</v>
      </c>
      <c r="C711" t="s">
        <v>1056</v>
      </c>
      <c r="D711" t="s">
        <v>1434</v>
      </c>
      <c r="E711" t="s">
        <v>1435</v>
      </c>
      <c r="F711" t="s">
        <v>879</v>
      </c>
      <c r="H711" t="s">
        <v>885</v>
      </c>
    </row>
    <row r="712" spans="1:8" x14ac:dyDescent="0.25">
      <c r="A712" t="s">
        <v>1437</v>
      </c>
      <c r="B712">
        <v>705</v>
      </c>
      <c r="C712" t="s">
        <v>1057</v>
      </c>
      <c r="D712" t="s">
        <v>996</v>
      </c>
      <c r="E712" t="s">
        <v>1434</v>
      </c>
      <c r="H712" t="s">
        <v>1058</v>
      </c>
    </row>
    <row r="713" spans="1:8" x14ac:dyDescent="0.25">
      <c r="A713" t="s">
        <v>1438</v>
      </c>
      <c r="B713">
        <v>706</v>
      </c>
      <c r="C713" t="s">
        <v>1057</v>
      </c>
      <c r="D713" t="s">
        <v>998</v>
      </c>
      <c r="E713" t="s">
        <v>1435</v>
      </c>
      <c r="H713" t="s">
        <v>1058</v>
      </c>
    </row>
    <row r="714" spans="1:8" x14ac:dyDescent="0.25">
      <c r="A714" t="s">
        <v>1441</v>
      </c>
      <c r="B714">
        <v>710</v>
      </c>
      <c r="C714" t="s">
        <v>1056</v>
      </c>
      <c r="D714" t="s">
        <v>1439</v>
      </c>
      <c r="E714" t="s">
        <v>1440</v>
      </c>
      <c r="F714" t="s">
        <v>879</v>
      </c>
      <c r="H714" t="s">
        <v>885</v>
      </c>
    </row>
    <row r="715" spans="1:8" x14ac:dyDescent="0.25">
      <c r="A715" t="s">
        <v>1442</v>
      </c>
      <c r="B715">
        <v>711</v>
      </c>
      <c r="C715" t="s">
        <v>1057</v>
      </c>
      <c r="D715" t="s">
        <v>999</v>
      </c>
      <c r="E715" t="s">
        <v>1439</v>
      </c>
      <c r="H715" t="s">
        <v>1058</v>
      </c>
    </row>
    <row r="716" spans="1:8" x14ac:dyDescent="0.25">
      <c r="A716" t="s">
        <v>1443</v>
      </c>
      <c r="B716">
        <v>712</v>
      </c>
      <c r="C716" t="s">
        <v>1057</v>
      </c>
      <c r="D716" t="s">
        <v>1000</v>
      </c>
      <c r="E716" t="s">
        <v>1440</v>
      </c>
      <c r="H716" t="s">
        <v>1058</v>
      </c>
    </row>
    <row r="717" spans="1:8" x14ac:dyDescent="0.25">
      <c r="A717" t="s">
        <v>1446</v>
      </c>
      <c r="B717">
        <v>713</v>
      </c>
      <c r="C717" t="s">
        <v>1056</v>
      </c>
      <c r="D717" t="s">
        <v>1444</v>
      </c>
      <c r="E717" t="s">
        <v>1445</v>
      </c>
      <c r="F717" t="s">
        <v>879</v>
      </c>
      <c r="H717" t="s">
        <v>885</v>
      </c>
    </row>
    <row r="718" spans="1:8" x14ac:dyDescent="0.25">
      <c r="A718" t="s">
        <v>1447</v>
      </c>
      <c r="B718">
        <v>714</v>
      </c>
      <c r="C718" t="s">
        <v>1057</v>
      </c>
      <c r="D718" t="s">
        <v>999</v>
      </c>
      <c r="E718" t="s">
        <v>1444</v>
      </c>
      <c r="H718" t="s">
        <v>1058</v>
      </c>
    </row>
    <row r="719" spans="1:8" x14ac:dyDescent="0.25">
      <c r="A719" t="s">
        <v>1448</v>
      </c>
      <c r="B719">
        <v>715</v>
      </c>
      <c r="C719" t="s">
        <v>1057</v>
      </c>
      <c r="D719" t="s">
        <v>1001</v>
      </c>
      <c r="E719" t="s">
        <v>1445</v>
      </c>
      <c r="H719" t="s">
        <v>1058</v>
      </c>
    </row>
    <row r="720" spans="1:8" x14ac:dyDescent="0.25">
      <c r="A720" t="s">
        <v>1451</v>
      </c>
      <c r="B720">
        <v>719</v>
      </c>
      <c r="C720" t="s">
        <v>1056</v>
      </c>
      <c r="D720" t="s">
        <v>1449</v>
      </c>
      <c r="E720" t="s">
        <v>1450</v>
      </c>
      <c r="F720" t="s">
        <v>879</v>
      </c>
      <c r="H720" t="s">
        <v>885</v>
      </c>
    </row>
    <row r="721" spans="1:8" x14ac:dyDescent="0.25">
      <c r="A721" t="s">
        <v>1452</v>
      </c>
      <c r="B721">
        <v>720</v>
      </c>
      <c r="C721" t="s">
        <v>1057</v>
      </c>
      <c r="D721" t="s">
        <v>1002</v>
      </c>
      <c r="E721" t="s">
        <v>1449</v>
      </c>
      <c r="H721" t="s">
        <v>1058</v>
      </c>
    </row>
    <row r="722" spans="1:8" x14ac:dyDescent="0.25">
      <c r="A722" t="s">
        <v>1453</v>
      </c>
      <c r="B722">
        <v>721</v>
      </c>
      <c r="C722" t="s">
        <v>1057</v>
      </c>
      <c r="D722" t="s">
        <v>1003</v>
      </c>
      <c r="E722" t="s">
        <v>1450</v>
      </c>
      <c r="H722" t="s">
        <v>1058</v>
      </c>
    </row>
    <row r="723" spans="1:8" x14ac:dyDescent="0.25">
      <c r="A723" t="s">
        <v>1456</v>
      </c>
      <c r="B723">
        <v>722</v>
      </c>
      <c r="C723" t="s">
        <v>1056</v>
      </c>
      <c r="D723" t="s">
        <v>1454</v>
      </c>
      <c r="E723" t="s">
        <v>1455</v>
      </c>
      <c r="F723" t="s">
        <v>879</v>
      </c>
      <c r="H723" t="s">
        <v>885</v>
      </c>
    </row>
    <row r="724" spans="1:8" x14ac:dyDescent="0.25">
      <c r="A724" t="s">
        <v>1457</v>
      </c>
      <c r="B724">
        <v>723</v>
      </c>
      <c r="C724" t="s">
        <v>1057</v>
      </c>
      <c r="D724" t="s">
        <v>1002</v>
      </c>
      <c r="E724" t="s">
        <v>1454</v>
      </c>
      <c r="H724" t="s">
        <v>1058</v>
      </c>
    </row>
    <row r="725" spans="1:8" x14ac:dyDescent="0.25">
      <c r="A725" t="s">
        <v>1458</v>
      </c>
      <c r="B725">
        <v>724</v>
      </c>
      <c r="C725" t="s">
        <v>1057</v>
      </c>
      <c r="D725" t="s">
        <v>1004</v>
      </c>
      <c r="E725" t="s">
        <v>1455</v>
      </c>
      <c r="H725" t="s">
        <v>1058</v>
      </c>
    </row>
    <row r="726" spans="1:8" x14ac:dyDescent="0.25">
      <c r="A726" t="s">
        <v>1568</v>
      </c>
      <c r="B726">
        <v>725</v>
      </c>
      <c r="C726" t="s">
        <v>1057</v>
      </c>
      <c r="D726" t="s">
        <v>1007</v>
      </c>
      <c r="E726" t="s">
        <v>1565</v>
      </c>
      <c r="H726" t="s">
        <v>1569</v>
      </c>
    </row>
    <row r="727" spans="1:8" x14ac:dyDescent="0.25">
      <c r="A727" t="s">
        <v>1550</v>
      </c>
      <c r="B727">
        <v>726</v>
      </c>
      <c r="C727" t="s">
        <v>34</v>
      </c>
      <c r="D727" t="s">
        <v>1567</v>
      </c>
      <c r="E727" t="s">
        <v>1565</v>
      </c>
      <c r="F727" t="s">
        <v>2648</v>
      </c>
      <c r="H727" t="s">
        <v>1566</v>
      </c>
    </row>
    <row r="728" spans="1:8" x14ac:dyDescent="0.25">
      <c r="A728" t="s">
        <v>1572</v>
      </c>
      <c r="B728">
        <v>727</v>
      </c>
      <c r="C728" t="s">
        <v>1057</v>
      </c>
      <c r="D728" t="s">
        <v>1007</v>
      </c>
      <c r="E728" t="s">
        <v>1570</v>
      </c>
      <c r="H728" t="s">
        <v>1569</v>
      </c>
    </row>
    <row r="729" spans="1:8" x14ac:dyDescent="0.25">
      <c r="A729" t="s">
        <v>1551</v>
      </c>
      <c r="B729">
        <v>728</v>
      </c>
      <c r="C729" t="s">
        <v>34</v>
      </c>
      <c r="D729" t="s">
        <v>1571</v>
      </c>
      <c r="E729" t="s">
        <v>1570</v>
      </c>
      <c r="F729" t="s">
        <v>2648</v>
      </c>
      <c r="H729" t="s">
        <v>1566</v>
      </c>
    </row>
    <row r="730" spans="1:8" x14ac:dyDescent="0.25">
      <c r="A730" t="s">
        <v>1575</v>
      </c>
      <c r="B730">
        <v>729</v>
      </c>
      <c r="C730" t="s">
        <v>1057</v>
      </c>
      <c r="D730" t="s">
        <v>1007</v>
      </c>
      <c r="E730" t="s">
        <v>1573</v>
      </c>
      <c r="H730" t="s">
        <v>1569</v>
      </c>
    </row>
    <row r="731" spans="1:8" x14ac:dyDescent="0.25">
      <c r="A731" t="s">
        <v>1552</v>
      </c>
      <c r="B731">
        <v>730</v>
      </c>
      <c r="C731" t="s">
        <v>34</v>
      </c>
      <c r="D731" t="s">
        <v>1574</v>
      </c>
      <c r="E731" t="s">
        <v>1573</v>
      </c>
      <c r="F731" t="s">
        <v>2648</v>
      </c>
      <c r="H731" t="s">
        <v>1566</v>
      </c>
    </row>
    <row r="732" spans="1:8" x14ac:dyDescent="0.25">
      <c r="A732" t="s">
        <v>1578</v>
      </c>
      <c r="B732">
        <v>731</v>
      </c>
      <c r="C732" t="s">
        <v>1057</v>
      </c>
      <c r="D732" t="s">
        <v>1007</v>
      </c>
      <c r="E732" t="s">
        <v>1576</v>
      </c>
      <c r="H732" t="s">
        <v>1569</v>
      </c>
    </row>
    <row r="733" spans="1:8" x14ac:dyDescent="0.25">
      <c r="A733" t="s">
        <v>1546</v>
      </c>
      <c r="B733">
        <v>732</v>
      </c>
      <c r="C733" t="s">
        <v>34</v>
      </c>
      <c r="D733" t="s">
        <v>1577</v>
      </c>
      <c r="E733" t="s">
        <v>1576</v>
      </c>
      <c r="F733" t="s">
        <v>2648</v>
      </c>
      <c r="H733" t="s">
        <v>1566</v>
      </c>
    </row>
    <row r="734" spans="1:8" x14ac:dyDescent="0.25">
      <c r="A734" t="s">
        <v>1581</v>
      </c>
      <c r="B734">
        <v>733</v>
      </c>
      <c r="C734" t="s">
        <v>1057</v>
      </c>
      <c r="D734" t="s">
        <v>1009</v>
      </c>
      <c r="E734" t="s">
        <v>1579</v>
      </c>
      <c r="H734" t="s">
        <v>1569</v>
      </c>
    </row>
    <row r="735" spans="1:8" x14ac:dyDescent="0.25">
      <c r="A735" t="s">
        <v>1553</v>
      </c>
      <c r="B735">
        <v>734</v>
      </c>
      <c r="C735" t="s">
        <v>34</v>
      </c>
      <c r="D735" t="s">
        <v>1580</v>
      </c>
      <c r="E735" t="s">
        <v>1579</v>
      </c>
      <c r="F735" t="s">
        <v>2648</v>
      </c>
      <c r="H735" t="s">
        <v>1566</v>
      </c>
    </row>
    <row r="736" spans="1:8" x14ac:dyDescent="0.25">
      <c r="A736" t="s">
        <v>1584</v>
      </c>
      <c r="B736">
        <v>735</v>
      </c>
      <c r="C736" t="s">
        <v>1057</v>
      </c>
      <c r="D736" t="s">
        <v>1009</v>
      </c>
      <c r="E736" t="s">
        <v>1582</v>
      </c>
      <c r="H736" t="s">
        <v>1569</v>
      </c>
    </row>
    <row r="737" spans="1:8" x14ac:dyDescent="0.25">
      <c r="A737" t="s">
        <v>1554</v>
      </c>
      <c r="B737">
        <v>736</v>
      </c>
      <c r="C737" t="s">
        <v>34</v>
      </c>
      <c r="D737" t="s">
        <v>1583</v>
      </c>
      <c r="E737" t="s">
        <v>1582</v>
      </c>
      <c r="F737" t="s">
        <v>2648</v>
      </c>
      <c r="H737" t="s">
        <v>1566</v>
      </c>
    </row>
    <row r="738" spans="1:8" x14ac:dyDescent="0.25">
      <c r="A738" t="s">
        <v>1587</v>
      </c>
      <c r="B738">
        <v>737</v>
      </c>
      <c r="C738" t="s">
        <v>1057</v>
      </c>
      <c r="D738" t="s">
        <v>1009</v>
      </c>
      <c r="E738" t="s">
        <v>1585</v>
      </c>
      <c r="H738" t="s">
        <v>1569</v>
      </c>
    </row>
    <row r="739" spans="1:8" x14ac:dyDescent="0.25">
      <c r="A739" t="s">
        <v>1555</v>
      </c>
      <c r="B739">
        <v>738</v>
      </c>
      <c r="C739" t="s">
        <v>34</v>
      </c>
      <c r="D739" t="s">
        <v>1586</v>
      </c>
      <c r="E739" t="s">
        <v>1585</v>
      </c>
      <c r="F739" t="s">
        <v>2648</v>
      </c>
      <c r="H739" t="s">
        <v>1566</v>
      </c>
    </row>
    <row r="740" spans="1:8" x14ac:dyDescent="0.25">
      <c r="A740" t="s">
        <v>1590</v>
      </c>
      <c r="B740">
        <v>739</v>
      </c>
      <c r="C740" t="s">
        <v>1057</v>
      </c>
      <c r="D740" t="s">
        <v>1009</v>
      </c>
      <c r="E740" t="s">
        <v>1588</v>
      </c>
      <c r="H740" t="s">
        <v>1569</v>
      </c>
    </row>
    <row r="741" spans="1:8" x14ac:dyDescent="0.25">
      <c r="A741" t="s">
        <v>1547</v>
      </c>
      <c r="B741">
        <v>740</v>
      </c>
      <c r="C741" t="s">
        <v>34</v>
      </c>
      <c r="D741" t="s">
        <v>1589</v>
      </c>
      <c r="E741" t="s">
        <v>1588</v>
      </c>
      <c r="F741" t="s">
        <v>2648</v>
      </c>
      <c r="H741" t="s">
        <v>1566</v>
      </c>
    </row>
    <row r="742" spans="1:8" x14ac:dyDescent="0.25">
      <c r="A742" t="s">
        <v>1593</v>
      </c>
      <c r="B742">
        <v>741</v>
      </c>
      <c r="C742" t="s">
        <v>1057</v>
      </c>
      <c r="D742" t="s">
        <v>1011</v>
      </c>
      <c r="E742" t="s">
        <v>1591</v>
      </c>
      <c r="H742" t="s">
        <v>1569</v>
      </c>
    </row>
    <row r="743" spans="1:8" x14ac:dyDescent="0.25">
      <c r="A743" t="s">
        <v>1556</v>
      </c>
      <c r="B743">
        <v>742</v>
      </c>
      <c r="C743" t="s">
        <v>34</v>
      </c>
      <c r="D743" t="s">
        <v>1592</v>
      </c>
      <c r="E743" t="s">
        <v>1591</v>
      </c>
      <c r="F743" t="s">
        <v>2649</v>
      </c>
      <c r="H743" t="s">
        <v>1566</v>
      </c>
    </row>
    <row r="744" spans="1:8" x14ac:dyDescent="0.25">
      <c r="A744" t="s">
        <v>1596</v>
      </c>
      <c r="B744">
        <v>743</v>
      </c>
      <c r="C744" t="s">
        <v>1057</v>
      </c>
      <c r="D744" t="s">
        <v>1011</v>
      </c>
      <c r="E744" t="s">
        <v>1594</v>
      </c>
      <c r="H744" t="s">
        <v>1569</v>
      </c>
    </row>
    <row r="745" spans="1:8" x14ac:dyDescent="0.25">
      <c r="A745" t="s">
        <v>1557</v>
      </c>
      <c r="B745">
        <v>744</v>
      </c>
      <c r="C745" t="s">
        <v>34</v>
      </c>
      <c r="D745" t="s">
        <v>1595</v>
      </c>
      <c r="E745" t="s">
        <v>1594</v>
      </c>
      <c r="F745" t="s">
        <v>2649</v>
      </c>
      <c r="H745" t="s">
        <v>1566</v>
      </c>
    </row>
    <row r="746" spans="1:8" x14ac:dyDescent="0.25">
      <c r="A746" t="s">
        <v>1599</v>
      </c>
      <c r="B746">
        <v>745</v>
      </c>
      <c r="C746" t="s">
        <v>1057</v>
      </c>
      <c r="D746" t="s">
        <v>1011</v>
      </c>
      <c r="E746" t="s">
        <v>1597</v>
      </c>
      <c r="H746" t="s">
        <v>1569</v>
      </c>
    </row>
    <row r="747" spans="1:8" x14ac:dyDescent="0.25">
      <c r="A747" t="s">
        <v>1558</v>
      </c>
      <c r="B747">
        <v>746</v>
      </c>
      <c r="C747" t="s">
        <v>34</v>
      </c>
      <c r="D747" t="s">
        <v>1598</v>
      </c>
      <c r="E747" t="s">
        <v>1597</v>
      </c>
      <c r="F747" t="s">
        <v>2649</v>
      </c>
      <c r="H747" t="s">
        <v>1566</v>
      </c>
    </row>
    <row r="748" spans="1:8" x14ac:dyDescent="0.25">
      <c r="A748" t="s">
        <v>1602</v>
      </c>
      <c r="B748">
        <v>747</v>
      </c>
      <c r="C748" t="s">
        <v>1057</v>
      </c>
      <c r="D748" t="s">
        <v>1011</v>
      </c>
      <c r="E748" t="s">
        <v>1600</v>
      </c>
      <c r="H748" t="s">
        <v>1569</v>
      </c>
    </row>
    <row r="749" spans="1:8" x14ac:dyDescent="0.25">
      <c r="A749" t="s">
        <v>1548</v>
      </c>
      <c r="B749">
        <v>748</v>
      </c>
      <c r="C749" t="s">
        <v>34</v>
      </c>
      <c r="D749" t="s">
        <v>1601</v>
      </c>
      <c r="E749" t="s">
        <v>1600</v>
      </c>
      <c r="F749" t="s">
        <v>2649</v>
      </c>
      <c r="H749" t="s">
        <v>1566</v>
      </c>
    </row>
    <row r="750" spans="1:8" x14ac:dyDescent="0.25">
      <c r="A750" t="s">
        <v>1605</v>
      </c>
      <c r="B750">
        <v>749</v>
      </c>
      <c r="C750" t="s">
        <v>1057</v>
      </c>
      <c r="D750" t="s">
        <v>1013</v>
      </c>
      <c r="E750" t="s">
        <v>1603</v>
      </c>
      <c r="H750" t="s">
        <v>1569</v>
      </c>
    </row>
    <row r="751" spans="1:8" x14ac:dyDescent="0.25">
      <c r="A751" t="s">
        <v>1559</v>
      </c>
      <c r="B751">
        <v>750</v>
      </c>
      <c r="C751" t="s">
        <v>34</v>
      </c>
      <c r="D751" t="s">
        <v>1604</v>
      </c>
      <c r="E751" t="s">
        <v>1603</v>
      </c>
      <c r="F751" t="s">
        <v>2649</v>
      </c>
      <c r="H751" t="s">
        <v>1566</v>
      </c>
    </row>
    <row r="752" spans="1:8" x14ac:dyDescent="0.25">
      <c r="A752" t="s">
        <v>1608</v>
      </c>
      <c r="B752">
        <v>751</v>
      </c>
      <c r="C752" t="s">
        <v>1057</v>
      </c>
      <c r="D752" t="s">
        <v>1013</v>
      </c>
      <c r="E752" t="s">
        <v>1606</v>
      </c>
      <c r="H752" t="s">
        <v>1569</v>
      </c>
    </row>
    <row r="753" spans="1:8" x14ac:dyDescent="0.25">
      <c r="A753" t="s">
        <v>1560</v>
      </c>
      <c r="B753">
        <v>752</v>
      </c>
      <c r="C753" t="s">
        <v>34</v>
      </c>
      <c r="D753" t="s">
        <v>1607</v>
      </c>
      <c r="E753" t="s">
        <v>1606</v>
      </c>
      <c r="F753" t="s">
        <v>2649</v>
      </c>
      <c r="H753" t="s">
        <v>1566</v>
      </c>
    </row>
    <row r="754" spans="1:8" x14ac:dyDescent="0.25">
      <c r="A754" t="s">
        <v>1611</v>
      </c>
      <c r="B754">
        <v>753</v>
      </c>
      <c r="C754" t="s">
        <v>1057</v>
      </c>
      <c r="D754" t="s">
        <v>1013</v>
      </c>
      <c r="E754" t="s">
        <v>1609</v>
      </c>
      <c r="H754" t="s">
        <v>1569</v>
      </c>
    </row>
    <row r="755" spans="1:8" x14ac:dyDescent="0.25">
      <c r="A755" t="s">
        <v>1561</v>
      </c>
      <c r="B755">
        <v>754</v>
      </c>
      <c r="C755" t="s">
        <v>34</v>
      </c>
      <c r="D755" t="s">
        <v>1610</v>
      </c>
      <c r="E755" t="s">
        <v>1609</v>
      </c>
      <c r="F755" t="s">
        <v>2649</v>
      </c>
      <c r="H755" t="s">
        <v>1566</v>
      </c>
    </row>
    <row r="756" spans="1:8" x14ac:dyDescent="0.25">
      <c r="A756" t="s">
        <v>1614</v>
      </c>
      <c r="B756">
        <v>755</v>
      </c>
      <c r="C756" t="s">
        <v>1057</v>
      </c>
      <c r="D756" t="s">
        <v>1013</v>
      </c>
      <c r="E756" t="s">
        <v>1612</v>
      </c>
      <c r="H756" t="s">
        <v>1569</v>
      </c>
    </row>
    <row r="757" spans="1:8" x14ac:dyDescent="0.25">
      <c r="A757" t="s">
        <v>1549</v>
      </c>
      <c r="B757">
        <v>756</v>
      </c>
      <c r="C757" t="s">
        <v>34</v>
      </c>
      <c r="D757" t="s">
        <v>1613</v>
      </c>
      <c r="E757" t="s">
        <v>1612</v>
      </c>
      <c r="F757" t="s">
        <v>2649</v>
      </c>
      <c r="H757" t="s">
        <v>1566</v>
      </c>
    </row>
    <row r="758" spans="1:8" x14ac:dyDescent="0.25">
      <c r="A758" t="s">
        <v>2393</v>
      </c>
      <c r="B758">
        <v>757</v>
      </c>
      <c r="C758" t="s">
        <v>1057</v>
      </c>
      <c r="D758" t="s">
        <v>187</v>
      </c>
      <c r="E758" t="s">
        <v>1641</v>
      </c>
      <c r="F758" t="s">
        <v>1634</v>
      </c>
      <c r="H758" t="s">
        <v>1643</v>
      </c>
    </row>
    <row r="759" spans="1:8" x14ac:dyDescent="0.25">
      <c r="A759" t="s">
        <v>1642</v>
      </c>
      <c r="B759">
        <v>758</v>
      </c>
      <c r="C759" t="s">
        <v>2641</v>
      </c>
      <c r="D759" t="s">
        <v>1639</v>
      </c>
      <c r="E759" t="s">
        <v>1641</v>
      </c>
      <c r="F759" t="s">
        <v>1634</v>
      </c>
      <c r="H759" t="s">
        <v>1640</v>
      </c>
    </row>
    <row r="760" spans="1:8" x14ac:dyDescent="0.25">
      <c r="A760" t="s">
        <v>2394</v>
      </c>
      <c r="B760">
        <v>759</v>
      </c>
      <c r="C760" t="s">
        <v>1057</v>
      </c>
      <c r="D760" t="s">
        <v>187</v>
      </c>
      <c r="E760" t="s">
        <v>1654</v>
      </c>
      <c r="F760" t="s">
        <v>1634</v>
      </c>
      <c r="H760" t="s">
        <v>1643</v>
      </c>
    </row>
    <row r="761" spans="1:8" x14ac:dyDescent="0.25">
      <c r="A761" t="s">
        <v>1655</v>
      </c>
      <c r="B761">
        <v>760</v>
      </c>
      <c r="C761" t="s">
        <v>2641</v>
      </c>
      <c r="D761" t="s">
        <v>1653</v>
      </c>
      <c r="E761" t="s">
        <v>1654</v>
      </c>
      <c r="F761" t="s">
        <v>1634</v>
      </c>
      <c r="H761" t="s">
        <v>1640</v>
      </c>
    </row>
    <row r="762" spans="1:8" x14ac:dyDescent="0.25">
      <c r="A762" t="s">
        <v>2395</v>
      </c>
      <c r="B762">
        <v>761</v>
      </c>
      <c r="C762" t="s">
        <v>1057</v>
      </c>
      <c r="D762" t="s">
        <v>187</v>
      </c>
      <c r="E762" t="s">
        <v>1657</v>
      </c>
      <c r="F762" t="s">
        <v>1634</v>
      </c>
      <c r="H762" t="s">
        <v>1643</v>
      </c>
    </row>
    <row r="763" spans="1:8" x14ac:dyDescent="0.25">
      <c r="A763" t="s">
        <v>1658</v>
      </c>
      <c r="B763">
        <v>762</v>
      </c>
      <c r="C763" t="s">
        <v>2641</v>
      </c>
      <c r="D763" t="s">
        <v>1656</v>
      </c>
      <c r="E763" t="s">
        <v>1657</v>
      </c>
      <c r="F763" t="s">
        <v>1634</v>
      </c>
      <c r="H763" t="s">
        <v>1640</v>
      </c>
    </row>
    <row r="764" spans="1:8" x14ac:dyDescent="0.25">
      <c r="A764" t="s">
        <v>2396</v>
      </c>
      <c r="B764">
        <v>763</v>
      </c>
      <c r="C764" t="s">
        <v>1057</v>
      </c>
      <c r="D764" t="s">
        <v>187</v>
      </c>
      <c r="E764" t="s">
        <v>1660</v>
      </c>
      <c r="F764" t="s">
        <v>1634</v>
      </c>
      <c r="H764" t="s">
        <v>1643</v>
      </c>
    </row>
    <row r="765" spans="1:8" x14ac:dyDescent="0.25">
      <c r="A765" t="s">
        <v>1661</v>
      </c>
      <c r="B765">
        <v>764</v>
      </c>
      <c r="C765" t="s">
        <v>2641</v>
      </c>
      <c r="D765" t="s">
        <v>1659</v>
      </c>
      <c r="E765" t="s">
        <v>1660</v>
      </c>
      <c r="F765" t="s">
        <v>1634</v>
      </c>
      <c r="H765" t="s">
        <v>1640</v>
      </c>
    </row>
    <row r="766" spans="1:8" x14ac:dyDescent="0.25">
      <c r="A766" t="s">
        <v>2397</v>
      </c>
      <c r="B766">
        <v>765</v>
      </c>
      <c r="C766" t="s">
        <v>1057</v>
      </c>
      <c r="D766" t="s">
        <v>187</v>
      </c>
      <c r="E766" t="s">
        <v>1663</v>
      </c>
      <c r="F766" t="s">
        <v>1634</v>
      </c>
      <c r="H766" t="s">
        <v>1643</v>
      </c>
    </row>
    <row r="767" spans="1:8" x14ac:dyDescent="0.25">
      <c r="A767" t="s">
        <v>1664</v>
      </c>
      <c r="B767">
        <v>766</v>
      </c>
      <c r="C767" t="s">
        <v>2641</v>
      </c>
      <c r="D767" t="s">
        <v>1662</v>
      </c>
      <c r="E767" t="s">
        <v>1663</v>
      </c>
      <c r="F767" t="s">
        <v>1634</v>
      </c>
      <c r="H767" t="s">
        <v>1640</v>
      </c>
    </row>
    <row r="768" spans="1:8" x14ac:dyDescent="0.25">
      <c r="A768" t="s">
        <v>2398</v>
      </c>
      <c r="B768">
        <v>767</v>
      </c>
      <c r="C768" t="s">
        <v>1057</v>
      </c>
      <c r="D768" t="s">
        <v>187</v>
      </c>
      <c r="E768" t="s">
        <v>1666</v>
      </c>
      <c r="F768" t="s">
        <v>1634</v>
      </c>
      <c r="H768" t="s">
        <v>1643</v>
      </c>
    </row>
    <row r="769" spans="1:8" x14ac:dyDescent="0.25">
      <c r="A769" t="s">
        <v>1667</v>
      </c>
      <c r="B769">
        <v>768</v>
      </c>
      <c r="C769" t="s">
        <v>2641</v>
      </c>
      <c r="D769" t="s">
        <v>1665</v>
      </c>
      <c r="E769" t="s">
        <v>1666</v>
      </c>
      <c r="F769" t="s">
        <v>1634</v>
      </c>
      <c r="H769" t="s">
        <v>1640</v>
      </c>
    </row>
    <row r="770" spans="1:8" x14ac:dyDescent="0.25">
      <c r="A770" t="s">
        <v>2399</v>
      </c>
      <c r="B770">
        <v>769</v>
      </c>
      <c r="C770" t="s">
        <v>1057</v>
      </c>
      <c r="D770" t="s">
        <v>187</v>
      </c>
      <c r="E770" t="s">
        <v>1669</v>
      </c>
      <c r="F770" t="s">
        <v>1634</v>
      </c>
      <c r="H770" t="s">
        <v>1643</v>
      </c>
    </row>
    <row r="771" spans="1:8" x14ac:dyDescent="0.25">
      <c r="A771" t="s">
        <v>1670</v>
      </c>
      <c r="B771">
        <v>770</v>
      </c>
      <c r="C771" t="s">
        <v>2641</v>
      </c>
      <c r="D771" t="s">
        <v>1668</v>
      </c>
      <c r="E771" t="s">
        <v>1669</v>
      </c>
      <c r="F771" t="s">
        <v>1634</v>
      </c>
      <c r="H771" t="s">
        <v>1640</v>
      </c>
    </row>
    <row r="772" spans="1:8" x14ac:dyDescent="0.25">
      <c r="A772" t="s">
        <v>2400</v>
      </c>
      <c r="B772">
        <v>771</v>
      </c>
      <c r="C772" t="s">
        <v>1057</v>
      </c>
      <c r="D772" t="s">
        <v>187</v>
      </c>
      <c r="E772" t="s">
        <v>1672</v>
      </c>
      <c r="F772" t="s">
        <v>1634</v>
      </c>
      <c r="H772" t="s">
        <v>1643</v>
      </c>
    </row>
    <row r="773" spans="1:8" x14ac:dyDescent="0.25">
      <c r="A773" t="s">
        <v>1673</v>
      </c>
      <c r="B773">
        <v>772</v>
      </c>
      <c r="C773" t="s">
        <v>2641</v>
      </c>
      <c r="D773" t="s">
        <v>1671</v>
      </c>
      <c r="E773" t="s">
        <v>1672</v>
      </c>
      <c r="F773" t="s">
        <v>1634</v>
      </c>
      <c r="H773" t="s">
        <v>1640</v>
      </c>
    </row>
    <row r="774" spans="1:8" x14ac:dyDescent="0.25">
      <c r="A774" t="s">
        <v>2401</v>
      </c>
      <c r="B774">
        <v>773</v>
      </c>
      <c r="C774" t="s">
        <v>1057</v>
      </c>
      <c r="D774" t="s">
        <v>187</v>
      </c>
      <c r="E774" t="s">
        <v>1675</v>
      </c>
      <c r="F774" t="s">
        <v>1634</v>
      </c>
      <c r="H774" t="s">
        <v>1643</v>
      </c>
    </row>
    <row r="775" spans="1:8" x14ac:dyDescent="0.25">
      <c r="A775" t="s">
        <v>1676</v>
      </c>
      <c r="B775">
        <v>774</v>
      </c>
      <c r="C775" t="s">
        <v>2641</v>
      </c>
      <c r="D775" t="s">
        <v>1674</v>
      </c>
      <c r="E775" t="s">
        <v>1675</v>
      </c>
      <c r="F775" t="s">
        <v>1634</v>
      </c>
      <c r="H775" t="s">
        <v>1640</v>
      </c>
    </row>
    <row r="776" spans="1:8" x14ac:dyDescent="0.25">
      <c r="A776" t="s">
        <v>2402</v>
      </c>
      <c r="B776">
        <v>775</v>
      </c>
      <c r="C776" t="s">
        <v>1057</v>
      </c>
      <c r="D776" t="s">
        <v>187</v>
      </c>
      <c r="E776" t="s">
        <v>1678</v>
      </c>
      <c r="F776" t="s">
        <v>1634</v>
      </c>
      <c r="H776" t="s">
        <v>1643</v>
      </c>
    </row>
    <row r="777" spans="1:8" x14ac:dyDescent="0.25">
      <c r="A777" t="s">
        <v>1679</v>
      </c>
      <c r="B777">
        <v>776</v>
      </c>
      <c r="C777" t="s">
        <v>2641</v>
      </c>
      <c r="D777" t="s">
        <v>1677</v>
      </c>
      <c r="E777" t="s">
        <v>1678</v>
      </c>
      <c r="F777" t="s">
        <v>1634</v>
      </c>
      <c r="H777" t="s">
        <v>1640</v>
      </c>
    </row>
    <row r="778" spans="1:8" x14ac:dyDescent="0.25">
      <c r="A778" t="s">
        <v>2403</v>
      </c>
      <c r="B778">
        <v>777</v>
      </c>
      <c r="C778" t="s">
        <v>1057</v>
      </c>
      <c r="D778" t="s">
        <v>187</v>
      </c>
      <c r="E778" t="s">
        <v>1681</v>
      </c>
      <c r="F778" t="s">
        <v>1634</v>
      </c>
      <c r="H778" t="s">
        <v>1643</v>
      </c>
    </row>
    <row r="779" spans="1:8" x14ac:dyDescent="0.25">
      <c r="A779" t="s">
        <v>1682</v>
      </c>
      <c r="B779">
        <v>778</v>
      </c>
      <c r="C779" t="s">
        <v>2641</v>
      </c>
      <c r="D779" t="s">
        <v>1680</v>
      </c>
      <c r="E779" t="s">
        <v>1681</v>
      </c>
      <c r="F779" t="s">
        <v>1634</v>
      </c>
      <c r="H779" t="s">
        <v>1640</v>
      </c>
    </row>
    <row r="780" spans="1:8" x14ac:dyDescent="0.25">
      <c r="A780" t="s">
        <v>2404</v>
      </c>
      <c r="B780">
        <v>779</v>
      </c>
      <c r="C780" t="s">
        <v>1057</v>
      </c>
      <c r="D780" t="s">
        <v>187</v>
      </c>
      <c r="E780" t="s">
        <v>1684</v>
      </c>
      <c r="F780" t="s">
        <v>1634</v>
      </c>
      <c r="H780" t="s">
        <v>1643</v>
      </c>
    </row>
    <row r="781" spans="1:8" x14ac:dyDescent="0.25">
      <c r="A781" t="s">
        <v>1685</v>
      </c>
      <c r="B781">
        <v>780</v>
      </c>
      <c r="C781" t="s">
        <v>2641</v>
      </c>
      <c r="D781" t="s">
        <v>1683</v>
      </c>
      <c r="E781" t="s">
        <v>1684</v>
      </c>
      <c r="F781" t="s">
        <v>1634</v>
      </c>
      <c r="H781" t="s">
        <v>1640</v>
      </c>
    </row>
    <row r="782" spans="1:8" x14ac:dyDescent="0.25">
      <c r="A782" t="s">
        <v>2405</v>
      </c>
      <c r="B782">
        <v>781</v>
      </c>
      <c r="C782" t="s">
        <v>1057</v>
      </c>
      <c r="D782" t="s">
        <v>187</v>
      </c>
      <c r="E782" t="s">
        <v>1687</v>
      </c>
      <c r="F782" t="s">
        <v>1634</v>
      </c>
      <c r="H782" t="s">
        <v>1643</v>
      </c>
    </row>
    <row r="783" spans="1:8" x14ac:dyDescent="0.25">
      <c r="A783" t="s">
        <v>1688</v>
      </c>
      <c r="B783">
        <v>782</v>
      </c>
      <c r="C783" t="s">
        <v>2641</v>
      </c>
      <c r="D783" t="s">
        <v>1686</v>
      </c>
      <c r="E783" t="s">
        <v>1687</v>
      </c>
      <c r="F783" t="s">
        <v>1634</v>
      </c>
      <c r="H783" t="s">
        <v>1640</v>
      </c>
    </row>
    <row r="784" spans="1:8" x14ac:dyDescent="0.25">
      <c r="A784" t="s">
        <v>2406</v>
      </c>
      <c r="B784">
        <v>783</v>
      </c>
      <c r="C784" t="s">
        <v>1057</v>
      </c>
      <c r="D784" t="s">
        <v>187</v>
      </c>
      <c r="E784" t="s">
        <v>1690</v>
      </c>
      <c r="F784" t="s">
        <v>1634</v>
      </c>
      <c r="H784" t="s">
        <v>1643</v>
      </c>
    </row>
    <row r="785" spans="1:8" x14ac:dyDescent="0.25">
      <c r="A785" t="s">
        <v>1691</v>
      </c>
      <c r="B785">
        <v>784</v>
      </c>
      <c r="C785" t="s">
        <v>2641</v>
      </c>
      <c r="D785" t="s">
        <v>1689</v>
      </c>
      <c r="E785" t="s">
        <v>1690</v>
      </c>
      <c r="F785" t="s">
        <v>1634</v>
      </c>
      <c r="H785" t="s">
        <v>1640</v>
      </c>
    </row>
    <row r="786" spans="1:8" x14ac:dyDescent="0.25">
      <c r="A786" t="s">
        <v>2407</v>
      </c>
      <c r="B786">
        <v>785</v>
      </c>
      <c r="C786" t="s">
        <v>1057</v>
      </c>
      <c r="D786" t="s">
        <v>187</v>
      </c>
      <c r="E786" t="s">
        <v>1693</v>
      </c>
      <c r="F786" t="s">
        <v>1634</v>
      </c>
      <c r="H786" t="s">
        <v>1643</v>
      </c>
    </row>
    <row r="787" spans="1:8" x14ac:dyDescent="0.25">
      <c r="A787" t="s">
        <v>1694</v>
      </c>
      <c r="B787">
        <v>786</v>
      </c>
      <c r="C787" t="s">
        <v>2641</v>
      </c>
      <c r="D787" t="s">
        <v>1692</v>
      </c>
      <c r="E787" t="s">
        <v>1693</v>
      </c>
      <c r="F787" t="s">
        <v>1634</v>
      </c>
      <c r="H787" t="s">
        <v>1640</v>
      </c>
    </row>
    <row r="788" spans="1:8" x14ac:dyDescent="0.25">
      <c r="A788" t="s">
        <v>2408</v>
      </c>
      <c r="B788">
        <v>787</v>
      </c>
      <c r="C788" t="s">
        <v>1057</v>
      </c>
      <c r="D788" t="s">
        <v>187</v>
      </c>
      <c r="E788" t="s">
        <v>1696</v>
      </c>
      <c r="F788" t="s">
        <v>1634</v>
      </c>
      <c r="H788" t="s">
        <v>1643</v>
      </c>
    </row>
    <row r="789" spans="1:8" x14ac:dyDescent="0.25">
      <c r="A789" t="s">
        <v>1697</v>
      </c>
      <c r="B789">
        <v>788</v>
      </c>
      <c r="C789" t="s">
        <v>2641</v>
      </c>
      <c r="D789" t="s">
        <v>1695</v>
      </c>
      <c r="E789" t="s">
        <v>1696</v>
      </c>
      <c r="F789" t="s">
        <v>1634</v>
      </c>
      <c r="H789" t="s">
        <v>1640</v>
      </c>
    </row>
    <row r="790" spans="1:8" x14ac:dyDescent="0.25">
      <c r="A790" t="s">
        <v>2409</v>
      </c>
      <c r="B790">
        <v>789</v>
      </c>
      <c r="C790" t="s">
        <v>1057</v>
      </c>
      <c r="D790" t="s">
        <v>187</v>
      </c>
      <c r="E790" t="s">
        <v>1699</v>
      </c>
      <c r="F790" t="s">
        <v>1634</v>
      </c>
      <c r="H790" t="s">
        <v>1643</v>
      </c>
    </row>
    <row r="791" spans="1:8" x14ac:dyDescent="0.25">
      <c r="A791" t="s">
        <v>1700</v>
      </c>
      <c r="B791">
        <v>790</v>
      </c>
      <c r="C791" t="s">
        <v>2641</v>
      </c>
      <c r="D791" t="s">
        <v>1698</v>
      </c>
      <c r="E791" t="s">
        <v>1699</v>
      </c>
      <c r="F791" t="s">
        <v>1634</v>
      </c>
      <c r="H791" t="s">
        <v>1640</v>
      </c>
    </row>
    <row r="792" spans="1:8" x14ac:dyDescent="0.25">
      <c r="A792" t="s">
        <v>2410</v>
      </c>
      <c r="B792">
        <v>791</v>
      </c>
      <c r="C792" t="s">
        <v>1057</v>
      </c>
      <c r="D792" t="s">
        <v>187</v>
      </c>
      <c r="E792" t="s">
        <v>1702</v>
      </c>
      <c r="F792" t="s">
        <v>1634</v>
      </c>
      <c r="H792" t="s">
        <v>1643</v>
      </c>
    </row>
    <row r="793" spans="1:8" x14ac:dyDescent="0.25">
      <c r="A793" t="s">
        <v>1703</v>
      </c>
      <c r="B793">
        <v>792</v>
      </c>
      <c r="C793" t="s">
        <v>2641</v>
      </c>
      <c r="D793" t="s">
        <v>1701</v>
      </c>
      <c r="E793" t="s">
        <v>1702</v>
      </c>
      <c r="F793" t="s">
        <v>1634</v>
      </c>
      <c r="H793" t="s">
        <v>1640</v>
      </c>
    </row>
    <row r="794" spans="1:8" x14ac:dyDescent="0.25">
      <c r="A794" t="s">
        <v>2411</v>
      </c>
      <c r="B794">
        <v>793</v>
      </c>
      <c r="C794" t="s">
        <v>1057</v>
      </c>
      <c r="D794" t="s">
        <v>187</v>
      </c>
      <c r="E794" t="s">
        <v>1705</v>
      </c>
      <c r="F794" t="s">
        <v>1634</v>
      </c>
      <c r="H794" t="s">
        <v>1643</v>
      </c>
    </row>
    <row r="795" spans="1:8" x14ac:dyDescent="0.25">
      <c r="A795" t="s">
        <v>1706</v>
      </c>
      <c r="B795">
        <v>794</v>
      </c>
      <c r="C795" t="s">
        <v>2641</v>
      </c>
      <c r="D795" t="s">
        <v>1704</v>
      </c>
      <c r="E795" t="s">
        <v>1705</v>
      </c>
      <c r="F795" t="s">
        <v>1634</v>
      </c>
      <c r="H795" t="s">
        <v>1640</v>
      </c>
    </row>
    <row r="796" spans="1:8" x14ac:dyDescent="0.25">
      <c r="A796" t="s">
        <v>2412</v>
      </c>
      <c r="B796">
        <v>795</v>
      </c>
      <c r="C796" t="s">
        <v>1057</v>
      </c>
      <c r="D796" t="s">
        <v>187</v>
      </c>
      <c r="E796" t="s">
        <v>1708</v>
      </c>
      <c r="F796" t="s">
        <v>1634</v>
      </c>
      <c r="H796" t="s">
        <v>1643</v>
      </c>
    </row>
    <row r="797" spans="1:8" x14ac:dyDescent="0.25">
      <c r="A797" t="s">
        <v>1709</v>
      </c>
      <c r="B797">
        <v>796</v>
      </c>
      <c r="C797" t="s">
        <v>2641</v>
      </c>
      <c r="D797" t="s">
        <v>1707</v>
      </c>
      <c r="E797" t="s">
        <v>1708</v>
      </c>
      <c r="F797" t="s">
        <v>1634</v>
      </c>
      <c r="H797" t="s">
        <v>1640</v>
      </c>
    </row>
    <row r="798" spans="1:8" x14ac:dyDescent="0.25">
      <c r="A798" t="s">
        <v>2413</v>
      </c>
      <c r="B798">
        <v>797</v>
      </c>
      <c r="C798" t="s">
        <v>1057</v>
      </c>
      <c r="D798" t="s">
        <v>187</v>
      </c>
      <c r="E798" t="s">
        <v>1711</v>
      </c>
      <c r="F798" t="s">
        <v>1634</v>
      </c>
      <c r="H798" t="s">
        <v>1643</v>
      </c>
    </row>
    <row r="799" spans="1:8" x14ac:dyDescent="0.25">
      <c r="A799" t="s">
        <v>1712</v>
      </c>
      <c r="B799">
        <v>798</v>
      </c>
      <c r="C799" t="s">
        <v>2641</v>
      </c>
      <c r="D799" t="s">
        <v>1710</v>
      </c>
      <c r="E799" t="s">
        <v>1711</v>
      </c>
      <c r="F799" t="s">
        <v>1634</v>
      </c>
      <c r="H799" t="s">
        <v>1640</v>
      </c>
    </row>
    <row r="800" spans="1:8" x14ac:dyDescent="0.25">
      <c r="A800" t="s">
        <v>2414</v>
      </c>
      <c r="B800">
        <v>799</v>
      </c>
      <c r="C800" t="s">
        <v>1057</v>
      </c>
      <c r="D800" t="s">
        <v>187</v>
      </c>
      <c r="E800" t="s">
        <v>1714</v>
      </c>
      <c r="F800" t="s">
        <v>1634</v>
      </c>
      <c r="H800" t="s">
        <v>1643</v>
      </c>
    </row>
    <row r="801" spans="1:8" x14ac:dyDescent="0.25">
      <c r="A801" t="s">
        <v>1715</v>
      </c>
      <c r="B801">
        <v>800</v>
      </c>
      <c r="C801" t="s">
        <v>2641</v>
      </c>
      <c r="D801" t="s">
        <v>1713</v>
      </c>
      <c r="E801" t="s">
        <v>1714</v>
      </c>
      <c r="F801" t="s">
        <v>1634</v>
      </c>
      <c r="H801" t="s">
        <v>1640</v>
      </c>
    </row>
    <row r="802" spans="1:8" x14ac:dyDescent="0.25">
      <c r="A802" t="s">
        <v>2415</v>
      </c>
      <c r="B802">
        <v>801</v>
      </c>
      <c r="C802" t="s">
        <v>1057</v>
      </c>
      <c r="D802" t="s">
        <v>187</v>
      </c>
      <c r="E802" t="s">
        <v>1717</v>
      </c>
      <c r="F802" t="s">
        <v>1634</v>
      </c>
      <c r="H802" t="s">
        <v>1643</v>
      </c>
    </row>
    <row r="803" spans="1:8" x14ac:dyDescent="0.25">
      <c r="A803" t="s">
        <v>1718</v>
      </c>
      <c r="B803">
        <v>802</v>
      </c>
      <c r="C803" t="s">
        <v>2641</v>
      </c>
      <c r="D803" t="s">
        <v>1716</v>
      </c>
      <c r="E803" t="s">
        <v>1717</v>
      </c>
      <c r="F803" t="s">
        <v>1634</v>
      </c>
      <c r="H803" t="s">
        <v>1640</v>
      </c>
    </row>
    <row r="804" spans="1:8" x14ac:dyDescent="0.25">
      <c r="A804" t="s">
        <v>2416</v>
      </c>
      <c r="B804">
        <v>803</v>
      </c>
      <c r="C804" t="s">
        <v>1057</v>
      </c>
      <c r="D804" t="s">
        <v>187</v>
      </c>
      <c r="E804" t="s">
        <v>1720</v>
      </c>
      <c r="F804" t="s">
        <v>1634</v>
      </c>
      <c r="H804" t="s">
        <v>1643</v>
      </c>
    </row>
    <row r="805" spans="1:8" x14ac:dyDescent="0.25">
      <c r="A805" t="s">
        <v>1721</v>
      </c>
      <c r="B805">
        <v>804</v>
      </c>
      <c r="C805" t="s">
        <v>2641</v>
      </c>
      <c r="D805" t="s">
        <v>1719</v>
      </c>
      <c r="E805" t="s">
        <v>1720</v>
      </c>
      <c r="F805" t="s">
        <v>1634</v>
      </c>
      <c r="H805" t="s">
        <v>1640</v>
      </c>
    </row>
    <row r="806" spans="1:8" x14ac:dyDescent="0.25">
      <c r="A806" t="s">
        <v>2417</v>
      </c>
      <c r="B806">
        <v>805</v>
      </c>
      <c r="C806" t="s">
        <v>1057</v>
      </c>
      <c r="D806" t="s">
        <v>187</v>
      </c>
      <c r="E806" t="s">
        <v>1723</v>
      </c>
      <c r="F806" t="s">
        <v>1634</v>
      </c>
      <c r="H806" t="s">
        <v>1643</v>
      </c>
    </row>
    <row r="807" spans="1:8" x14ac:dyDescent="0.25">
      <c r="A807" t="s">
        <v>1724</v>
      </c>
      <c r="B807">
        <v>806</v>
      </c>
      <c r="C807" t="s">
        <v>2641</v>
      </c>
      <c r="D807" t="s">
        <v>1722</v>
      </c>
      <c r="E807" t="s">
        <v>1723</v>
      </c>
      <c r="F807" t="s">
        <v>1634</v>
      </c>
      <c r="H807" t="s">
        <v>1640</v>
      </c>
    </row>
    <row r="808" spans="1:8" x14ac:dyDescent="0.25">
      <c r="A808" t="s">
        <v>2418</v>
      </c>
      <c r="B808">
        <v>807</v>
      </c>
      <c r="C808" t="s">
        <v>1057</v>
      </c>
      <c r="D808" t="s">
        <v>187</v>
      </c>
      <c r="E808" t="s">
        <v>1726</v>
      </c>
      <c r="F808" t="s">
        <v>1634</v>
      </c>
      <c r="H808" t="s">
        <v>1643</v>
      </c>
    </row>
    <row r="809" spans="1:8" x14ac:dyDescent="0.25">
      <c r="A809" t="s">
        <v>1727</v>
      </c>
      <c r="B809">
        <v>808</v>
      </c>
      <c r="C809" t="s">
        <v>2641</v>
      </c>
      <c r="D809" t="s">
        <v>1725</v>
      </c>
      <c r="E809" t="s">
        <v>1726</v>
      </c>
      <c r="F809" t="s">
        <v>1634</v>
      </c>
      <c r="H809" t="s">
        <v>1640</v>
      </c>
    </row>
    <row r="810" spans="1:8" x14ac:dyDescent="0.25">
      <c r="A810" t="s">
        <v>2419</v>
      </c>
      <c r="B810">
        <v>809</v>
      </c>
      <c r="C810" t="s">
        <v>1057</v>
      </c>
      <c r="D810" t="s">
        <v>187</v>
      </c>
      <c r="E810" t="s">
        <v>1729</v>
      </c>
      <c r="F810" t="s">
        <v>1634</v>
      </c>
      <c r="H810" t="s">
        <v>1643</v>
      </c>
    </row>
    <row r="811" spans="1:8" x14ac:dyDescent="0.25">
      <c r="A811" t="s">
        <v>1730</v>
      </c>
      <c r="B811">
        <v>810</v>
      </c>
      <c r="C811" t="s">
        <v>2641</v>
      </c>
      <c r="D811" t="s">
        <v>1728</v>
      </c>
      <c r="E811" t="s">
        <v>1729</v>
      </c>
      <c r="F811" t="s">
        <v>1634</v>
      </c>
      <c r="H811" t="s">
        <v>1640</v>
      </c>
    </row>
    <row r="812" spans="1:8" x14ac:dyDescent="0.25">
      <c r="A812" t="s">
        <v>2420</v>
      </c>
      <c r="B812">
        <v>811</v>
      </c>
      <c r="C812" t="s">
        <v>1057</v>
      </c>
      <c r="D812" t="s">
        <v>187</v>
      </c>
      <c r="E812" t="s">
        <v>1732</v>
      </c>
      <c r="F812" t="s">
        <v>1634</v>
      </c>
      <c r="H812" t="s">
        <v>1643</v>
      </c>
    </row>
    <row r="813" spans="1:8" x14ac:dyDescent="0.25">
      <c r="A813" t="s">
        <v>1733</v>
      </c>
      <c r="B813">
        <v>812</v>
      </c>
      <c r="C813" t="s">
        <v>2641</v>
      </c>
      <c r="D813" t="s">
        <v>1731</v>
      </c>
      <c r="E813" t="s">
        <v>1732</v>
      </c>
      <c r="F813" t="s">
        <v>1634</v>
      </c>
      <c r="H813" t="s">
        <v>1640</v>
      </c>
    </row>
    <row r="814" spans="1:8" x14ac:dyDescent="0.25">
      <c r="A814" t="s">
        <v>2421</v>
      </c>
      <c r="B814">
        <v>813</v>
      </c>
      <c r="C814" t="s">
        <v>1057</v>
      </c>
      <c r="D814" t="s">
        <v>187</v>
      </c>
      <c r="E814" t="s">
        <v>1735</v>
      </c>
      <c r="F814" t="s">
        <v>1634</v>
      </c>
      <c r="H814" t="s">
        <v>1643</v>
      </c>
    </row>
    <row r="815" spans="1:8" x14ac:dyDescent="0.25">
      <c r="A815" t="s">
        <v>1736</v>
      </c>
      <c r="B815">
        <v>814</v>
      </c>
      <c r="C815" t="s">
        <v>2641</v>
      </c>
      <c r="D815" t="s">
        <v>1734</v>
      </c>
      <c r="E815" t="s">
        <v>1735</v>
      </c>
      <c r="F815" t="s">
        <v>1634</v>
      </c>
      <c r="H815" t="s">
        <v>1640</v>
      </c>
    </row>
    <row r="816" spans="1:8" x14ac:dyDescent="0.25">
      <c r="A816" t="s">
        <v>2422</v>
      </c>
      <c r="B816">
        <v>815</v>
      </c>
      <c r="C816" t="s">
        <v>1057</v>
      </c>
      <c r="D816" t="s">
        <v>187</v>
      </c>
      <c r="E816" t="s">
        <v>1738</v>
      </c>
      <c r="F816" t="s">
        <v>1634</v>
      </c>
      <c r="H816" t="s">
        <v>1643</v>
      </c>
    </row>
    <row r="817" spans="1:8" x14ac:dyDescent="0.25">
      <c r="A817" t="s">
        <v>1739</v>
      </c>
      <c r="B817">
        <v>816</v>
      </c>
      <c r="C817" t="s">
        <v>2641</v>
      </c>
      <c r="D817" t="s">
        <v>1737</v>
      </c>
      <c r="E817" t="s">
        <v>1738</v>
      </c>
      <c r="F817" t="s">
        <v>1634</v>
      </c>
      <c r="H817" t="s">
        <v>1640</v>
      </c>
    </row>
    <row r="818" spans="1:8" x14ac:dyDescent="0.25">
      <c r="A818" t="s">
        <v>2423</v>
      </c>
      <c r="B818">
        <v>817</v>
      </c>
      <c r="C818" t="s">
        <v>1057</v>
      </c>
      <c r="D818" t="s">
        <v>187</v>
      </c>
      <c r="E818" t="s">
        <v>1741</v>
      </c>
      <c r="F818" t="s">
        <v>1634</v>
      </c>
      <c r="H818" t="s">
        <v>1643</v>
      </c>
    </row>
    <row r="819" spans="1:8" x14ac:dyDescent="0.25">
      <c r="A819" t="s">
        <v>1742</v>
      </c>
      <c r="B819">
        <v>818</v>
      </c>
      <c r="C819" t="s">
        <v>2641</v>
      </c>
      <c r="D819" t="s">
        <v>1740</v>
      </c>
      <c r="E819" t="s">
        <v>1741</v>
      </c>
      <c r="F819" t="s">
        <v>1634</v>
      </c>
      <c r="H819" t="s">
        <v>1640</v>
      </c>
    </row>
    <row r="820" spans="1:8" x14ac:dyDescent="0.25">
      <c r="A820" t="s">
        <v>1744</v>
      </c>
      <c r="B820">
        <v>819</v>
      </c>
      <c r="C820" t="s">
        <v>2641</v>
      </c>
      <c r="D820" t="s">
        <v>1743</v>
      </c>
      <c r="E820" t="s">
        <v>187</v>
      </c>
      <c r="F820" t="s">
        <v>1634</v>
      </c>
      <c r="H820" t="s">
        <v>1640</v>
      </c>
    </row>
    <row r="821" spans="1:8" x14ac:dyDescent="0.25">
      <c r="A821" t="s">
        <v>2424</v>
      </c>
      <c r="B821">
        <v>820</v>
      </c>
      <c r="C821" t="s">
        <v>1057</v>
      </c>
      <c r="D821" t="s">
        <v>187</v>
      </c>
      <c r="E821" t="s">
        <v>1746</v>
      </c>
      <c r="F821" t="s">
        <v>1634</v>
      </c>
      <c r="H821" t="s">
        <v>1643</v>
      </c>
    </row>
    <row r="822" spans="1:8" x14ac:dyDescent="0.25">
      <c r="A822" t="s">
        <v>1747</v>
      </c>
      <c r="B822">
        <v>821</v>
      </c>
      <c r="C822" t="s">
        <v>2641</v>
      </c>
      <c r="D822" t="s">
        <v>1745</v>
      </c>
      <c r="E822" t="s">
        <v>1746</v>
      </c>
      <c r="F822" t="s">
        <v>1634</v>
      </c>
      <c r="H822" t="s">
        <v>1640</v>
      </c>
    </row>
    <row r="823" spans="1:8" x14ac:dyDescent="0.25">
      <c r="A823" t="s">
        <v>2425</v>
      </c>
      <c r="B823">
        <v>822</v>
      </c>
      <c r="C823" t="s">
        <v>1057</v>
      </c>
      <c r="D823" t="s">
        <v>187</v>
      </c>
      <c r="E823" t="s">
        <v>1749</v>
      </c>
      <c r="F823" t="s">
        <v>1634</v>
      </c>
      <c r="H823" t="s">
        <v>1643</v>
      </c>
    </row>
    <row r="824" spans="1:8" x14ac:dyDescent="0.25">
      <c r="A824" t="s">
        <v>1750</v>
      </c>
      <c r="B824">
        <v>823</v>
      </c>
      <c r="C824" t="s">
        <v>2641</v>
      </c>
      <c r="D824" t="s">
        <v>1748</v>
      </c>
      <c r="E824" t="s">
        <v>1749</v>
      </c>
      <c r="F824" t="s">
        <v>1634</v>
      </c>
      <c r="H824" t="s">
        <v>1640</v>
      </c>
    </row>
    <row r="825" spans="1:8" x14ac:dyDescent="0.25">
      <c r="A825" t="s">
        <v>2426</v>
      </c>
      <c r="B825">
        <v>824</v>
      </c>
      <c r="C825" t="s">
        <v>1057</v>
      </c>
      <c r="D825" t="s">
        <v>187</v>
      </c>
      <c r="E825" t="s">
        <v>1752</v>
      </c>
      <c r="F825" t="s">
        <v>1634</v>
      </c>
      <c r="H825" t="s">
        <v>1643</v>
      </c>
    </row>
    <row r="826" spans="1:8" x14ac:dyDescent="0.25">
      <c r="A826" t="s">
        <v>1753</v>
      </c>
      <c r="B826">
        <v>825</v>
      </c>
      <c r="C826" t="s">
        <v>2641</v>
      </c>
      <c r="D826" t="s">
        <v>1751</v>
      </c>
      <c r="E826" t="s">
        <v>1752</v>
      </c>
      <c r="F826" t="s">
        <v>1634</v>
      </c>
      <c r="H826" t="s">
        <v>1640</v>
      </c>
    </row>
    <row r="827" spans="1:8" x14ac:dyDescent="0.25">
      <c r="A827" t="s">
        <v>2427</v>
      </c>
      <c r="B827">
        <v>826</v>
      </c>
      <c r="C827" t="s">
        <v>1057</v>
      </c>
      <c r="D827" t="s">
        <v>187</v>
      </c>
      <c r="E827" t="s">
        <v>1755</v>
      </c>
      <c r="F827" t="s">
        <v>1634</v>
      </c>
      <c r="H827" t="s">
        <v>1643</v>
      </c>
    </row>
    <row r="828" spans="1:8" x14ac:dyDescent="0.25">
      <c r="A828" t="s">
        <v>1756</v>
      </c>
      <c r="B828">
        <v>827</v>
      </c>
      <c r="C828" t="s">
        <v>2641</v>
      </c>
      <c r="D828" t="s">
        <v>1754</v>
      </c>
      <c r="E828" t="s">
        <v>1755</v>
      </c>
      <c r="F828" t="s">
        <v>1634</v>
      </c>
      <c r="H828" t="s">
        <v>1640</v>
      </c>
    </row>
    <row r="829" spans="1:8" x14ac:dyDescent="0.25">
      <c r="A829" t="s">
        <v>2428</v>
      </c>
      <c r="B829">
        <v>828</v>
      </c>
      <c r="C829" t="s">
        <v>1057</v>
      </c>
      <c r="D829" t="s">
        <v>187</v>
      </c>
      <c r="E829" t="s">
        <v>1758</v>
      </c>
      <c r="F829" t="s">
        <v>1634</v>
      </c>
      <c r="H829" t="s">
        <v>1643</v>
      </c>
    </row>
    <row r="830" spans="1:8" x14ac:dyDescent="0.25">
      <c r="A830" t="s">
        <v>1759</v>
      </c>
      <c r="B830">
        <v>829</v>
      </c>
      <c r="C830" t="s">
        <v>2641</v>
      </c>
      <c r="D830" t="s">
        <v>1757</v>
      </c>
      <c r="E830" t="s">
        <v>1758</v>
      </c>
      <c r="F830" t="s">
        <v>1634</v>
      </c>
      <c r="H830" t="s">
        <v>1640</v>
      </c>
    </row>
    <row r="831" spans="1:8" x14ac:dyDescent="0.25">
      <c r="A831" t="s">
        <v>2429</v>
      </c>
      <c r="B831">
        <v>830</v>
      </c>
      <c r="C831" t="s">
        <v>1057</v>
      </c>
      <c r="D831" t="s">
        <v>187</v>
      </c>
      <c r="E831" t="s">
        <v>1761</v>
      </c>
      <c r="F831" t="s">
        <v>1634</v>
      </c>
      <c r="H831" t="s">
        <v>1643</v>
      </c>
    </row>
    <row r="832" spans="1:8" x14ac:dyDescent="0.25">
      <c r="A832" t="s">
        <v>1762</v>
      </c>
      <c r="B832">
        <v>831</v>
      </c>
      <c r="C832" t="s">
        <v>2641</v>
      </c>
      <c r="D832" t="s">
        <v>1760</v>
      </c>
      <c r="E832" t="s">
        <v>1761</v>
      </c>
      <c r="F832" t="s">
        <v>1634</v>
      </c>
      <c r="H832" t="s">
        <v>1640</v>
      </c>
    </row>
    <row r="833" spans="1:8" x14ac:dyDescent="0.25">
      <c r="A833" t="s">
        <v>2430</v>
      </c>
      <c r="B833">
        <v>832</v>
      </c>
      <c r="C833" t="s">
        <v>1057</v>
      </c>
      <c r="D833" t="s">
        <v>187</v>
      </c>
      <c r="E833" t="s">
        <v>1764</v>
      </c>
      <c r="F833" t="s">
        <v>1634</v>
      </c>
      <c r="H833" t="s">
        <v>1643</v>
      </c>
    </row>
    <row r="834" spans="1:8" x14ac:dyDescent="0.25">
      <c r="A834" t="s">
        <v>1765</v>
      </c>
      <c r="B834">
        <v>833</v>
      </c>
      <c r="C834" t="s">
        <v>2641</v>
      </c>
      <c r="D834" t="s">
        <v>1763</v>
      </c>
      <c r="E834" t="s">
        <v>1764</v>
      </c>
      <c r="F834" t="s">
        <v>1634</v>
      </c>
      <c r="H834" t="s">
        <v>1640</v>
      </c>
    </row>
    <row r="835" spans="1:8" x14ac:dyDescent="0.25">
      <c r="A835" t="s">
        <v>2431</v>
      </c>
      <c r="B835">
        <v>834</v>
      </c>
      <c r="C835" t="s">
        <v>1057</v>
      </c>
      <c r="D835" t="s">
        <v>187</v>
      </c>
      <c r="E835" t="s">
        <v>1767</v>
      </c>
      <c r="F835" t="s">
        <v>1634</v>
      </c>
      <c r="H835" t="s">
        <v>1643</v>
      </c>
    </row>
    <row r="836" spans="1:8" x14ac:dyDescent="0.25">
      <c r="A836" t="s">
        <v>1768</v>
      </c>
      <c r="B836">
        <v>835</v>
      </c>
      <c r="C836" t="s">
        <v>2641</v>
      </c>
      <c r="D836" t="s">
        <v>1766</v>
      </c>
      <c r="E836" t="s">
        <v>1767</v>
      </c>
      <c r="F836" t="s">
        <v>1634</v>
      </c>
      <c r="H836" t="s">
        <v>1640</v>
      </c>
    </row>
    <row r="837" spans="1:8" x14ac:dyDescent="0.25">
      <c r="A837" t="s">
        <v>2432</v>
      </c>
      <c r="B837">
        <v>836</v>
      </c>
      <c r="C837" t="s">
        <v>1057</v>
      </c>
      <c r="D837" t="s">
        <v>187</v>
      </c>
      <c r="E837" t="s">
        <v>1770</v>
      </c>
      <c r="F837" t="s">
        <v>1634</v>
      </c>
      <c r="H837" t="s">
        <v>1643</v>
      </c>
    </row>
    <row r="838" spans="1:8" x14ac:dyDescent="0.25">
      <c r="A838" t="s">
        <v>1771</v>
      </c>
      <c r="B838">
        <v>837</v>
      </c>
      <c r="C838" t="s">
        <v>2641</v>
      </c>
      <c r="D838" t="s">
        <v>1769</v>
      </c>
      <c r="E838" t="s">
        <v>1770</v>
      </c>
      <c r="F838" t="s">
        <v>1634</v>
      </c>
      <c r="H838" t="s">
        <v>1640</v>
      </c>
    </row>
    <row r="839" spans="1:8" x14ac:dyDescent="0.25">
      <c r="A839" t="s">
        <v>2433</v>
      </c>
      <c r="B839">
        <v>838</v>
      </c>
      <c r="C839" t="s">
        <v>1057</v>
      </c>
      <c r="D839" t="s">
        <v>187</v>
      </c>
      <c r="E839" t="s">
        <v>1773</v>
      </c>
      <c r="F839" t="s">
        <v>1634</v>
      </c>
      <c r="H839" t="s">
        <v>1643</v>
      </c>
    </row>
    <row r="840" spans="1:8" x14ac:dyDescent="0.25">
      <c r="A840" t="s">
        <v>1774</v>
      </c>
      <c r="B840">
        <v>839</v>
      </c>
      <c r="C840" t="s">
        <v>2641</v>
      </c>
      <c r="D840" t="s">
        <v>1772</v>
      </c>
      <c r="E840" t="s">
        <v>1773</v>
      </c>
      <c r="F840" t="s">
        <v>1634</v>
      </c>
      <c r="H840" t="s">
        <v>1640</v>
      </c>
    </row>
    <row r="841" spans="1:8" x14ac:dyDescent="0.25">
      <c r="A841" t="s">
        <v>2434</v>
      </c>
      <c r="B841">
        <v>840</v>
      </c>
      <c r="C841" t="s">
        <v>1057</v>
      </c>
      <c r="D841" t="s">
        <v>187</v>
      </c>
      <c r="E841" t="s">
        <v>1776</v>
      </c>
      <c r="F841" t="s">
        <v>1634</v>
      </c>
      <c r="H841" t="s">
        <v>1643</v>
      </c>
    </row>
    <row r="842" spans="1:8" x14ac:dyDescent="0.25">
      <c r="A842" t="s">
        <v>1777</v>
      </c>
      <c r="B842">
        <v>841</v>
      </c>
      <c r="C842" t="s">
        <v>2641</v>
      </c>
      <c r="D842" t="s">
        <v>1775</v>
      </c>
      <c r="E842" t="s">
        <v>1776</v>
      </c>
      <c r="F842" t="s">
        <v>1634</v>
      </c>
      <c r="H842" t="s">
        <v>1640</v>
      </c>
    </row>
    <row r="843" spans="1:8" x14ac:dyDescent="0.25">
      <c r="A843" t="s">
        <v>2435</v>
      </c>
      <c r="B843">
        <v>842</v>
      </c>
      <c r="C843" t="s">
        <v>1057</v>
      </c>
      <c r="D843" t="s">
        <v>187</v>
      </c>
      <c r="E843" t="s">
        <v>1779</v>
      </c>
      <c r="F843" t="s">
        <v>1634</v>
      </c>
      <c r="H843" t="s">
        <v>1643</v>
      </c>
    </row>
    <row r="844" spans="1:8" x14ac:dyDescent="0.25">
      <c r="A844" t="s">
        <v>1780</v>
      </c>
      <c r="B844">
        <v>843</v>
      </c>
      <c r="C844" t="s">
        <v>2641</v>
      </c>
      <c r="D844" t="s">
        <v>1778</v>
      </c>
      <c r="E844" t="s">
        <v>1779</v>
      </c>
      <c r="F844" t="s">
        <v>1634</v>
      </c>
      <c r="H844" t="s">
        <v>1640</v>
      </c>
    </row>
    <row r="845" spans="1:8" x14ac:dyDescent="0.25">
      <c r="A845" t="s">
        <v>2436</v>
      </c>
      <c r="B845">
        <v>844</v>
      </c>
      <c r="C845" t="s">
        <v>1057</v>
      </c>
      <c r="D845" t="s">
        <v>187</v>
      </c>
      <c r="E845" t="s">
        <v>1782</v>
      </c>
      <c r="F845" t="s">
        <v>1634</v>
      </c>
      <c r="H845" t="s">
        <v>1643</v>
      </c>
    </row>
    <row r="846" spans="1:8" x14ac:dyDescent="0.25">
      <c r="A846" t="s">
        <v>1783</v>
      </c>
      <c r="B846">
        <v>845</v>
      </c>
      <c r="C846" t="s">
        <v>2641</v>
      </c>
      <c r="D846" t="s">
        <v>1781</v>
      </c>
      <c r="E846" t="s">
        <v>1782</v>
      </c>
      <c r="F846" t="s">
        <v>1634</v>
      </c>
      <c r="H846" t="s">
        <v>1640</v>
      </c>
    </row>
    <row r="847" spans="1:8" x14ac:dyDescent="0.25">
      <c r="A847" t="s">
        <v>2437</v>
      </c>
      <c r="B847">
        <v>846</v>
      </c>
      <c r="C847" t="s">
        <v>1057</v>
      </c>
      <c r="D847" t="s">
        <v>187</v>
      </c>
      <c r="E847" t="s">
        <v>1785</v>
      </c>
      <c r="F847" t="s">
        <v>1634</v>
      </c>
      <c r="H847" t="s">
        <v>1643</v>
      </c>
    </row>
    <row r="848" spans="1:8" x14ac:dyDescent="0.25">
      <c r="A848" t="s">
        <v>1786</v>
      </c>
      <c r="B848">
        <v>847</v>
      </c>
      <c r="C848" t="s">
        <v>2641</v>
      </c>
      <c r="D848" t="s">
        <v>1784</v>
      </c>
      <c r="E848" t="s">
        <v>1785</v>
      </c>
      <c r="F848" t="s">
        <v>1634</v>
      </c>
      <c r="H848" t="s">
        <v>1640</v>
      </c>
    </row>
    <row r="849" spans="1:8" x14ac:dyDescent="0.25">
      <c r="A849" t="s">
        <v>2438</v>
      </c>
      <c r="B849">
        <v>848</v>
      </c>
      <c r="C849" t="s">
        <v>1057</v>
      </c>
      <c r="D849" t="s">
        <v>187</v>
      </c>
      <c r="E849" t="s">
        <v>1788</v>
      </c>
      <c r="F849" t="s">
        <v>1634</v>
      </c>
      <c r="H849" t="s">
        <v>1643</v>
      </c>
    </row>
    <row r="850" spans="1:8" x14ac:dyDescent="0.25">
      <c r="A850" t="s">
        <v>1789</v>
      </c>
      <c r="B850">
        <v>849</v>
      </c>
      <c r="C850" t="s">
        <v>2641</v>
      </c>
      <c r="D850" t="s">
        <v>1787</v>
      </c>
      <c r="E850" t="s">
        <v>1788</v>
      </c>
      <c r="F850" t="s">
        <v>1634</v>
      </c>
      <c r="H850" t="s">
        <v>1640</v>
      </c>
    </row>
    <row r="851" spans="1:8" x14ac:dyDescent="0.25">
      <c r="A851" t="s">
        <v>2439</v>
      </c>
      <c r="B851">
        <v>850</v>
      </c>
      <c r="C851" t="s">
        <v>1057</v>
      </c>
      <c r="D851" t="s">
        <v>187</v>
      </c>
      <c r="E851" t="s">
        <v>1791</v>
      </c>
      <c r="F851" t="s">
        <v>1634</v>
      </c>
      <c r="H851" t="s">
        <v>1643</v>
      </c>
    </row>
    <row r="852" spans="1:8" x14ac:dyDescent="0.25">
      <c r="A852" t="s">
        <v>1792</v>
      </c>
      <c r="B852">
        <v>851</v>
      </c>
      <c r="C852" t="s">
        <v>2641</v>
      </c>
      <c r="D852" t="s">
        <v>1790</v>
      </c>
      <c r="E852" t="s">
        <v>1791</v>
      </c>
      <c r="F852" t="s">
        <v>1634</v>
      </c>
      <c r="H852" t="s">
        <v>1640</v>
      </c>
    </row>
    <row r="853" spans="1:8" x14ac:dyDescent="0.25">
      <c r="A853" t="s">
        <v>2440</v>
      </c>
      <c r="B853">
        <v>852</v>
      </c>
      <c r="C853" t="s">
        <v>1057</v>
      </c>
      <c r="D853" t="s">
        <v>187</v>
      </c>
      <c r="E853" t="s">
        <v>1794</v>
      </c>
      <c r="F853" t="s">
        <v>1634</v>
      </c>
      <c r="H853" t="s">
        <v>1643</v>
      </c>
    </row>
    <row r="854" spans="1:8" x14ac:dyDescent="0.25">
      <c r="A854" t="s">
        <v>1795</v>
      </c>
      <c r="B854">
        <v>853</v>
      </c>
      <c r="C854" t="s">
        <v>2641</v>
      </c>
      <c r="D854" t="s">
        <v>1793</v>
      </c>
      <c r="E854" t="s">
        <v>1794</v>
      </c>
      <c r="F854" t="s">
        <v>1634</v>
      </c>
      <c r="H854" t="s">
        <v>1640</v>
      </c>
    </row>
    <row r="855" spans="1:8" x14ac:dyDescent="0.25">
      <c r="A855" t="s">
        <v>2441</v>
      </c>
      <c r="B855">
        <v>854</v>
      </c>
      <c r="C855" t="s">
        <v>1057</v>
      </c>
      <c r="D855" t="s">
        <v>187</v>
      </c>
      <c r="E855" t="s">
        <v>1797</v>
      </c>
      <c r="F855" t="s">
        <v>1634</v>
      </c>
      <c r="H855" t="s">
        <v>1643</v>
      </c>
    </row>
    <row r="856" spans="1:8" x14ac:dyDescent="0.25">
      <c r="A856" t="s">
        <v>1798</v>
      </c>
      <c r="B856">
        <v>855</v>
      </c>
      <c r="C856" t="s">
        <v>2641</v>
      </c>
      <c r="D856" t="s">
        <v>1796</v>
      </c>
      <c r="E856" t="s">
        <v>1797</v>
      </c>
      <c r="F856" t="s">
        <v>1634</v>
      </c>
      <c r="H856" t="s">
        <v>1640</v>
      </c>
    </row>
    <row r="857" spans="1:8" x14ac:dyDescent="0.25">
      <c r="A857" t="s">
        <v>2442</v>
      </c>
      <c r="B857">
        <v>856</v>
      </c>
      <c r="C857" t="s">
        <v>1057</v>
      </c>
      <c r="D857" t="s">
        <v>187</v>
      </c>
      <c r="E857" t="s">
        <v>1800</v>
      </c>
      <c r="F857" t="s">
        <v>1634</v>
      </c>
      <c r="H857" t="s">
        <v>1643</v>
      </c>
    </row>
    <row r="858" spans="1:8" x14ac:dyDescent="0.25">
      <c r="A858" t="s">
        <v>1801</v>
      </c>
      <c r="B858">
        <v>857</v>
      </c>
      <c r="C858" t="s">
        <v>2641</v>
      </c>
      <c r="D858" t="s">
        <v>1799</v>
      </c>
      <c r="E858" t="s">
        <v>1800</v>
      </c>
      <c r="F858" t="s">
        <v>1634</v>
      </c>
      <c r="H858" t="s">
        <v>1640</v>
      </c>
    </row>
    <row r="859" spans="1:8" x14ac:dyDescent="0.25">
      <c r="A859" t="s">
        <v>2443</v>
      </c>
      <c r="B859">
        <v>858</v>
      </c>
      <c r="C859" t="s">
        <v>1057</v>
      </c>
      <c r="D859" t="s">
        <v>187</v>
      </c>
      <c r="E859" t="s">
        <v>1803</v>
      </c>
      <c r="F859" t="s">
        <v>1634</v>
      </c>
      <c r="H859" t="s">
        <v>1643</v>
      </c>
    </row>
    <row r="860" spans="1:8" x14ac:dyDescent="0.25">
      <c r="A860" t="s">
        <v>1804</v>
      </c>
      <c r="B860">
        <v>859</v>
      </c>
      <c r="C860" t="s">
        <v>2641</v>
      </c>
      <c r="D860" t="s">
        <v>1802</v>
      </c>
      <c r="E860" t="s">
        <v>1803</v>
      </c>
      <c r="F860" t="s">
        <v>1634</v>
      </c>
      <c r="H860" t="s">
        <v>1640</v>
      </c>
    </row>
    <row r="861" spans="1:8" x14ac:dyDescent="0.25">
      <c r="A861" t="s">
        <v>2444</v>
      </c>
      <c r="B861">
        <v>860</v>
      </c>
      <c r="C861" t="s">
        <v>1057</v>
      </c>
      <c r="D861" t="s">
        <v>187</v>
      </c>
      <c r="E861" t="s">
        <v>1806</v>
      </c>
      <c r="F861" t="s">
        <v>1634</v>
      </c>
      <c r="H861" t="s">
        <v>1643</v>
      </c>
    </row>
    <row r="862" spans="1:8" x14ac:dyDescent="0.25">
      <c r="A862" t="s">
        <v>1807</v>
      </c>
      <c r="B862">
        <v>861</v>
      </c>
      <c r="C862" t="s">
        <v>2641</v>
      </c>
      <c r="D862" t="s">
        <v>1805</v>
      </c>
      <c r="E862" t="s">
        <v>1806</v>
      </c>
      <c r="F862" t="s">
        <v>1634</v>
      </c>
      <c r="H862" t="s">
        <v>1640</v>
      </c>
    </row>
    <row r="863" spans="1:8" x14ac:dyDescent="0.25">
      <c r="A863" t="s">
        <v>2445</v>
      </c>
      <c r="B863">
        <v>862</v>
      </c>
      <c r="C863" t="s">
        <v>1057</v>
      </c>
      <c r="D863" t="s">
        <v>187</v>
      </c>
      <c r="E863" t="s">
        <v>1809</v>
      </c>
      <c r="F863" t="s">
        <v>1634</v>
      </c>
      <c r="H863" t="s">
        <v>1643</v>
      </c>
    </row>
    <row r="864" spans="1:8" x14ac:dyDescent="0.25">
      <c r="A864" t="s">
        <v>1810</v>
      </c>
      <c r="B864">
        <v>863</v>
      </c>
      <c r="C864" t="s">
        <v>2641</v>
      </c>
      <c r="D864" t="s">
        <v>1808</v>
      </c>
      <c r="E864" t="s">
        <v>1809</v>
      </c>
      <c r="F864" t="s">
        <v>1634</v>
      </c>
      <c r="H864" t="s">
        <v>1640</v>
      </c>
    </row>
    <row r="865" spans="1:8" x14ac:dyDescent="0.25">
      <c r="A865" t="s">
        <v>2446</v>
      </c>
      <c r="B865">
        <v>864</v>
      </c>
      <c r="C865" t="s">
        <v>1057</v>
      </c>
      <c r="D865" t="s">
        <v>187</v>
      </c>
      <c r="E865" t="s">
        <v>1812</v>
      </c>
      <c r="F865" t="s">
        <v>1634</v>
      </c>
      <c r="H865" t="s">
        <v>1643</v>
      </c>
    </row>
    <row r="866" spans="1:8" x14ac:dyDescent="0.25">
      <c r="A866" t="s">
        <v>1813</v>
      </c>
      <c r="B866">
        <v>865</v>
      </c>
      <c r="C866" t="s">
        <v>2641</v>
      </c>
      <c r="D866" t="s">
        <v>1811</v>
      </c>
      <c r="E866" t="s">
        <v>1812</v>
      </c>
      <c r="F866" t="s">
        <v>1634</v>
      </c>
      <c r="H866" t="s">
        <v>1640</v>
      </c>
    </row>
    <row r="867" spans="1:8" x14ac:dyDescent="0.25">
      <c r="A867" t="s">
        <v>2447</v>
      </c>
      <c r="B867">
        <v>866</v>
      </c>
      <c r="C867" t="s">
        <v>1057</v>
      </c>
      <c r="D867" t="s">
        <v>187</v>
      </c>
      <c r="E867" t="s">
        <v>1815</v>
      </c>
      <c r="F867" t="s">
        <v>1634</v>
      </c>
      <c r="H867" t="s">
        <v>1643</v>
      </c>
    </row>
    <row r="868" spans="1:8" x14ac:dyDescent="0.25">
      <c r="A868" t="s">
        <v>1816</v>
      </c>
      <c r="B868">
        <v>867</v>
      </c>
      <c r="C868" t="s">
        <v>2641</v>
      </c>
      <c r="D868" t="s">
        <v>1814</v>
      </c>
      <c r="E868" t="s">
        <v>1815</v>
      </c>
      <c r="F868" t="s">
        <v>1634</v>
      </c>
      <c r="H868" t="s">
        <v>1640</v>
      </c>
    </row>
    <row r="869" spans="1:8" x14ac:dyDescent="0.25">
      <c r="A869" t="s">
        <v>2448</v>
      </c>
      <c r="B869">
        <v>868</v>
      </c>
      <c r="C869" t="s">
        <v>1057</v>
      </c>
      <c r="D869" t="s">
        <v>187</v>
      </c>
      <c r="E869" t="s">
        <v>1818</v>
      </c>
      <c r="F869" t="s">
        <v>1634</v>
      </c>
      <c r="H869" t="s">
        <v>1643</v>
      </c>
    </row>
    <row r="870" spans="1:8" x14ac:dyDescent="0.25">
      <c r="A870" t="s">
        <v>1819</v>
      </c>
      <c r="B870">
        <v>869</v>
      </c>
      <c r="C870" t="s">
        <v>2641</v>
      </c>
      <c r="D870" t="s">
        <v>1817</v>
      </c>
      <c r="E870" t="s">
        <v>1818</v>
      </c>
      <c r="F870" t="s">
        <v>1634</v>
      </c>
      <c r="H870" t="s">
        <v>1640</v>
      </c>
    </row>
    <row r="871" spans="1:8" x14ac:dyDescent="0.25">
      <c r="A871" t="s">
        <v>2449</v>
      </c>
      <c r="B871">
        <v>870</v>
      </c>
      <c r="C871" t="s">
        <v>1057</v>
      </c>
      <c r="D871" t="s">
        <v>187</v>
      </c>
      <c r="E871" t="s">
        <v>1821</v>
      </c>
      <c r="F871" t="s">
        <v>1634</v>
      </c>
      <c r="H871" t="s">
        <v>1643</v>
      </c>
    </row>
    <row r="872" spans="1:8" x14ac:dyDescent="0.25">
      <c r="A872" t="s">
        <v>1822</v>
      </c>
      <c r="B872">
        <v>871</v>
      </c>
      <c r="C872" t="s">
        <v>2641</v>
      </c>
      <c r="D872" t="s">
        <v>1820</v>
      </c>
      <c r="E872" t="s">
        <v>1821</v>
      </c>
      <c r="F872" t="s">
        <v>1634</v>
      </c>
      <c r="H872" t="s">
        <v>1640</v>
      </c>
    </row>
    <row r="873" spans="1:8" x14ac:dyDescent="0.25">
      <c r="A873" t="s">
        <v>2450</v>
      </c>
      <c r="B873">
        <v>872</v>
      </c>
      <c r="C873" t="s">
        <v>1057</v>
      </c>
      <c r="D873" t="s">
        <v>187</v>
      </c>
      <c r="E873" t="s">
        <v>1824</v>
      </c>
      <c r="F873" t="s">
        <v>1634</v>
      </c>
      <c r="H873" t="s">
        <v>1643</v>
      </c>
    </row>
    <row r="874" spans="1:8" x14ac:dyDescent="0.25">
      <c r="A874" t="s">
        <v>1825</v>
      </c>
      <c r="B874">
        <v>873</v>
      </c>
      <c r="C874" t="s">
        <v>2641</v>
      </c>
      <c r="D874" t="s">
        <v>1823</v>
      </c>
      <c r="E874" t="s">
        <v>1824</v>
      </c>
      <c r="F874" t="s">
        <v>1634</v>
      </c>
      <c r="H874" t="s">
        <v>1640</v>
      </c>
    </row>
    <row r="875" spans="1:8" x14ac:dyDescent="0.25">
      <c r="A875" t="s">
        <v>2451</v>
      </c>
      <c r="B875">
        <v>874</v>
      </c>
      <c r="C875" t="s">
        <v>1057</v>
      </c>
      <c r="D875" t="s">
        <v>187</v>
      </c>
      <c r="E875" t="s">
        <v>1827</v>
      </c>
      <c r="F875" t="s">
        <v>1634</v>
      </c>
      <c r="H875" t="s">
        <v>1643</v>
      </c>
    </row>
    <row r="876" spans="1:8" x14ac:dyDescent="0.25">
      <c r="A876" t="s">
        <v>1828</v>
      </c>
      <c r="B876">
        <v>875</v>
      </c>
      <c r="C876" t="s">
        <v>2641</v>
      </c>
      <c r="D876" t="s">
        <v>1826</v>
      </c>
      <c r="E876" t="s">
        <v>1827</v>
      </c>
      <c r="F876" t="s">
        <v>1634</v>
      </c>
      <c r="H876" t="s">
        <v>1640</v>
      </c>
    </row>
    <row r="877" spans="1:8" x14ac:dyDescent="0.25">
      <c r="A877" t="s">
        <v>2452</v>
      </c>
      <c r="B877">
        <v>876</v>
      </c>
      <c r="C877" t="s">
        <v>1057</v>
      </c>
      <c r="D877" t="s">
        <v>187</v>
      </c>
      <c r="E877" t="s">
        <v>1830</v>
      </c>
      <c r="F877" t="s">
        <v>1634</v>
      </c>
      <c r="H877" t="s">
        <v>1643</v>
      </c>
    </row>
    <row r="878" spans="1:8" x14ac:dyDescent="0.25">
      <c r="A878" t="s">
        <v>1831</v>
      </c>
      <c r="B878">
        <v>877</v>
      </c>
      <c r="C878" t="s">
        <v>2641</v>
      </c>
      <c r="D878" t="s">
        <v>1829</v>
      </c>
      <c r="E878" t="s">
        <v>1830</v>
      </c>
      <c r="F878" t="s">
        <v>1634</v>
      </c>
      <c r="H878" t="s">
        <v>1640</v>
      </c>
    </row>
    <row r="879" spans="1:8" x14ac:dyDescent="0.25">
      <c r="A879" t="s">
        <v>2453</v>
      </c>
      <c r="B879">
        <v>878</v>
      </c>
      <c r="C879" t="s">
        <v>1057</v>
      </c>
      <c r="D879" t="s">
        <v>187</v>
      </c>
      <c r="E879" t="s">
        <v>1833</v>
      </c>
      <c r="F879" t="s">
        <v>1634</v>
      </c>
      <c r="H879" t="s">
        <v>1643</v>
      </c>
    </row>
    <row r="880" spans="1:8" x14ac:dyDescent="0.25">
      <c r="A880" t="s">
        <v>1834</v>
      </c>
      <c r="B880">
        <v>879</v>
      </c>
      <c r="C880" t="s">
        <v>2641</v>
      </c>
      <c r="D880" t="s">
        <v>1832</v>
      </c>
      <c r="E880" t="s">
        <v>1833</v>
      </c>
      <c r="F880" t="s">
        <v>1634</v>
      </c>
      <c r="H880" t="s">
        <v>1640</v>
      </c>
    </row>
    <row r="881" spans="1:8" x14ac:dyDescent="0.25">
      <c r="A881" t="s">
        <v>2454</v>
      </c>
      <c r="B881">
        <v>880</v>
      </c>
      <c r="C881" t="s">
        <v>1057</v>
      </c>
      <c r="D881" t="s">
        <v>187</v>
      </c>
      <c r="E881" t="s">
        <v>1836</v>
      </c>
      <c r="F881" t="s">
        <v>1634</v>
      </c>
      <c r="H881" t="s">
        <v>1643</v>
      </c>
    </row>
    <row r="882" spans="1:8" x14ac:dyDescent="0.25">
      <c r="A882" t="s">
        <v>1837</v>
      </c>
      <c r="B882">
        <v>881</v>
      </c>
      <c r="C882" t="s">
        <v>2641</v>
      </c>
      <c r="D882" t="s">
        <v>1835</v>
      </c>
      <c r="E882" t="s">
        <v>1836</v>
      </c>
      <c r="F882" t="s">
        <v>1634</v>
      </c>
      <c r="H882" t="s">
        <v>1640</v>
      </c>
    </row>
    <row r="883" spans="1:8" x14ac:dyDescent="0.25">
      <c r="A883" t="s">
        <v>2455</v>
      </c>
      <c r="B883">
        <v>882</v>
      </c>
      <c r="C883" t="s">
        <v>1057</v>
      </c>
      <c r="D883" t="s">
        <v>188</v>
      </c>
      <c r="E883" t="s">
        <v>1645</v>
      </c>
      <c r="F883" t="s">
        <v>1635</v>
      </c>
      <c r="H883" t="s">
        <v>1643</v>
      </c>
    </row>
    <row r="884" spans="1:8" x14ac:dyDescent="0.25">
      <c r="A884" t="s">
        <v>1646</v>
      </c>
      <c r="B884">
        <v>883</v>
      </c>
      <c r="C884" t="s">
        <v>2641</v>
      </c>
      <c r="D884" t="s">
        <v>1644</v>
      </c>
      <c r="E884" t="s">
        <v>1645</v>
      </c>
      <c r="F884" t="s">
        <v>1635</v>
      </c>
      <c r="H884" t="s">
        <v>1640</v>
      </c>
    </row>
    <row r="885" spans="1:8" x14ac:dyDescent="0.25">
      <c r="A885" t="s">
        <v>2456</v>
      </c>
      <c r="B885">
        <v>884</v>
      </c>
      <c r="C885" t="s">
        <v>1057</v>
      </c>
      <c r="D885" t="s">
        <v>188</v>
      </c>
      <c r="E885" t="s">
        <v>1839</v>
      </c>
      <c r="F885" t="s">
        <v>1635</v>
      </c>
      <c r="H885" t="s">
        <v>1643</v>
      </c>
    </row>
    <row r="886" spans="1:8" x14ac:dyDescent="0.25">
      <c r="A886" t="s">
        <v>1840</v>
      </c>
      <c r="B886">
        <v>885</v>
      </c>
      <c r="C886" t="s">
        <v>2641</v>
      </c>
      <c r="D886" t="s">
        <v>1838</v>
      </c>
      <c r="E886" t="s">
        <v>1839</v>
      </c>
      <c r="F886" t="s">
        <v>1635</v>
      </c>
      <c r="H886" t="s">
        <v>1640</v>
      </c>
    </row>
    <row r="887" spans="1:8" x14ac:dyDescent="0.25">
      <c r="A887" t="s">
        <v>2457</v>
      </c>
      <c r="B887">
        <v>886</v>
      </c>
      <c r="C887" t="s">
        <v>1057</v>
      </c>
      <c r="D887" t="s">
        <v>188</v>
      </c>
      <c r="E887" t="s">
        <v>1842</v>
      </c>
      <c r="F887" t="s">
        <v>1635</v>
      </c>
      <c r="H887" t="s">
        <v>1643</v>
      </c>
    </row>
    <row r="888" spans="1:8" x14ac:dyDescent="0.25">
      <c r="A888" t="s">
        <v>1843</v>
      </c>
      <c r="B888">
        <v>887</v>
      </c>
      <c r="C888" t="s">
        <v>2641</v>
      </c>
      <c r="D888" t="s">
        <v>1841</v>
      </c>
      <c r="E888" t="s">
        <v>1842</v>
      </c>
      <c r="F888" t="s">
        <v>1635</v>
      </c>
      <c r="H888" t="s">
        <v>1640</v>
      </c>
    </row>
    <row r="889" spans="1:8" x14ac:dyDescent="0.25">
      <c r="A889" t="s">
        <v>2458</v>
      </c>
      <c r="B889">
        <v>888</v>
      </c>
      <c r="C889" t="s">
        <v>1057</v>
      </c>
      <c r="D889" t="s">
        <v>188</v>
      </c>
      <c r="E889" t="s">
        <v>1845</v>
      </c>
      <c r="F889" t="s">
        <v>1635</v>
      </c>
      <c r="H889" t="s">
        <v>1643</v>
      </c>
    </row>
    <row r="890" spans="1:8" x14ac:dyDescent="0.25">
      <c r="A890" t="s">
        <v>1846</v>
      </c>
      <c r="B890">
        <v>889</v>
      </c>
      <c r="C890" t="s">
        <v>2641</v>
      </c>
      <c r="D890" t="s">
        <v>1844</v>
      </c>
      <c r="E890" t="s">
        <v>1845</v>
      </c>
      <c r="F890" t="s">
        <v>1635</v>
      </c>
      <c r="H890" t="s">
        <v>1640</v>
      </c>
    </row>
    <row r="891" spans="1:8" x14ac:dyDescent="0.25">
      <c r="A891" t="s">
        <v>2459</v>
      </c>
      <c r="B891">
        <v>890</v>
      </c>
      <c r="C891" t="s">
        <v>1057</v>
      </c>
      <c r="D891" t="s">
        <v>188</v>
      </c>
      <c r="E891" t="s">
        <v>1848</v>
      </c>
      <c r="F891" t="s">
        <v>1635</v>
      </c>
      <c r="H891" t="s">
        <v>1643</v>
      </c>
    </row>
    <row r="892" spans="1:8" x14ac:dyDescent="0.25">
      <c r="A892" t="s">
        <v>1849</v>
      </c>
      <c r="B892">
        <v>891</v>
      </c>
      <c r="C892" t="s">
        <v>2641</v>
      </c>
      <c r="D892" t="s">
        <v>1847</v>
      </c>
      <c r="E892" t="s">
        <v>1848</v>
      </c>
      <c r="F892" t="s">
        <v>1635</v>
      </c>
      <c r="H892" t="s">
        <v>1640</v>
      </c>
    </row>
    <row r="893" spans="1:8" x14ac:dyDescent="0.25">
      <c r="A893" t="s">
        <v>2460</v>
      </c>
      <c r="B893">
        <v>892</v>
      </c>
      <c r="C893" t="s">
        <v>1057</v>
      </c>
      <c r="D893" t="s">
        <v>188</v>
      </c>
      <c r="E893" t="s">
        <v>1851</v>
      </c>
      <c r="F893" t="s">
        <v>1635</v>
      </c>
      <c r="H893" t="s">
        <v>1643</v>
      </c>
    </row>
    <row r="894" spans="1:8" x14ac:dyDescent="0.25">
      <c r="A894" t="s">
        <v>1852</v>
      </c>
      <c r="B894">
        <v>893</v>
      </c>
      <c r="C894" t="s">
        <v>2641</v>
      </c>
      <c r="D894" t="s">
        <v>1850</v>
      </c>
      <c r="E894" t="s">
        <v>1851</v>
      </c>
      <c r="F894" t="s">
        <v>1635</v>
      </c>
      <c r="H894" t="s">
        <v>1640</v>
      </c>
    </row>
    <row r="895" spans="1:8" x14ac:dyDescent="0.25">
      <c r="A895" t="s">
        <v>2461</v>
      </c>
      <c r="B895">
        <v>894</v>
      </c>
      <c r="C895" t="s">
        <v>1057</v>
      </c>
      <c r="D895" t="s">
        <v>188</v>
      </c>
      <c r="E895" t="s">
        <v>1854</v>
      </c>
      <c r="F895" t="s">
        <v>1635</v>
      </c>
      <c r="H895" t="s">
        <v>1643</v>
      </c>
    </row>
    <row r="896" spans="1:8" x14ac:dyDescent="0.25">
      <c r="A896" t="s">
        <v>1855</v>
      </c>
      <c r="B896">
        <v>895</v>
      </c>
      <c r="C896" t="s">
        <v>2641</v>
      </c>
      <c r="D896" t="s">
        <v>1853</v>
      </c>
      <c r="E896" t="s">
        <v>1854</v>
      </c>
      <c r="F896" t="s">
        <v>1635</v>
      </c>
      <c r="H896" t="s">
        <v>1640</v>
      </c>
    </row>
    <row r="897" spans="1:8" x14ac:dyDescent="0.25">
      <c r="A897" t="s">
        <v>2462</v>
      </c>
      <c r="B897">
        <v>896</v>
      </c>
      <c r="C897" t="s">
        <v>1057</v>
      </c>
      <c r="D897" t="s">
        <v>188</v>
      </c>
      <c r="E897" t="s">
        <v>1857</v>
      </c>
      <c r="F897" t="s">
        <v>1635</v>
      </c>
      <c r="H897" t="s">
        <v>1643</v>
      </c>
    </row>
    <row r="898" spans="1:8" x14ac:dyDescent="0.25">
      <c r="A898" t="s">
        <v>1858</v>
      </c>
      <c r="B898">
        <v>897</v>
      </c>
      <c r="C898" t="s">
        <v>2641</v>
      </c>
      <c r="D898" t="s">
        <v>1856</v>
      </c>
      <c r="E898" t="s">
        <v>1857</v>
      </c>
      <c r="F898" t="s">
        <v>1635</v>
      </c>
      <c r="H898" t="s">
        <v>1640</v>
      </c>
    </row>
    <row r="899" spans="1:8" x14ac:dyDescent="0.25">
      <c r="A899" t="s">
        <v>2463</v>
      </c>
      <c r="B899">
        <v>898</v>
      </c>
      <c r="C899" t="s">
        <v>1057</v>
      </c>
      <c r="D899" t="s">
        <v>188</v>
      </c>
      <c r="E899" t="s">
        <v>1860</v>
      </c>
      <c r="F899" t="s">
        <v>1635</v>
      </c>
      <c r="H899" t="s">
        <v>1643</v>
      </c>
    </row>
    <row r="900" spans="1:8" x14ac:dyDescent="0.25">
      <c r="A900" t="s">
        <v>1861</v>
      </c>
      <c r="B900">
        <v>899</v>
      </c>
      <c r="C900" t="s">
        <v>2641</v>
      </c>
      <c r="D900" t="s">
        <v>1859</v>
      </c>
      <c r="E900" t="s">
        <v>1860</v>
      </c>
      <c r="F900" t="s">
        <v>1635</v>
      </c>
      <c r="H900" t="s">
        <v>1640</v>
      </c>
    </row>
    <row r="901" spans="1:8" x14ac:dyDescent="0.25">
      <c r="A901" t="s">
        <v>2464</v>
      </c>
      <c r="B901">
        <v>900</v>
      </c>
      <c r="C901" t="s">
        <v>1057</v>
      </c>
      <c r="D901" t="s">
        <v>188</v>
      </c>
      <c r="E901" t="s">
        <v>1863</v>
      </c>
      <c r="F901" t="s">
        <v>1635</v>
      </c>
      <c r="H901" t="s">
        <v>1643</v>
      </c>
    </row>
    <row r="902" spans="1:8" x14ac:dyDescent="0.25">
      <c r="A902" t="s">
        <v>1864</v>
      </c>
      <c r="B902">
        <v>901</v>
      </c>
      <c r="C902" t="s">
        <v>2641</v>
      </c>
      <c r="D902" t="s">
        <v>1862</v>
      </c>
      <c r="E902" t="s">
        <v>1863</v>
      </c>
      <c r="F902" t="s">
        <v>1635</v>
      </c>
      <c r="H902" t="s">
        <v>1640</v>
      </c>
    </row>
    <row r="903" spans="1:8" x14ac:dyDescent="0.25">
      <c r="A903" t="s">
        <v>2465</v>
      </c>
      <c r="B903">
        <v>902</v>
      </c>
      <c r="C903" t="s">
        <v>1057</v>
      </c>
      <c r="D903" t="s">
        <v>188</v>
      </c>
      <c r="E903" t="s">
        <v>1866</v>
      </c>
      <c r="F903" t="s">
        <v>1635</v>
      </c>
      <c r="H903" t="s">
        <v>1643</v>
      </c>
    </row>
    <row r="904" spans="1:8" x14ac:dyDescent="0.25">
      <c r="A904" t="s">
        <v>1867</v>
      </c>
      <c r="B904">
        <v>903</v>
      </c>
      <c r="C904" t="s">
        <v>2641</v>
      </c>
      <c r="D904" t="s">
        <v>1865</v>
      </c>
      <c r="E904" t="s">
        <v>1866</v>
      </c>
      <c r="F904" t="s">
        <v>1635</v>
      </c>
      <c r="H904" t="s">
        <v>1640</v>
      </c>
    </row>
    <row r="905" spans="1:8" x14ac:dyDescent="0.25">
      <c r="A905" t="s">
        <v>2466</v>
      </c>
      <c r="B905">
        <v>904</v>
      </c>
      <c r="C905" t="s">
        <v>1057</v>
      </c>
      <c r="D905" t="s">
        <v>188</v>
      </c>
      <c r="E905" t="s">
        <v>1869</v>
      </c>
      <c r="F905" t="s">
        <v>1635</v>
      </c>
      <c r="H905" t="s">
        <v>1643</v>
      </c>
    </row>
    <row r="906" spans="1:8" x14ac:dyDescent="0.25">
      <c r="A906" t="s">
        <v>1870</v>
      </c>
      <c r="B906">
        <v>905</v>
      </c>
      <c r="C906" t="s">
        <v>2641</v>
      </c>
      <c r="D906" t="s">
        <v>1868</v>
      </c>
      <c r="E906" t="s">
        <v>1869</v>
      </c>
      <c r="F906" t="s">
        <v>1635</v>
      </c>
      <c r="H906" t="s">
        <v>1640</v>
      </c>
    </row>
    <row r="907" spans="1:8" x14ac:dyDescent="0.25">
      <c r="A907" t="s">
        <v>2467</v>
      </c>
      <c r="B907">
        <v>906</v>
      </c>
      <c r="C907" t="s">
        <v>1057</v>
      </c>
      <c r="D907" t="s">
        <v>188</v>
      </c>
      <c r="E907" t="s">
        <v>1872</v>
      </c>
      <c r="F907" t="s">
        <v>1635</v>
      </c>
      <c r="H907" t="s">
        <v>1643</v>
      </c>
    </row>
    <row r="908" spans="1:8" x14ac:dyDescent="0.25">
      <c r="A908" t="s">
        <v>1873</v>
      </c>
      <c r="B908">
        <v>907</v>
      </c>
      <c r="C908" t="s">
        <v>2641</v>
      </c>
      <c r="D908" t="s">
        <v>1871</v>
      </c>
      <c r="E908" t="s">
        <v>1872</v>
      </c>
      <c r="F908" t="s">
        <v>1635</v>
      </c>
      <c r="H908" t="s">
        <v>1640</v>
      </c>
    </row>
    <row r="909" spans="1:8" x14ac:dyDescent="0.25">
      <c r="A909" t="s">
        <v>2468</v>
      </c>
      <c r="B909">
        <v>908</v>
      </c>
      <c r="C909" t="s">
        <v>1057</v>
      </c>
      <c r="D909" t="s">
        <v>188</v>
      </c>
      <c r="E909" t="s">
        <v>1875</v>
      </c>
      <c r="F909" t="s">
        <v>1635</v>
      </c>
      <c r="H909" t="s">
        <v>1643</v>
      </c>
    </row>
    <row r="910" spans="1:8" x14ac:dyDescent="0.25">
      <c r="A910" t="s">
        <v>1876</v>
      </c>
      <c r="B910">
        <v>909</v>
      </c>
      <c r="C910" t="s">
        <v>2641</v>
      </c>
      <c r="D910" t="s">
        <v>1874</v>
      </c>
      <c r="E910" t="s">
        <v>1875</v>
      </c>
      <c r="F910" t="s">
        <v>1635</v>
      </c>
      <c r="H910" t="s">
        <v>1640</v>
      </c>
    </row>
    <row r="911" spans="1:8" x14ac:dyDescent="0.25">
      <c r="A911" t="s">
        <v>2469</v>
      </c>
      <c r="B911">
        <v>910</v>
      </c>
      <c r="C911" t="s">
        <v>1057</v>
      </c>
      <c r="D911" t="s">
        <v>188</v>
      </c>
      <c r="E911" t="s">
        <v>1878</v>
      </c>
      <c r="F911" t="s">
        <v>1635</v>
      </c>
      <c r="H911" t="s">
        <v>1643</v>
      </c>
    </row>
    <row r="912" spans="1:8" x14ac:dyDescent="0.25">
      <c r="A912" t="s">
        <v>1879</v>
      </c>
      <c r="B912">
        <v>911</v>
      </c>
      <c r="C912" t="s">
        <v>2641</v>
      </c>
      <c r="D912" t="s">
        <v>1877</v>
      </c>
      <c r="E912" t="s">
        <v>1878</v>
      </c>
      <c r="F912" t="s">
        <v>1635</v>
      </c>
      <c r="H912" t="s">
        <v>1640</v>
      </c>
    </row>
    <row r="913" spans="1:8" x14ac:dyDescent="0.25">
      <c r="A913" t="s">
        <v>2470</v>
      </c>
      <c r="B913">
        <v>912</v>
      </c>
      <c r="C913" t="s">
        <v>1057</v>
      </c>
      <c r="D913" t="s">
        <v>188</v>
      </c>
      <c r="E913" t="s">
        <v>1881</v>
      </c>
      <c r="F913" t="s">
        <v>1635</v>
      </c>
      <c r="H913" t="s">
        <v>1643</v>
      </c>
    </row>
    <row r="914" spans="1:8" x14ac:dyDescent="0.25">
      <c r="A914" t="s">
        <v>1882</v>
      </c>
      <c r="B914">
        <v>913</v>
      </c>
      <c r="C914" t="s">
        <v>2641</v>
      </c>
      <c r="D914" t="s">
        <v>1880</v>
      </c>
      <c r="E914" t="s">
        <v>1881</v>
      </c>
      <c r="F914" t="s">
        <v>1635</v>
      </c>
      <c r="H914" t="s">
        <v>1640</v>
      </c>
    </row>
    <row r="915" spans="1:8" x14ac:dyDescent="0.25">
      <c r="A915" t="s">
        <v>2471</v>
      </c>
      <c r="B915">
        <v>914</v>
      </c>
      <c r="C915" t="s">
        <v>1057</v>
      </c>
      <c r="D915" t="s">
        <v>188</v>
      </c>
      <c r="E915" t="s">
        <v>1884</v>
      </c>
      <c r="F915" t="s">
        <v>1635</v>
      </c>
      <c r="H915" t="s">
        <v>1643</v>
      </c>
    </row>
    <row r="916" spans="1:8" x14ac:dyDescent="0.25">
      <c r="A916" t="s">
        <v>1885</v>
      </c>
      <c r="B916">
        <v>915</v>
      </c>
      <c r="C916" t="s">
        <v>2641</v>
      </c>
      <c r="D916" t="s">
        <v>1883</v>
      </c>
      <c r="E916" t="s">
        <v>1884</v>
      </c>
      <c r="F916" t="s">
        <v>1635</v>
      </c>
      <c r="H916" t="s">
        <v>1640</v>
      </c>
    </row>
    <row r="917" spans="1:8" x14ac:dyDescent="0.25">
      <c r="A917" t="s">
        <v>2472</v>
      </c>
      <c r="B917">
        <v>916</v>
      </c>
      <c r="C917" t="s">
        <v>1057</v>
      </c>
      <c r="D917" t="s">
        <v>188</v>
      </c>
      <c r="E917" t="s">
        <v>1887</v>
      </c>
      <c r="F917" t="s">
        <v>1635</v>
      </c>
      <c r="H917" t="s">
        <v>1643</v>
      </c>
    </row>
    <row r="918" spans="1:8" x14ac:dyDescent="0.25">
      <c r="A918" t="s">
        <v>1888</v>
      </c>
      <c r="B918">
        <v>917</v>
      </c>
      <c r="C918" t="s">
        <v>2641</v>
      </c>
      <c r="D918" t="s">
        <v>1886</v>
      </c>
      <c r="E918" t="s">
        <v>1887</v>
      </c>
      <c r="F918" t="s">
        <v>1635</v>
      </c>
      <c r="H918" t="s">
        <v>1640</v>
      </c>
    </row>
    <row r="919" spans="1:8" x14ac:dyDescent="0.25">
      <c r="A919" t="s">
        <v>2473</v>
      </c>
      <c r="B919">
        <v>918</v>
      </c>
      <c r="C919" t="s">
        <v>1057</v>
      </c>
      <c r="D919" t="s">
        <v>188</v>
      </c>
      <c r="E919" t="s">
        <v>1890</v>
      </c>
      <c r="F919" t="s">
        <v>1635</v>
      </c>
      <c r="H919" t="s">
        <v>1643</v>
      </c>
    </row>
    <row r="920" spans="1:8" x14ac:dyDescent="0.25">
      <c r="A920" t="s">
        <v>1891</v>
      </c>
      <c r="B920">
        <v>919</v>
      </c>
      <c r="C920" t="s">
        <v>2641</v>
      </c>
      <c r="D920" t="s">
        <v>1889</v>
      </c>
      <c r="E920" t="s">
        <v>1890</v>
      </c>
      <c r="F920" t="s">
        <v>1635</v>
      </c>
      <c r="H920" t="s">
        <v>1640</v>
      </c>
    </row>
    <row r="921" spans="1:8" x14ac:dyDescent="0.25">
      <c r="A921" t="s">
        <v>2474</v>
      </c>
      <c r="B921">
        <v>920</v>
      </c>
      <c r="C921" t="s">
        <v>1057</v>
      </c>
      <c r="D921" t="s">
        <v>188</v>
      </c>
      <c r="E921" t="s">
        <v>1893</v>
      </c>
      <c r="F921" t="s">
        <v>1635</v>
      </c>
      <c r="H921" t="s">
        <v>1643</v>
      </c>
    </row>
    <row r="922" spans="1:8" x14ac:dyDescent="0.25">
      <c r="A922" t="s">
        <v>1894</v>
      </c>
      <c r="B922">
        <v>921</v>
      </c>
      <c r="C922" t="s">
        <v>2641</v>
      </c>
      <c r="D922" t="s">
        <v>1892</v>
      </c>
      <c r="E922" t="s">
        <v>1893</v>
      </c>
      <c r="F922" t="s">
        <v>1635</v>
      </c>
      <c r="H922" t="s">
        <v>1640</v>
      </c>
    </row>
    <row r="923" spans="1:8" x14ac:dyDescent="0.25">
      <c r="A923" t="s">
        <v>2475</v>
      </c>
      <c r="B923">
        <v>922</v>
      </c>
      <c r="C923" t="s">
        <v>1057</v>
      </c>
      <c r="D923" t="s">
        <v>188</v>
      </c>
      <c r="E923" t="s">
        <v>1896</v>
      </c>
      <c r="F923" t="s">
        <v>1635</v>
      </c>
      <c r="H923" t="s">
        <v>1643</v>
      </c>
    </row>
    <row r="924" spans="1:8" x14ac:dyDescent="0.25">
      <c r="A924" t="s">
        <v>1897</v>
      </c>
      <c r="B924">
        <v>923</v>
      </c>
      <c r="C924" t="s">
        <v>2641</v>
      </c>
      <c r="D924" t="s">
        <v>1895</v>
      </c>
      <c r="E924" t="s">
        <v>1896</v>
      </c>
      <c r="F924" t="s">
        <v>1635</v>
      </c>
      <c r="H924" t="s">
        <v>1640</v>
      </c>
    </row>
    <row r="925" spans="1:8" x14ac:dyDescent="0.25">
      <c r="A925" t="s">
        <v>2476</v>
      </c>
      <c r="B925">
        <v>924</v>
      </c>
      <c r="C925" t="s">
        <v>1057</v>
      </c>
      <c r="D925" t="s">
        <v>188</v>
      </c>
      <c r="E925" t="s">
        <v>1899</v>
      </c>
      <c r="F925" t="s">
        <v>1635</v>
      </c>
      <c r="H925" t="s">
        <v>1643</v>
      </c>
    </row>
    <row r="926" spans="1:8" x14ac:dyDescent="0.25">
      <c r="A926" t="s">
        <v>1900</v>
      </c>
      <c r="B926">
        <v>925</v>
      </c>
      <c r="C926" t="s">
        <v>2641</v>
      </c>
      <c r="D926" t="s">
        <v>1898</v>
      </c>
      <c r="E926" t="s">
        <v>1899</v>
      </c>
      <c r="F926" t="s">
        <v>1635</v>
      </c>
      <c r="H926" t="s">
        <v>1640</v>
      </c>
    </row>
    <row r="927" spans="1:8" x14ac:dyDescent="0.25">
      <c r="A927" t="s">
        <v>2477</v>
      </c>
      <c r="B927">
        <v>926</v>
      </c>
      <c r="C927" t="s">
        <v>1057</v>
      </c>
      <c r="D927" t="s">
        <v>188</v>
      </c>
      <c r="E927" t="s">
        <v>1902</v>
      </c>
      <c r="F927" t="s">
        <v>1635</v>
      </c>
      <c r="H927" t="s">
        <v>1643</v>
      </c>
    </row>
    <row r="928" spans="1:8" x14ac:dyDescent="0.25">
      <c r="A928" t="s">
        <v>1903</v>
      </c>
      <c r="B928">
        <v>927</v>
      </c>
      <c r="C928" t="s">
        <v>2641</v>
      </c>
      <c r="D928" t="s">
        <v>1901</v>
      </c>
      <c r="E928" t="s">
        <v>1902</v>
      </c>
      <c r="F928" t="s">
        <v>1635</v>
      </c>
      <c r="H928" t="s">
        <v>1640</v>
      </c>
    </row>
    <row r="929" spans="1:8" x14ac:dyDescent="0.25">
      <c r="A929" t="s">
        <v>2478</v>
      </c>
      <c r="B929">
        <v>928</v>
      </c>
      <c r="C929" t="s">
        <v>1057</v>
      </c>
      <c r="D929" t="s">
        <v>188</v>
      </c>
      <c r="E929" t="s">
        <v>1905</v>
      </c>
      <c r="F929" t="s">
        <v>1635</v>
      </c>
      <c r="H929" t="s">
        <v>1643</v>
      </c>
    </row>
    <row r="930" spans="1:8" x14ac:dyDescent="0.25">
      <c r="A930" t="s">
        <v>1906</v>
      </c>
      <c r="B930">
        <v>929</v>
      </c>
      <c r="C930" t="s">
        <v>2641</v>
      </c>
      <c r="D930" t="s">
        <v>1904</v>
      </c>
      <c r="E930" t="s">
        <v>1905</v>
      </c>
      <c r="F930" t="s">
        <v>1635</v>
      </c>
      <c r="H930" t="s">
        <v>1640</v>
      </c>
    </row>
    <row r="931" spans="1:8" x14ac:dyDescent="0.25">
      <c r="A931" t="s">
        <v>2479</v>
      </c>
      <c r="B931">
        <v>930</v>
      </c>
      <c r="C931" t="s">
        <v>1057</v>
      </c>
      <c r="D931" t="s">
        <v>188</v>
      </c>
      <c r="E931" t="s">
        <v>1908</v>
      </c>
      <c r="F931" t="s">
        <v>1635</v>
      </c>
      <c r="H931" t="s">
        <v>1643</v>
      </c>
    </row>
    <row r="932" spans="1:8" x14ac:dyDescent="0.25">
      <c r="A932" t="s">
        <v>1909</v>
      </c>
      <c r="B932">
        <v>931</v>
      </c>
      <c r="C932" t="s">
        <v>2641</v>
      </c>
      <c r="D932" t="s">
        <v>1907</v>
      </c>
      <c r="E932" t="s">
        <v>1908</v>
      </c>
      <c r="F932" t="s">
        <v>1635</v>
      </c>
      <c r="H932" t="s">
        <v>1640</v>
      </c>
    </row>
    <row r="933" spans="1:8" x14ac:dyDescent="0.25">
      <c r="A933" t="s">
        <v>2480</v>
      </c>
      <c r="B933">
        <v>932</v>
      </c>
      <c r="C933" t="s">
        <v>1057</v>
      </c>
      <c r="D933" t="s">
        <v>188</v>
      </c>
      <c r="E933" t="s">
        <v>1911</v>
      </c>
      <c r="F933" t="s">
        <v>1635</v>
      </c>
      <c r="H933" t="s">
        <v>1643</v>
      </c>
    </row>
    <row r="934" spans="1:8" x14ac:dyDescent="0.25">
      <c r="A934" t="s">
        <v>1912</v>
      </c>
      <c r="B934">
        <v>933</v>
      </c>
      <c r="C934" t="s">
        <v>2641</v>
      </c>
      <c r="D934" t="s">
        <v>1910</v>
      </c>
      <c r="E934" t="s">
        <v>1911</v>
      </c>
      <c r="F934" t="s">
        <v>1635</v>
      </c>
      <c r="H934" t="s">
        <v>1640</v>
      </c>
    </row>
    <row r="935" spans="1:8" x14ac:dyDescent="0.25">
      <c r="A935" t="s">
        <v>2481</v>
      </c>
      <c r="B935">
        <v>934</v>
      </c>
      <c r="C935" t="s">
        <v>1057</v>
      </c>
      <c r="D935" t="s">
        <v>188</v>
      </c>
      <c r="E935" t="s">
        <v>1914</v>
      </c>
      <c r="F935" t="s">
        <v>1635</v>
      </c>
      <c r="H935" t="s">
        <v>1643</v>
      </c>
    </row>
    <row r="936" spans="1:8" x14ac:dyDescent="0.25">
      <c r="A936" t="s">
        <v>1915</v>
      </c>
      <c r="B936">
        <v>935</v>
      </c>
      <c r="C936" t="s">
        <v>2641</v>
      </c>
      <c r="D936" t="s">
        <v>1913</v>
      </c>
      <c r="E936" t="s">
        <v>1914</v>
      </c>
      <c r="F936" t="s">
        <v>1635</v>
      </c>
      <c r="H936" t="s">
        <v>1640</v>
      </c>
    </row>
    <row r="937" spans="1:8" x14ac:dyDescent="0.25">
      <c r="A937" t="s">
        <v>2482</v>
      </c>
      <c r="B937">
        <v>936</v>
      </c>
      <c r="C937" t="s">
        <v>1057</v>
      </c>
      <c r="D937" t="s">
        <v>188</v>
      </c>
      <c r="E937" t="s">
        <v>1917</v>
      </c>
      <c r="F937" t="s">
        <v>1635</v>
      </c>
      <c r="H937" t="s">
        <v>1643</v>
      </c>
    </row>
    <row r="938" spans="1:8" x14ac:dyDescent="0.25">
      <c r="A938" t="s">
        <v>1918</v>
      </c>
      <c r="B938">
        <v>937</v>
      </c>
      <c r="C938" t="s">
        <v>2641</v>
      </c>
      <c r="D938" t="s">
        <v>1916</v>
      </c>
      <c r="E938" t="s">
        <v>1917</v>
      </c>
      <c r="F938" t="s">
        <v>1635</v>
      </c>
      <c r="H938" t="s">
        <v>1640</v>
      </c>
    </row>
    <row r="939" spans="1:8" x14ac:dyDescent="0.25">
      <c r="A939" t="s">
        <v>2483</v>
      </c>
      <c r="B939">
        <v>938</v>
      </c>
      <c r="C939" t="s">
        <v>1057</v>
      </c>
      <c r="D939" t="s">
        <v>188</v>
      </c>
      <c r="E939" t="s">
        <v>1920</v>
      </c>
      <c r="F939" t="s">
        <v>1635</v>
      </c>
      <c r="H939" t="s">
        <v>1643</v>
      </c>
    </row>
    <row r="940" spans="1:8" x14ac:dyDescent="0.25">
      <c r="A940" t="s">
        <v>1921</v>
      </c>
      <c r="B940">
        <v>939</v>
      </c>
      <c r="C940" t="s">
        <v>2641</v>
      </c>
      <c r="D940" t="s">
        <v>1919</v>
      </c>
      <c r="E940" t="s">
        <v>1920</v>
      </c>
      <c r="F940" t="s">
        <v>1635</v>
      </c>
      <c r="H940" t="s">
        <v>1640</v>
      </c>
    </row>
    <row r="941" spans="1:8" x14ac:dyDescent="0.25">
      <c r="A941" t="s">
        <v>2484</v>
      </c>
      <c r="B941">
        <v>940</v>
      </c>
      <c r="C941" t="s">
        <v>1057</v>
      </c>
      <c r="D941" t="s">
        <v>188</v>
      </c>
      <c r="E941" t="s">
        <v>1923</v>
      </c>
      <c r="F941" t="s">
        <v>1635</v>
      </c>
      <c r="H941" t="s">
        <v>1643</v>
      </c>
    </row>
    <row r="942" spans="1:8" x14ac:dyDescent="0.25">
      <c r="A942" t="s">
        <v>1924</v>
      </c>
      <c r="B942">
        <v>941</v>
      </c>
      <c r="C942" t="s">
        <v>2641</v>
      </c>
      <c r="D942" t="s">
        <v>1922</v>
      </c>
      <c r="E942" t="s">
        <v>1923</v>
      </c>
      <c r="F942" t="s">
        <v>1635</v>
      </c>
      <c r="H942" t="s">
        <v>1640</v>
      </c>
    </row>
    <row r="943" spans="1:8" x14ac:dyDescent="0.25">
      <c r="A943" t="s">
        <v>2485</v>
      </c>
      <c r="B943">
        <v>942</v>
      </c>
      <c r="C943" t="s">
        <v>1057</v>
      </c>
      <c r="D943" t="s">
        <v>188</v>
      </c>
      <c r="E943" t="s">
        <v>1926</v>
      </c>
      <c r="F943" t="s">
        <v>1635</v>
      </c>
      <c r="H943" t="s">
        <v>1643</v>
      </c>
    </row>
    <row r="944" spans="1:8" x14ac:dyDescent="0.25">
      <c r="A944" t="s">
        <v>1927</v>
      </c>
      <c r="B944">
        <v>943</v>
      </c>
      <c r="C944" t="s">
        <v>2641</v>
      </c>
      <c r="D944" t="s">
        <v>1925</v>
      </c>
      <c r="E944" t="s">
        <v>1926</v>
      </c>
      <c r="F944" t="s">
        <v>1635</v>
      </c>
      <c r="H944" t="s">
        <v>1640</v>
      </c>
    </row>
    <row r="945" spans="1:8" x14ac:dyDescent="0.25">
      <c r="A945" t="s">
        <v>1929</v>
      </c>
      <c r="B945">
        <v>944</v>
      </c>
      <c r="C945" t="s">
        <v>2641</v>
      </c>
      <c r="D945" t="s">
        <v>1928</v>
      </c>
      <c r="E945" t="s">
        <v>188</v>
      </c>
      <c r="F945" t="s">
        <v>1635</v>
      </c>
      <c r="H945" t="s">
        <v>1640</v>
      </c>
    </row>
    <row r="946" spans="1:8" x14ac:dyDescent="0.25">
      <c r="A946" t="s">
        <v>2486</v>
      </c>
      <c r="B946">
        <v>945</v>
      </c>
      <c r="C946" t="s">
        <v>1057</v>
      </c>
      <c r="D946" t="s">
        <v>188</v>
      </c>
      <c r="E946" t="s">
        <v>1931</v>
      </c>
      <c r="F946" t="s">
        <v>1635</v>
      </c>
      <c r="H946" t="s">
        <v>1643</v>
      </c>
    </row>
    <row r="947" spans="1:8" x14ac:dyDescent="0.25">
      <c r="A947" t="s">
        <v>1932</v>
      </c>
      <c r="B947">
        <v>946</v>
      </c>
      <c r="C947" t="s">
        <v>2641</v>
      </c>
      <c r="D947" t="s">
        <v>1930</v>
      </c>
      <c r="E947" t="s">
        <v>1931</v>
      </c>
      <c r="F947" t="s">
        <v>1635</v>
      </c>
      <c r="H947" t="s">
        <v>1640</v>
      </c>
    </row>
    <row r="948" spans="1:8" x14ac:dyDescent="0.25">
      <c r="A948" t="s">
        <v>2487</v>
      </c>
      <c r="B948">
        <v>947</v>
      </c>
      <c r="C948" t="s">
        <v>1057</v>
      </c>
      <c r="D948" t="s">
        <v>188</v>
      </c>
      <c r="E948" t="s">
        <v>1934</v>
      </c>
      <c r="F948" t="s">
        <v>1635</v>
      </c>
      <c r="H948" t="s">
        <v>1643</v>
      </c>
    </row>
    <row r="949" spans="1:8" x14ac:dyDescent="0.25">
      <c r="A949" t="s">
        <v>1935</v>
      </c>
      <c r="B949">
        <v>948</v>
      </c>
      <c r="C949" t="s">
        <v>2641</v>
      </c>
      <c r="D949" t="s">
        <v>1933</v>
      </c>
      <c r="E949" t="s">
        <v>1934</v>
      </c>
      <c r="F949" t="s">
        <v>1635</v>
      </c>
      <c r="H949" t="s">
        <v>1640</v>
      </c>
    </row>
    <row r="950" spans="1:8" x14ac:dyDescent="0.25">
      <c r="A950" t="s">
        <v>2488</v>
      </c>
      <c r="B950">
        <v>949</v>
      </c>
      <c r="C950" t="s">
        <v>1057</v>
      </c>
      <c r="D950" t="s">
        <v>188</v>
      </c>
      <c r="E950" t="s">
        <v>1937</v>
      </c>
      <c r="F950" t="s">
        <v>1635</v>
      </c>
      <c r="H950" t="s">
        <v>1643</v>
      </c>
    </row>
    <row r="951" spans="1:8" x14ac:dyDescent="0.25">
      <c r="A951" t="s">
        <v>1938</v>
      </c>
      <c r="B951">
        <v>950</v>
      </c>
      <c r="C951" t="s">
        <v>2641</v>
      </c>
      <c r="D951" t="s">
        <v>1936</v>
      </c>
      <c r="E951" t="s">
        <v>1937</v>
      </c>
      <c r="F951" t="s">
        <v>1635</v>
      </c>
      <c r="H951" t="s">
        <v>1640</v>
      </c>
    </row>
    <row r="952" spans="1:8" x14ac:dyDescent="0.25">
      <c r="A952" t="s">
        <v>2489</v>
      </c>
      <c r="B952">
        <v>951</v>
      </c>
      <c r="C952" t="s">
        <v>1057</v>
      </c>
      <c r="D952" t="s">
        <v>188</v>
      </c>
      <c r="E952" t="s">
        <v>1940</v>
      </c>
      <c r="F952" t="s">
        <v>1635</v>
      </c>
      <c r="H952" t="s">
        <v>1643</v>
      </c>
    </row>
    <row r="953" spans="1:8" x14ac:dyDescent="0.25">
      <c r="A953" t="s">
        <v>1941</v>
      </c>
      <c r="B953">
        <v>952</v>
      </c>
      <c r="C953" t="s">
        <v>2641</v>
      </c>
      <c r="D953" t="s">
        <v>1939</v>
      </c>
      <c r="E953" t="s">
        <v>1940</v>
      </c>
      <c r="F953" t="s">
        <v>1635</v>
      </c>
      <c r="H953" t="s">
        <v>1640</v>
      </c>
    </row>
    <row r="954" spans="1:8" x14ac:dyDescent="0.25">
      <c r="A954" t="s">
        <v>2490</v>
      </c>
      <c r="B954">
        <v>953</v>
      </c>
      <c r="C954" t="s">
        <v>1057</v>
      </c>
      <c r="D954" t="s">
        <v>188</v>
      </c>
      <c r="E954" t="s">
        <v>1943</v>
      </c>
      <c r="F954" t="s">
        <v>1635</v>
      </c>
      <c r="H954" t="s">
        <v>1643</v>
      </c>
    </row>
    <row r="955" spans="1:8" x14ac:dyDescent="0.25">
      <c r="A955" t="s">
        <v>1944</v>
      </c>
      <c r="B955">
        <v>954</v>
      </c>
      <c r="C955" t="s">
        <v>2641</v>
      </c>
      <c r="D955" t="s">
        <v>1942</v>
      </c>
      <c r="E955" t="s">
        <v>1943</v>
      </c>
      <c r="F955" t="s">
        <v>1635</v>
      </c>
      <c r="H955" t="s">
        <v>1640</v>
      </c>
    </row>
    <row r="956" spans="1:8" x14ac:dyDescent="0.25">
      <c r="A956" t="s">
        <v>2491</v>
      </c>
      <c r="B956">
        <v>955</v>
      </c>
      <c r="C956" t="s">
        <v>1057</v>
      </c>
      <c r="D956" t="s">
        <v>188</v>
      </c>
      <c r="E956" t="s">
        <v>1946</v>
      </c>
      <c r="F956" t="s">
        <v>1635</v>
      </c>
      <c r="H956" t="s">
        <v>1643</v>
      </c>
    </row>
    <row r="957" spans="1:8" x14ac:dyDescent="0.25">
      <c r="A957" t="s">
        <v>1947</v>
      </c>
      <c r="B957">
        <v>956</v>
      </c>
      <c r="C957" t="s">
        <v>2641</v>
      </c>
      <c r="D957" t="s">
        <v>1945</v>
      </c>
      <c r="E957" t="s">
        <v>1946</v>
      </c>
      <c r="F957" t="s">
        <v>1635</v>
      </c>
      <c r="H957" t="s">
        <v>1640</v>
      </c>
    </row>
    <row r="958" spans="1:8" x14ac:dyDescent="0.25">
      <c r="A958" t="s">
        <v>2492</v>
      </c>
      <c r="B958">
        <v>957</v>
      </c>
      <c r="C958" t="s">
        <v>1057</v>
      </c>
      <c r="D958" t="s">
        <v>188</v>
      </c>
      <c r="E958" t="s">
        <v>1949</v>
      </c>
      <c r="F958" t="s">
        <v>1635</v>
      </c>
      <c r="H958" t="s">
        <v>1643</v>
      </c>
    </row>
    <row r="959" spans="1:8" x14ac:dyDescent="0.25">
      <c r="A959" t="s">
        <v>1950</v>
      </c>
      <c r="B959">
        <v>958</v>
      </c>
      <c r="C959" t="s">
        <v>2641</v>
      </c>
      <c r="D959" t="s">
        <v>1948</v>
      </c>
      <c r="E959" t="s">
        <v>1949</v>
      </c>
      <c r="F959" t="s">
        <v>1635</v>
      </c>
      <c r="H959" t="s">
        <v>1640</v>
      </c>
    </row>
    <row r="960" spans="1:8" x14ac:dyDescent="0.25">
      <c r="A960" t="s">
        <v>2493</v>
      </c>
      <c r="B960">
        <v>959</v>
      </c>
      <c r="C960" t="s">
        <v>1057</v>
      </c>
      <c r="D960" t="s">
        <v>188</v>
      </c>
      <c r="E960" t="s">
        <v>1952</v>
      </c>
      <c r="F960" t="s">
        <v>1635</v>
      </c>
      <c r="H960" t="s">
        <v>1643</v>
      </c>
    </row>
    <row r="961" spans="1:8" x14ac:dyDescent="0.25">
      <c r="A961" t="s">
        <v>1953</v>
      </c>
      <c r="B961">
        <v>960</v>
      </c>
      <c r="C961" t="s">
        <v>2641</v>
      </c>
      <c r="D961" t="s">
        <v>1951</v>
      </c>
      <c r="E961" t="s">
        <v>1952</v>
      </c>
      <c r="F961" t="s">
        <v>1635</v>
      </c>
      <c r="H961" t="s">
        <v>1640</v>
      </c>
    </row>
    <row r="962" spans="1:8" x14ac:dyDescent="0.25">
      <c r="A962" t="s">
        <v>2494</v>
      </c>
      <c r="B962">
        <v>961</v>
      </c>
      <c r="C962" t="s">
        <v>1057</v>
      </c>
      <c r="D962" t="s">
        <v>188</v>
      </c>
      <c r="E962" t="s">
        <v>1955</v>
      </c>
      <c r="F962" t="s">
        <v>1635</v>
      </c>
      <c r="H962" t="s">
        <v>1643</v>
      </c>
    </row>
    <row r="963" spans="1:8" x14ac:dyDescent="0.25">
      <c r="A963" t="s">
        <v>1956</v>
      </c>
      <c r="B963">
        <v>962</v>
      </c>
      <c r="C963" t="s">
        <v>2641</v>
      </c>
      <c r="D963" t="s">
        <v>1954</v>
      </c>
      <c r="E963" t="s">
        <v>1955</v>
      </c>
      <c r="F963" t="s">
        <v>1635</v>
      </c>
      <c r="H963" t="s">
        <v>1640</v>
      </c>
    </row>
    <row r="964" spans="1:8" x14ac:dyDescent="0.25">
      <c r="A964" t="s">
        <v>2495</v>
      </c>
      <c r="B964">
        <v>963</v>
      </c>
      <c r="C964" t="s">
        <v>1057</v>
      </c>
      <c r="D964" t="s">
        <v>188</v>
      </c>
      <c r="E964" t="s">
        <v>1958</v>
      </c>
      <c r="F964" t="s">
        <v>1635</v>
      </c>
      <c r="H964" t="s">
        <v>1643</v>
      </c>
    </row>
    <row r="965" spans="1:8" x14ac:dyDescent="0.25">
      <c r="A965" t="s">
        <v>1959</v>
      </c>
      <c r="B965">
        <v>964</v>
      </c>
      <c r="C965" t="s">
        <v>2641</v>
      </c>
      <c r="D965" t="s">
        <v>1957</v>
      </c>
      <c r="E965" t="s">
        <v>1958</v>
      </c>
      <c r="F965" t="s">
        <v>1635</v>
      </c>
      <c r="H965" t="s">
        <v>1640</v>
      </c>
    </row>
    <row r="966" spans="1:8" x14ac:dyDescent="0.25">
      <c r="A966" t="s">
        <v>2496</v>
      </c>
      <c r="B966">
        <v>965</v>
      </c>
      <c r="C966" t="s">
        <v>1057</v>
      </c>
      <c r="D966" t="s">
        <v>188</v>
      </c>
      <c r="E966" t="s">
        <v>1961</v>
      </c>
      <c r="F966" t="s">
        <v>1635</v>
      </c>
      <c r="H966" t="s">
        <v>1643</v>
      </c>
    </row>
    <row r="967" spans="1:8" x14ac:dyDescent="0.25">
      <c r="A967" t="s">
        <v>1962</v>
      </c>
      <c r="B967">
        <v>966</v>
      </c>
      <c r="C967" t="s">
        <v>2641</v>
      </c>
      <c r="D967" t="s">
        <v>1960</v>
      </c>
      <c r="E967" t="s">
        <v>1961</v>
      </c>
      <c r="F967" t="s">
        <v>1635</v>
      </c>
      <c r="H967" t="s">
        <v>1640</v>
      </c>
    </row>
    <row r="968" spans="1:8" x14ac:dyDescent="0.25">
      <c r="A968" t="s">
        <v>2497</v>
      </c>
      <c r="B968">
        <v>967</v>
      </c>
      <c r="C968" t="s">
        <v>1057</v>
      </c>
      <c r="D968" t="s">
        <v>188</v>
      </c>
      <c r="E968" t="s">
        <v>1964</v>
      </c>
      <c r="F968" t="s">
        <v>1635</v>
      </c>
      <c r="H968" t="s">
        <v>1643</v>
      </c>
    </row>
    <row r="969" spans="1:8" x14ac:dyDescent="0.25">
      <c r="A969" t="s">
        <v>1965</v>
      </c>
      <c r="B969">
        <v>968</v>
      </c>
      <c r="C969" t="s">
        <v>2641</v>
      </c>
      <c r="D969" t="s">
        <v>1963</v>
      </c>
      <c r="E969" t="s">
        <v>1964</v>
      </c>
      <c r="F969" t="s">
        <v>1635</v>
      </c>
      <c r="H969" t="s">
        <v>1640</v>
      </c>
    </row>
    <row r="970" spans="1:8" x14ac:dyDescent="0.25">
      <c r="A970" t="s">
        <v>2498</v>
      </c>
      <c r="B970">
        <v>969</v>
      </c>
      <c r="C970" t="s">
        <v>1057</v>
      </c>
      <c r="D970" t="s">
        <v>188</v>
      </c>
      <c r="E970" t="s">
        <v>1967</v>
      </c>
      <c r="F970" t="s">
        <v>1635</v>
      </c>
      <c r="H970" t="s">
        <v>1643</v>
      </c>
    </row>
    <row r="971" spans="1:8" x14ac:dyDescent="0.25">
      <c r="A971" t="s">
        <v>1968</v>
      </c>
      <c r="B971">
        <v>970</v>
      </c>
      <c r="C971" t="s">
        <v>2641</v>
      </c>
      <c r="D971" t="s">
        <v>1966</v>
      </c>
      <c r="E971" t="s">
        <v>1967</v>
      </c>
      <c r="F971" t="s">
        <v>1635</v>
      </c>
      <c r="H971" t="s">
        <v>1640</v>
      </c>
    </row>
    <row r="972" spans="1:8" x14ac:dyDescent="0.25">
      <c r="A972" t="s">
        <v>2499</v>
      </c>
      <c r="B972">
        <v>971</v>
      </c>
      <c r="C972" t="s">
        <v>1057</v>
      </c>
      <c r="D972" t="s">
        <v>188</v>
      </c>
      <c r="E972" t="s">
        <v>1970</v>
      </c>
      <c r="F972" t="s">
        <v>1635</v>
      </c>
      <c r="H972" t="s">
        <v>1643</v>
      </c>
    </row>
    <row r="973" spans="1:8" x14ac:dyDescent="0.25">
      <c r="A973" t="s">
        <v>1971</v>
      </c>
      <c r="B973">
        <v>972</v>
      </c>
      <c r="C973" t="s">
        <v>2641</v>
      </c>
      <c r="D973" t="s">
        <v>1969</v>
      </c>
      <c r="E973" t="s">
        <v>1970</v>
      </c>
      <c r="F973" t="s">
        <v>1635</v>
      </c>
      <c r="H973" t="s">
        <v>1640</v>
      </c>
    </row>
    <row r="974" spans="1:8" x14ac:dyDescent="0.25">
      <c r="A974" t="s">
        <v>2500</v>
      </c>
      <c r="B974">
        <v>973</v>
      </c>
      <c r="C974" t="s">
        <v>1057</v>
      </c>
      <c r="D974" t="s">
        <v>188</v>
      </c>
      <c r="E974" t="s">
        <v>1973</v>
      </c>
      <c r="F974" t="s">
        <v>1635</v>
      </c>
      <c r="H974" t="s">
        <v>1643</v>
      </c>
    </row>
    <row r="975" spans="1:8" x14ac:dyDescent="0.25">
      <c r="A975" t="s">
        <v>1974</v>
      </c>
      <c r="B975">
        <v>974</v>
      </c>
      <c r="C975" t="s">
        <v>2641</v>
      </c>
      <c r="D975" t="s">
        <v>1972</v>
      </c>
      <c r="E975" t="s">
        <v>1973</v>
      </c>
      <c r="F975" t="s">
        <v>1635</v>
      </c>
      <c r="H975" t="s">
        <v>1640</v>
      </c>
    </row>
    <row r="976" spans="1:8" x14ac:dyDescent="0.25">
      <c r="A976" t="s">
        <v>2501</v>
      </c>
      <c r="B976">
        <v>975</v>
      </c>
      <c r="C976" t="s">
        <v>1057</v>
      </c>
      <c r="D976" t="s">
        <v>188</v>
      </c>
      <c r="E976" t="s">
        <v>1976</v>
      </c>
      <c r="F976" t="s">
        <v>1635</v>
      </c>
      <c r="H976" t="s">
        <v>1643</v>
      </c>
    </row>
    <row r="977" spans="1:8" x14ac:dyDescent="0.25">
      <c r="A977" t="s">
        <v>1977</v>
      </c>
      <c r="B977">
        <v>976</v>
      </c>
      <c r="C977" t="s">
        <v>2641</v>
      </c>
      <c r="D977" t="s">
        <v>1975</v>
      </c>
      <c r="E977" t="s">
        <v>1976</v>
      </c>
      <c r="F977" t="s">
        <v>1635</v>
      </c>
      <c r="H977" t="s">
        <v>1640</v>
      </c>
    </row>
    <row r="978" spans="1:8" x14ac:dyDescent="0.25">
      <c r="A978" t="s">
        <v>2502</v>
      </c>
      <c r="B978">
        <v>977</v>
      </c>
      <c r="C978" t="s">
        <v>1057</v>
      </c>
      <c r="D978" t="s">
        <v>188</v>
      </c>
      <c r="E978" t="s">
        <v>1979</v>
      </c>
      <c r="F978" t="s">
        <v>1635</v>
      </c>
      <c r="H978" t="s">
        <v>1643</v>
      </c>
    </row>
    <row r="979" spans="1:8" x14ac:dyDescent="0.25">
      <c r="A979" t="s">
        <v>1980</v>
      </c>
      <c r="B979">
        <v>978</v>
      </c>
      <c r="C979" t="s">
        <v>2641</v>
      </c>
      <c r="D979" t="s">
        <v>1978</v>
      </c>
      <c r="E979" t="s">
        <v>1979</v>
      </c>
      <c r="F979" t="s">
        <v>1635</v>
      </c>
      <c r="H979" t="s">
        <v>1640</v>
      </c>
    </row>
    <row r="980" spans="1:8" x14ac:dyDescent="0.25">
      <c r="A980" t="s">
        <v>2503</v>
      </c>
      <c r="B980">
        <v>979</v>
      </c>
      <c r="C980" t="s">
        <v>1057</v>
      </c>
      <c r="D980" t="s">
        <v>188</v>
      </c>
      <c r="E980" t="s">
        <v>1982</v>
      </c>
      <c r="F980" t="s">
        <v>1635</v>
      </c>
      <c r="H980" t="s">
        <v>1643</v>
      </c>
    </row>
    <row r="981" spans="1:8" x14ac:dyDescent="0.25">
      <c r="A981" t="s">
        <v>1983</v>
      </c>
      <c r="B981">
        <v>980</v>
      </c>
      <c r="C981" t="s">
        <v>2641</v>
      </c>
      <c r="D981" t="s">
        <v>1981</v>
      </c>
      <c r="E981" t="s">
        <v>1982</v>
      </c>
      <c r="F981" t="s">
        <v>1635</v>
      </c>
      <c r="H981" t="s">
        <v>1640</v>
      </c>
    </row>
    <row r="982" spans="1:8" x14ac:dyDescent="0.25">
      <c r="A982" t="s">
        <v>2504</v>
      </c>
      <c r="B982">
        <v>981</v>
      </c>
      <c r="C982" t="s">
        <v>1057</v>
      </c>
      <c r="D982" t="s">
        <v>188</v>
      </c>
      <c r="E982" t="s">
        <v>1985</v>
      </c>
      <c r="F982" t="s">
        <v>1635</v>
      </c>
      <c r="H982" t="s">
        <v>1643</v>
      </c>
    </row>
    <row r="983" spans="1:8" x14ac:dyDescent="0.25">
      <c r="A983" t="s">
        <v>1986</v>
      </c>
      <c r="B983">
        <v>982</v>
      </c>
      <c r="C983" t="s">
        <v>2641</v>
      </c>
      <c r="D983" t="s">
        <v>1984</v>
      </c>
      <c r="E983" t="s">
        <v>1985</v>
      </c>
      <c r="F983" t="s">
        <v>1635</v>
      </c>
      <c r="H983" t="s">
        <v>1640</v>
      </c>
    </row>
    <row r="984" spans="1:8" x14ac:dyDescent="0.25">
      <c r="A984" t="s">
        <v>2505</v>
      </c>
      <c r="B984">
        <v>983</v>
      </c>
      <c r="C984" t="s">
        <v>1057</v>
      </c>
      <c r="D984" t="s">
        <v>188</v>
      </c>
      <c r="E984" t="s">
        <v>1988</v>
      </c>
      <c r="F984" t="s">
        <v>1635</v>
      </c>
      <c r="H984" t="s">
        <v>1643</v>
      </c>
    </row>
    <row r="985" spans="1:8" x14ac:dyDescent="0.25">
      <c r="A985" t="s">
        <v>1989</v>
      </c>
      <c r="B985">
        <v>984</v>
      </c>
      <c r="C985" t="s">
        <v>2641</v>
      </c>
      <c r="D985" t="s">
        <v>1987</v>
      </c>
      <c r="E985" t="s">
        <v>1988</v>
      </c>
      <c r="F985" t="s">
        <v>1635</v>
      </c>
      <c r="H985" t="s">
        <v>1640</v>
      </c>
    </row>
    <row r="986" spans="1:8" x14ac:dyDescent="0.25">
      <c r="A986" t="s">
        <v>2506</v>
      </c>
      <c r="B986">
        <v>985</v>
      </c>
      <c r="C986" t="s">
        <v>1057</v>
      </c>
      <c r="D986" t="s">
        <v>188</v>
      </c>
      <c r="E986" t="s">
        <v>1991</v>
      </c>
      <c r="F986" t="s">
        <v>1635</v>
      </c>
      <c r="H986" t="s">
        <v>1643</v>
      </c>
    </row>
    <row r="987" spans="1:8" x14ac:dyDescent="0.25">
      <c r="A987" t="s">
        <v>1992</v>
      </c>
      <c r="B987">
        <v>986</v>
      </c>
      <c r="C987" t="s">
        <v>2641</v>
      </c>
      <c r="D987" t="s">
        <v>1990</v>
      </c>
      <c r="E987" t="s">
        <v>1991</v>
      </c>
      <c r="F987" t="s">
        <v>1635</v>
      </c>
      <c r="H987" t="s">
        <v>1640</v>
      </c>
    </row>
    <row r="988" spans="1:8" x14ac:dyDescent="0.25">
      <c r="A988" t="s">
        <v>2507</v>
      </c>
      <c r="B988">
        <v>987</v>
      </c>
      <c r="C988" t="s">
        <v>1057</v>
      </c>
      <c r="D988" t="s">
        <v>188</v>
      </c>
      <c r="E988" t="s">
        <v>1994</v>
      </c>
      <c r="F988" t="s">
        <v>1635</v>
      </c>
      <c r="H988" t="s">
        <v>1643</v>
      </c>
    </row>
    <row r="989" spans="1:8" x14ac:dyDescent="0.25">
      <c r="A989" t="s">
        <v>1995</v>
      </c>
      <c r="B989">
        <v>988</v>
      </c>
      <c r="C989" t="s">
        <v>2641</v>
      </c>
      <c r="D989" t="s">
        <v>1993</v>
      </c>
      <c r="E989" t="s">
        <v>1994</v>
      </c>
      <c r="F989" t="s">
        <v>1635</v>
      </c>
      <c r="H989" t="s">
        <v>1640</v>
      </c>
    </row>
    <row r="990" spans="1:8" x14ac:dyDescent="0.25">
      <c r="A990" t="s">
        <v>2508</v>
      </c>
      <c r="B990">
        <v>989</v>
      </c>
      <c r="C990" t="s">
        <v>1057</v>
      </c>
      <c r="D990" t="s">
        <v>188</v>
      </c>
      <c r="E990" t="s">
        <v>1997</v>
      </c>
      <c r="F990" t="s">
        <v>1635</v>
      </c>
      <c r="H990" t="s">
        <v>1643</v>
      </c>
    </row>
    <row r="991" spans="1:8" x14ac:dyDescent="0.25">
      <c r="A991" t="s">
        <v>1998</v>
      </c>
      <c r="B991">
        <v>990</v>
      </c>
      <c r="C991" t="s">
        <v>2641</v>
      </c>
      <c r="D991" t="s">
        <v>1996</v>
      </c>
      <c r="E991" t="s">
        <v>1997</v>
      </c>
      <c r="F991" t="s">
        <v>1635</v>
      </c>
      <c r="H991" t="s">
        <v>1640</v>
      </c>
    </row>
    <row r="992" spans="1:8" x14ac:dyDescent="0.25">
      <c r="A992" t="s">
        <v>2509</v>
      </c>
      <c r="B992">
        <v>991</v>
      </c>
      <c r="C992" t="s">
        <v>1057</v>
      </c>
      <c r="D992" t="s">
        <v>188</v>
      </c>
      <c r="E992" t="s">
        <v>2000</v>
      </c>
      <c r="F992" t="s">
        <v>1635</v>
      </c>
      <c r="H992" t="s">
        <v>1643</v>
      </c>
    </row>
    <row r="993" spans="1:8" x14ac:dyDescent="0.25">
      <c r="A993" t="s">
        <v>2001</v>
      </c>
      <c r="B993">
        <v>992</v>
      </c>
      <c r="C993" t="s">
        <v>2641</v>
      </c>
      <c r="D993" t="s">
        <v>1999</v>
      </c>
      <c r="E993" t="s">
        <v>2000</v>
      </c>
      <c r="F993" t="s">
        <v>1635</v>
      </c>
      <c r="H993" t="s">
        <v>1640</v>
      </c>
    </row>
    <row r="994" spans="1:8" x14ac:dyDescent="0.25">
      <c r="A994" t="s">
        <v>2510</v>
      </c>
      <c r="B994">
        <v>993</v>
      </c>
      <c r="C994" t="s">
        <v>1057</v>
      </c>
      <c r="D994" t="s">
        <v>188</v>
      </c>
      <c r="E994" t="s">
        <v>2003</v>
      </c>
      <c r="F994" t="s">
        <v>1635</v>
      </c>
      <c r="H994" t="s">
        <v>1643</v>
      </c>
    </row>
    <row r="995" spans="1:8" x14ac:dyDescent="0.25">
      <c r="A995" t="s">
        <v>2004</v>
      </c>
      <c r="B995">
        <v>994</v>
      </c>
      <c r="C995" t="s">
        <v>2641</v>
      </c>
      <c r="D995" t="s">
        <v>2002</v>
      </c>
      <c r="E995" t="s">
        <v>2003</v>
      </c>
      <c r="F995" t="s">
        <v>1635</v>
      </c>
      <c r="H995" t="s">
        <v>1640</v>
      </c>
    </row>
    <row r="996" spans="1:8" x14ac:dyDescent="0.25">
      <c r="A996" t="s">
        <v>2511</v>
      </c>
      <c r="B996">
        <v>995</v>
      </c>
      <c r="C996" t="s">
        <v>1057</v>
      </c>
      <c r="D996" t="s">
        <v>188</v>
      </c>
      <c r="E996" t="s">
        <v>2006</v>
      </c>
      <c r="F996" t="s">
        <v>1635</v>
      </c>
      <c r="H996" t="s">
        <v>1643</v>
      </c>
    </row>
    <row r="997" spans="1:8" x14ac:dyDescent="0.25">
      <c r="A997" t="s">
        <v>2007</v>
      </c>
      <c r="B997">
        <v>996</v>
      </c>
      <c r="C997" t="s">
        <v>2641</v>
      </c>
      <c r="D997" t="s">
        <v>2005</v>
      </c>
      <c r="E997" t="s">
        <v>2006</v>
      </c>
      <c r="F997" t="s">
        <v>1635</v>
      </c>
      <c r="H997" t="s">
        <v>1640</v>
      </c>
    </row>
    <row r="998" spans="1:8" x14ac:dyDescent="0.25">
      <c r="A998" t="s">
        <v>2512</v>
      </c>
      <c r="B998">
        <v>997</v>
      </c>
      <c r="C998" t="s">
        <v>1057</v>
      </c>
      <c r="D998" t="s">
        <v>188</v>
      </c>
      <c r="E998" t="s">
        <v>2009</v>
      </c>
      <c r="F998" t="s">
        <v>1635</v>
      </c>
      <c r="H998" t="s">
        <v>1643</v>
      </c>
    </row>
    <row r="999" spans="1:8" x14ac:dyDescent="0.25">
      <c r="A999" t="s">
        <v>2010</v>
      </c>
      <c r="B999">
        <v>998</v>
      </c>
      <c r="C999" t="s">
        <v>2641</v>
      </c>
      <c r="D999" t="s">
        <v>2008</v>
      </c>
      <c r="E999" t="s">
        <v>2009</v>
      </c>
      <c r="F999" t="s">
        <v>1635</v>
      </c>
      <c r="H999" t="s">
        <v>1640</v>
      </c>
    </row>
    <row r="1000" spans="1:8" x14ac:dyDescent="0.25">
      <c r="A1000" t="s">
        <v>2513</v>
      </c>
      <c r="B1000">
        <v>999</v>
      </c>
      <c r="C1000" t="s">
        <v>1057</v>
      </c>
      <c r="D1000" t="s">
        <v>188</v>
      </c>
      <c r="E1000" t="s">
        <v>2012</v>
      </c>
      <c r="F1000" t="s">
        <v>1635</v>
      </c>
      <c r="H1000" t="s">
        <v>1643</v>
      </c>
    </row>
    <row r="1001" spans="1:8" x14ac:dyDescent="0.25">
      <c r="A1001" t="s">
        <v>2013</v>
      </c>
      <c r="B1001">
        <v>1000</v>
      </c>
      <c r="C1001" t="s">
        <v>2641</v>
      </c>
      <c r="D1001" t="s">
        <v>2011</v>
      </c>
      <c r="E1001" t="s">
        <v>2012</v>
      </c>
      <c r="F1001" t="s">
        <v>1635</v>
      </c>
      <c r="H1001" t="s">
        <v>1640</v>
      </c>
    </row>
    <row r="1002" spans="1:8" x14ac:dyDescent="0.25">
      <c r="A1002" t="s">
        <v>2514</v>
      </c>
      <c r="B1002">
        <v>1001</v>
      </c>
      <c r="C1002" t="s">
        <v>1057</v>
      </c>
      <c r="D1002" t="s">
        <v>188</v>
      </c>
      <c r="E1002" t="s">
        <v>2015</v>
      </c>
      <c r="F1002" t="s">
        <v>1635</v>
      </c>
      <c r="H1002" t="s">
        <v>1643</v>
      </c>
    </row>
    <row r="1003" spans="1:8" x14ac:dyDescent="0.25">
      <c r="A1003" t="s">
        <v>2016</v>
      </c>
      <c r="B1003">
        <v>1002</v>
      </c>
      <c r="C1003" t="s">
        <v>2641</v>
      </c>
      <c r="D1003" t="s">
        <v>2014</v>
      </c>
      <c r="E1003" t="s">
        <v>2015</v>
      </c>
      <c r="F1003" t="s">
        <v>1635</v>
      </c>
      <c r="H1003" t="s">
        <v>1640</v>
      </c>
    </row>
    <row r="1004" spans="1:8" x14ac:dyDescent="0.25">
      <c r="A1004" t="s">
        <v>2515</v>
      </c>
      <c r="B1004">
        <v>1003</v>
      </c>
      <c r="C1004" t="s">
        <v>1057</v>
      </c>
      <c r="D1004" t="s">
        <v>188</v>
      </c>
      <c r="E1004" t="s">
        <v>2018</v>
      </c>
      <c r="F1004" t="s">
        <v>1635</v>
      </c>
      <c r="H1004" t="s">
        <v>1643</v>
      </c>
    </row>
    <row r="1005" spans="1:8" x14ac:dyDescent="0.25">
      <c r="A1005" t="s">
        <v>2019</v>
      </c>
      <c r="B1005">
        <v>1004</v>
      </c>
      <c r="C1005" t="s">
        <v>2641</v>
      </c>
      <c r="D1005" t="s">
        <v>2017</v>
      </c>
      <c r="E1005" t="s">
        <v>2018</v>
      </c>
      <c r="F1005" t="s">
        <v>1635</v>
      </c>
      <c r="H1005" t="s">
        <v>1640</v>
      </c>
    </row>
    <row r="1006" spans="1:8" x14ac:dyDescent="0.25">
      <c r="A1006" t="s">
        <v>2516</v>
      </c>
      <c r="B1006">
        <v>1005</v>
      </c>
      <c r="C1006" t="s">
        <v>1057</v>
      </c>
      <c r="D1006" t="s">
        <v>188</v>
      </c>
      <c r="E1006" t="s">
        <v>2021</v>
      </c>
      <c r="F1006" t="s">
        <v>1635</v>
      </c>
      <c r="H1006" t="s">
        <v>1643</v>
      </c>
    </row>
    <row r="1007" spans="1:8" x14ac:dyDescent="0.25">
      <c r="A1007" t="s">
        <v>2022</v>
      </c>
      <c r="B1007">
        <v>1006</v>
      </c>
      <c r="C1007" t="s">
        <v>2641</v>
      </c>
      <c r="D1007" t="s">
        <v>2020</v>
      </c>
      <c r="E1007" t="s">
        <v>2021</v>
      </c>
      <c r="F1007" t="s">
        <v>1635</v>
      </c>
      <c r="H1007" t="s">
        <v>1640</v>
      </c>
    </row>
    <row r="1008" spans="1:8" x14ac:dyDescent="0.25">
      <c r="A1008" t="s">
        <v>2517</v>
      </c>
      <c r="B1008">
        <v>1007</v>
      </c>
      <c r="C1008" t="s">
        <v>1057</v>
      </c>
      <c r="D1008" t="s">
        <v>189</v>
      </c>
      <c r="E1008" t="s">
        <v>1648</v>
      </c>
      <c r="F1008" t="s">
        <v>1635</v>
      </c>
      <c r="H1008" t="s">
        <v>1643</v>
      </c>
    </row>
    <row r="1009" spans="1:8" x14ac:dyDescent="0.25">
      <c r="A1009" t="s">
        <v>1649</v>
      </c>
      <c r="B1009">
        <v>1008</v>
      </c>
      <c r="C1009" t="s">
        <v>2641</v>
      </c>
      <c r="D1009" t="s">
        <v>1647</v>
      </c>
      <c r="E1009" t="s">
        <v>1648</v>
      </c>
      <c r="F1009" t="s">
        <v>1635</v>
      </c>
      <c r="H1009" t="s">
        <v>1640</v>
      </c>
    </row>
    <row r="1010" spans="1:8" x14ac:dyDescent="0.25">
      <c r="A1010" t="s">
        <v>2518</v>
      </c>
      <c r="B1010">
        <v>1009</v>
      </c>
      <c r="C1010" t="s">
        <v>1057</v>
      </c>
      <c r="D1010" t="s">
        <v>189</v>
      </c>
      <c r="E1010" t="s">
        <v>2024</v>
      </c>
      <c r="F1010" t="s">
        <v>1635</v>
      </c>
      <c r="H1010" t="s">
        <v>1643</v>
      </c>
    </row>
    <row r="1011" spans="1:8" x14ac:dyDescent="0.25">
      <c r="A1011" t="s">
        <v>2025</v>
      </c>
      <c r="B1011">
        <v>1010</v>
      </c>
      <c r="C1011" t="s">
        <v>2641</v>
      </c>
      <c r="D1011" t="s">
        <v>2023</v>
      </c>
      <c r="E1011" t="s">
        <v>2024</v>
      </c>
      <c r="F1011" t="s">
        <v>1635</v>
      </c>
      <c r="H1011" t="s">
        <v>1640</v>
      </c>
    </row>
    <row r="1012" spans="1:8" x14ac:dyDescent="0.25">
      <c r="A1012" t="s">
        <v>2519</v>
      </c>
      <c r="B1012">
        <v>1011</v>
      </c>
      <c r="C1012" t="s">
        <v>1057</v>
      </c>
      <c r="D1012" t="s">
        <v>189</v>
      </c>
      <c r="E1012" t="s">
        <v>2027</v>
      </c>
      <c r="F1012" t="s">
        <v>1635</v>
      </c>
      <c r="H1012" t="s">
        <v>1643</v>
      </c>
    </row>
    <row r="1013" spans="1:8" x14ac:dyDescent="0.25">
      <c r="A1013" t="s">
        <v>2028</v>
      </c>
      <c r="B1013">
        <v>1012</v>
      </c>
      <c r="C1013" t="s">
        <v>2641</v>
      </c>
      <c r="D1013" t="s">
        <v>2026</v>
      </c>
      <c r="E1013" t="s">
        <v>2027</v>
      </c>
      <c r="F1013" t="s">
        <v>1635</v>
      </c>
      <c r="H1013" t="s">
        <v>1640</v>
      </c>
    </row>
    <row r="1014" spans="1:8" x14ac:dyDescent="0.25">
      <c r="A1014" t="s">
        <v>2520</v>
      </c>
      <c r="B1014">
        <v>1013</v>
      </c>
      <c r="C1014" t="s">
        <v>1057</v>
      </c>
      <c r="D1014" t="s">
        <v>189</v>
      </c>
      <c r="E1014" t="s">
        <v>2030</v>
      </c>
      <c r="F1014" t="s">
        <v>1635</v>
      </c>
      <c r="H1014" t="s">
        <v>1643</v>
      </c>
    </row>
    <row r="1015" spans="1:8" x14ac:dyDescent="0.25">
      <c r="A1015" t="s">
        <v>2031</v>
      </c>
      <c r="B1015">
        <v>1014</v>
      </c>
      <c r="C1015" t="s">
        <v>2641</v>
      </c>
      <c r="D1015" t="s">
        <v>2029</v>
      </c>
      <c r="E1015" t="s">
        <v>2030</v>
      </c>
      <c r="F1015" t="s">
        <v>1635</v>
      </c>
      <c r="H1015" t="s">
        <v>1640</v>
      </c>
    </row>
    <row r="1016" spans="1:8" x14ac:dyDescent="0.25">
      <c r="A1016" t="s">
        <v>2521</v>
      </c>
      <c r="B1016">
        <v>1015</v>
      </c>
      <c r="C1016" t="s">
        <v>1057</v>
      </c>
      <c r="D1016" t="s">
        <v>189</v>
      </c>
      <c r="E1016" t="s">
        <v>2033</v>
      </c>
      <c r="F1016" t="s">
        <v>1635</v>
      </c>
      <c r="H1016" t="s">
        <v>1643</v>
      </c>
    </row>
    <row r="1017" spans="1:8" x14ac:dyDescent="0.25">
      <c r="A1017" t="s">
        <v>2034</v>
      </c>
      <c r="B1017">
        <v>1016</v>
      </c>
      <c r="C1017" t="s">
        <v>2641</v>
      </c>
      <c r="D1017" t="s">
        <v>2032</v>
      </c>
      <c r="E1017" t="s">
        <v>2033</v>
      </c>
      <c r="F1017" t="s">
        <v>1635</v>
      </c>
      <c r="H1017" t="s">
        <v>1640</v>
      </c>
    </row>
    <row r="1018" spans="1:8" x14ac:dyDescent="0.25">
      <c r="A1018" t="s">
        <v>2522</v>
      </c>
      <c r="B1018">
        <v>1017</v>
      </c>
      <c r="C1018" t="s">
        <v>1057</v>
      </c>
      <c r="D1018" t="s">
        <v>189</v>
      </c>
      <c r="E1018" t="s">
        <v>2036</v>
      </c>
      <c r="F1018" t="s">
        <v>1635</v>
      </c>
      <c r="H1018" t="s">
        <v>1643</v>
      </c>
    </row>
    <row r="1019" spans="1:8" x14ac:dyDescent="0.25">
      <c r="A1019" t="s">
        <v>2037</v>
      </c>
      <c r="B1019">
        <v>1018</v>
      </c>
      <c r="C1019" t="s">
        <v>2641</v>
      </c>
      <c r="D1019" t="s">
        <v>2035</v>
      </c>
      <c r="E1019" t="s">
        <v>2036</v>
      </c>
      <c r="F1019" t="s">
        <v>1635</v>
      </c>
      <c r="H1019" t="s">
        <v>1640</v>
      </c>
    </row>
    <row r="1020" spans="1:8" x14ac:dyDescent="0.25">
      <c r="A1020" t="s">
        <v>2523</v>
      </c>
      <c r="B1020">
        <v>1019</v>
      </c>
      <c r="C1020" t="s">
        <v>1057</v>
      </c>
      <c r="D1020" t="s">
        <v>189</v>
      </c>
      <c r="E1020" t="s">
        <v>2039</v>
      </c>
      <c r="F1020" t="s">
        <v>1635</v>
      </c>
      <c r="H1020" t="s">
        <v>1643</v>
      </c>
    </row>
    <row r="1021" spans="1:8" x14ac:dyDescent="0.25">
      <c r="A1021" t="s">
        <v>2040</v>
      </c>
      <c r="B1021">
        <v>1020</v>
      </c>
      <c r="C1021" t="s">
        <v>2641</v>
      </c>
      <c r="D1021" t="s">
        <v>2038</v>
      </c>
      <c r="E1021" t="s">
        <v>2039</v>
      </c>
      <c r="F1021" t="s">
        <v>1635</v>
      </c>
      <c r="H1021" t="s">
        <v>1640</v>
      </c>
    </row>
    <row r="1022" spans="1:8" x14ac:dyDescent="0.25">
      <c r="A1022" t="s">
        <v>2524</v>
      </c>
      <c r="B1022">
        <v>1021</v>
      </c>
      <c r="C1022" t="s">
        <v>1057</v>
      </c>
      <c r="D1022" t="s">
        <v>189</v>
      </c>
      <c r="E1022" t="s">
        <v>2042</v>
      </c>
      <c r="F1022" t="s">
        <v>1635</v>
      </c>
      <c r="H1022" t="s">
        <v>1643</v>
      </c>
    </row>
    <row r="1023" spans="1:8" x14ac:dyDescent="0.25">
      <c r="A1023" t="s">
        <v>2043</v>
      </c>
      <c r="B1023">
        <v>1022</v>
      </c>
      <c r="C1023" t="s">
        <v>2641</v>
      </c>
      <c r="D1023" t="s">
        <v>2041</v>
      </c>
      <c r="E1023" t="s">
        <v>2042</v>
      </c>
      <c r="F1023" t="s">
        <v>1635</v>
      </c>
      <c r="H1023" t="s">
        <v>1640</v>
      </c>
    </row>
    <row r="1024" spans="1:8" x14ac:dyDescent="0.25">
      <c r="A1024" t="s">
        <v>2525</v>
      </c>
      <c r="B1024">
        <v>1023</v>
      </c>
      <c r="C1024" t="s">
        <v>1057</v>
      </c>
      <c r="D1024" t="s">
        <v>189</v>
      </c>
      <c r="E1024" t="s">
        <v>2045</v>
      </c>
      <c r="F1024" t="s">
        <v>1635</v>
      </c>
      <c r="H1024" t="s">
        <v>1643</v>
      </c>
    </row>
    <row r="1025" spans="1:8" x14ac:dyDescent="0.25">
      <c r="A1025" t="s">
        <v>2046</v>
      </c>
      <c r="B1025">
        <v>1024</v>
      </c>
      <c r="C1025" t="s">
        <v>2641</v>
      </c>
      <c r="D1025" t="s">
        <v>2044</v>
      </c>
      <c r="E1025" t="s">
        <v>2045</v>
      </c>
      <c r="F1025" t="s">
        <v>1635</v>
      </c>
      <c r="H1025" t="s">
        <v>1640</v>
      </c>
    </row>
    <row r="1026" spans="1:8" x14ac:dyDescent="0.25">
      <c r="A1026" t="s">
        <v>2526</v>
      </c>
      <c r="B1026">
        <v>1025</v>
      </c>
      <c r="C1026" t="s">
        <v>1057</v>
      </c>
      <c r="D1026" t="s">
        <v>189</v>
      </c>
      <c r="E1026" t="s">
        <v>2048</v>
      </c>
      <c r="F1026" t="s">
        <v>1635</v>
      </c>
      <c r="H1026" t="s">
        <v>1643</v>
      </c>
    </row>
    <row r="1027" spans="1:8" x14ac:dyDescent="0.25">
      <c r="A1027" t="s">
        <v>2049</v>
      </c>
      <c r="B1027">
        <v>1026</v>
      </c>
      <c r="C1027" t="s">
        <v>2641</v>
      </c>
      <c r="D1027" t="s">
        <v>2047</v>
      </c>
      <c r="E1027" t="s">
        <v>2048</v>
      </c>
      <c r="F1027" t="s">
        <v>1635</v>
      </c>
      <c r="H1027" t="s">
        <v>1640</v>
      </c>
    </row>
    <row r="1028" spans="1:8" x14ac:dyDescent="0.25">
      <c r="A1028" t="s">
        <v>2527</v>
      </c>
      <c r="B1028">
        <v>1027</v>
      </c>
      <c r="C1028" t="s">
        <v>1057</v>
      </c>
      <c r="D1028" t="s">
        <v>189</v>
      </c>
      <c r="E1028" t="s">
        <v>2051</v>
      </c>
      <c r="F1028" t="s">
        <v>1635</v>
      </c>
      <c r="H1028" t="s">
        <v>1643</v>
      </c>
    </row>
    <row r="1029" spans="1:8" x14ac:dyDescent="0.25">
      <c r="A1029" t="s">
        <v>2052</v>
      </c>
      <c r="B1029">
        <v>1028</v>
      </c>
      <c r="C1029" t="s">
        <v>2641</v>
      </c>
      <c r="D1029" t="s">
        <v>2050</v>
      </c>
      <c r="E1029" t="s">
        <v>2051</v>
      </c>
      <c r="F1029" t="s">
        <v>1635</v>
      </c>
      <c r="H1029" t="s">
        <v>1640</v>
      </c>
    </row>
    <row r="1030" spans="1:8" x14ac:dyDescent="0.25">
      <c r="A1030" t="s">
        <v>2528</v>
      </c>
      <c r="B1030">
        <v>1029</v>
      </c>
      <c r="C1030" t="s">
        <v>1057</v>
      </c>
      <c r="D1030" t="s">
        <v>189</v>
      </c>
      <c r="E1030" t="s">
        <v>2054</v>
      </c>
      <c r="F1030" t="s">
        <v>1635</v>
      </c>
      <c r="H1030" t="s">
        <v>1643</v>
      </c>
    </row>
    <row r="1031" spans="1:8" x14ac:dyDescent="0.25">
      <c r="A1031" t="s">
        <v>2055</v>
      </c>
      <c r="B1031">
        <v>1030</v>
      </c>
      <c r="C1031" t="s">
        <v>2641</v>
      </c>
      <c r="D1031" t="s">
        <v>2053</v>
      </c>
      <c r="E1031" t="s">
        <v>2054</v>
      </c>
      <c r="F1031" t="s">
        <v>1635</v>
      </c>
      <c r="H1031" t="s">
        <v>1640</v>
      </c>
    </row>
    <row r="1032" spans="1:8" x14ac:dyDescent="0.25">
      <c r="A1032" t="s">
        <v>2529</v>
      </c>
      <c r="B1032">
        <v>1031</v>
      </c>
      <c r="C1032" t="s">
        <v>1057</v>
      </c>
      <c r="D1032" t="s">
        <v>189</v>
      </c>
      <c r="E1032" t="s">
        <v>2057</v>
      </c>
      <c r="F1032" t="s">
        <v>1635</v>
      </c>
      <c r="H1032" t="s">
        <v>1643</v>
      </c>
    </row>
    <row r="1033" spans="1:8" x14ac:dyDescent="0.25">
      <c r="A1033" t="s">
        <v>2058</v>
      </c>
      <c r="B1033">
        <v>1032</v>
      </c>
      <c r="C1033" t="s">
        <v>2641</v>
      </c>
      <c r="D1033" t="s">
        <v>2056</v>
      </c>
      <c r="E1033" t="s">
        <v>2057</v>
      </c>
      <c r="F1033" t="s">
        <v>1635</v>
      </c>
      <c r="H1033" t="s">
        <v>1640</v>
      </c>
    </row>
    <row r="1034" spans="1:8" x14ac:dyDescent="0.25">
      <c r="A1034" t="s">
        <v>2530</v>
      </c>
      <c r="B1034">
        <v>1033</v>
      </c>
      <c r="C1034" t="s">
        <v>1057</v>
      </c>
      <c r="D1034" t="s">
        <v>189</v>
      </c>
      <c r="E1034" t="s">
        <v>2060</v>
      </c>
      <c r="F1034" t="s">
        <v>1635</v>
      </c>
      <c r="H1034" t="s">
        <v>1643</v>
      </c>
    </row>
    <row r="1035" spans="1:8" x14ac:dyDescent="0.25">
      <c r="A1035" t="s">
        <v>2061</v>
      </c>
      <c r="B1035">
        <v>1034</v>
      </c>
      <c r="C1035" t="s">
        <v>2641</v>
      </c>
      <c r="D1035" t="s">
        <v>2059</v>
      </c>
      <c r="E1035" t="s">
        <v>2060</v>
      </c>
      <c r="F1035" t="s">
        <v>1635</v>
      </c>
      <c r="H1035" t="s">
        <v>1640</v>
      </c>
    </row>
    <row r="1036" spans="1:8" x14ac:dyDescent="0.25">
      <c r="A1036" t="s">
        <v>2531</v>
      </c>
      <c r="B1036">
        <v>1035</v>
      </c>
      <c r="C1036" t="s">
        <v>1057</v>
      </c>
      <c r="D1036" t="s">
        <v>189</v>
      </c>
      <c r="E1036" t="s">
        <v>2063</v>
      </c>
      <c r="F1036" t="s">
        <v>1635</v>
      </c>
      <c r="H1036" t="s">
        <v>1643</v>
      </c>
    </row>
    <row r="1037" spans="1:8" x14ac:dyDescent="0.25">
      <c r="A1037" t="s">
        <v>2064</v>
      </c>
      <c r="B1037">
        <v>1036</v>
      </c>
      <c r="C1037" t="s">
        <v>2641</v>
      </c>
      <c r="D1037" t="s">
        <v>2062</v>
      </c>
      <c r="E1037" t="s">
        <v>2063</v>
      </c>
      <c r="F1037" t="s">
        <v>1635</v>
      </c>
      <c r="H1037" t="s">
        <v>1640</v>
      </c>
    </row>
    <row r="1038" spans="1:8" x14ac:dyDescent="0.25">
      <c r="A1038" t="s">
        <v>2532</v>
      </c>
      <c r="B1038">
        <v>1037</v>
      </c>
      <c r="C1038" t="s">
        <v>1057</v>
      </c>
      <c r="D1038" t="s">
        <v>189</v>
      </c>
      <c r="E1038" t="s">
        <v>2066</v>
      </c>
      <c r="F1038" t="s">
        <v>1635</v>
      </c>
      <c r="H1038" t="s">
        <v>1643</v>
      </c>
    </row>
    <row r="1039" spans="1:8" x14ac:dyDescent="0.25">
      <c r="A1039" t="s">
        <v>2067</v>
      </c>
      <c r="B1039">
        <v>1038</v>
      </c>
      <c r="C1039" t="s">
        <v>2641</v>
      </c>
      <c r="D1039" t="s">
        <v>2065</v>
      </c>
      <c r="E1039" t="s">
        <v>2066</v>
      </c>
      <c r="F1039" t="s">
        <v>1635</v>
      </c>
      <c r="H1039" t="s">
        <v>1640</v>
      </c>
    </row>
    <row r="1040" spans="1:8" x14ac:dyDescent="0.25">
      <c r="A1040" t="s">
        <v>2533</v>
      </c>
      <c r="B1040">
        <v>1039</v>
      </c>
      <c r="C1040" t="s">
        <v>1057</v>
      </c>
      <c r="D1040" t="s">
        <v>189</v>
      </c>
      <c r="E1040" t="s">
        <v>2069</v>
      </c>
      <c r="F1040" t="s">
        <v>1635</v>
      </c>
      <c r="H1040" t="s">
        <v>1643</v>
      </c>
    </row>
    <row r="1041" spans="1:8" x14ac:dyDescent="0.25">
      <c r="A1041" t="s">
        <v>2070</v>
      </c>
      <c r="B1041">
        <v>1040</v>
      </c>
      <c r="C1041" t="s">
        <v>2641</v>
      </c>
      <c r="D1041" t="s">
        <v>2068</v>
      </c>
      <c r="E1041" t="s">
        <v>2069</v>
      </c>
      <c r="F1041" t="s">
        <v>1635</v>
      </c>
      <c r="H1041" t="s">
        <v>1640</v>
      </c>
    </row>
    <row r="1042" spans="1:8" x14ac:dyDescent="0.25">
      <c r="A1042" t="s">
        <v>2534</v>
      </c>
      <c r="B1042">
        <v>1041</v>
      </c>
      <c r="C1042" t="s">
        <v>1057</v>
      </c>
      <c r="D1042" t="s">
        <v>189</v>
      </c>
      <c r="E1042" t="s">
        <v>2072</v>
      </c>
      <c r="F1042" t="s">
        <v>1635</v>
      </c>
      <c r="H1042" t="s">
        <v>1643</v>
      </c>
    </row>
    <row r="1043" spans="1:8" x14ac:dyDescent="0.25">
      <c r="A1043" t="s">
        <v>2073</v>
      </c>
      <c r="B1043">
        <v>1042</v>
      </c>
      <c r="C1043" t="s">
        <v>2641</v>
      </c>
      <c r="D1043" t="s">
        <v>2071</v>
      </c>
      <c r="E1043" t="s">
        <v>2072</v>
      </c>
      <c r="F1043" t="s">
        <v>1635</v>
      </c>
      <c r="H1043" t="s">
        <v>1640</v>
      </c>
    </row>
    <row r="1044" spans="1:8" x14ac:dyDescent="0.25">
      <c r="A1044" t="s">
        <v>2535</v>
      </c>
      <c r="B1044">
        <v>1043</v>
      </c>
      <c r="C1044" t="s">
        <v>1057</v>
      </c>
      <c r="D1044" t="s">
        <v>189</v>
      </c>
      <c r="E1044" t="s">
        <v>2075</v>
      </c>
      <c r="F1044" t="s">
        <v>1635</v>
      </c>
      <c r="H1044" t="s">
        <v>1643</v>
      </c>
    </row>
    <row r="1045" spans="1:8" x14ac:dyDescent="0.25">
      <c r="A1045" t="s">
        <v>2076</v>
      </c>
      <c r="B1045">
        <v>1044</v>
      </c>
      <c r="C1045" t="s">
        <v>2641</v>
      </c>
      <c r="D1045" t="s">
        <v>2074</v>
      </c>
      <c r="E1045" t="s">
        <v>2075</v>
      </c>
      <c r="F1045" t="s">
        <v>1635</v>
      </c>
      <c r="H1045" t="s">
        <v>1640</v>
      </c>
    </row>
    <row r="1046" spans="1:8" x14ac:dyDescent="0.25">
      <c r="A1046" t="s">
        <v>2536</v>
      </c>
      <c r="B1046">
        <v>1045</v>
      </c>
      <c r="C1046" t="s">
        <v>1057</v>
      </c>
      <c r="D1046" t="s">
        <v>189</v>
      </c>
      <c r="E1046" t="s">
        <v>2078</v>
      </c>
      <c r="F1046" t="s">
        <v>1635</v>
      </c>
      <c r="H1046" t="s">
        <v>1643</v>
      </c>
    </row>
    <row r="1047" spans="1:8" x14ac:dyDescent="0.25">
      <c r="A1047" t="s">
        <v>2079</v>
      </c>
      <c r="B1047">
        <v>1046</v>
      </c>
      <c r="C1047" t="s">
        <v>2641</v>
      </c>
      <c r="D1047" t="s">
        <v>2077</v>
      </c>
      <c r="E1047" t="s">
        <v>2078</v>
      </c>
      <c r="F1047" t="s">
        <v>1635</v>
      </c>
      <c r="H1047" t="s">
        <v>1640</v>
      </c>
    </row>
    <row r="1048" spans="1:8" x14ac:dyDescent="0.25">
      <c r="A1048" t="s">
        <v>2537</v>
      </c>
      <c r="B1048">
        <v>1047</v>
      </c>
      <c r="C1048" t="s">
        <v>1057</v>
      </c>
      <c r="D1048" t="s">
        <v>189</v>
      </c>
      <c r="E1048" t="s">
        <v>2081</v>
      </c>
      <c r="F1048" t="s">
        <v>1635</v>
      </c>
      <c r="H1048" t="s">
        <v>1643</v>
      </c>
    </row>
    <row r="1049" spans="1:8" x14ac:dyDescent="0.25">
      <c r="A1049" t="s">
        <v>2082</v>
      </c>
      <c r="B1049">
        <v>1048</v>
      </c>
      <c r="C1049" t="s">
        <v>2641</v>
      </c>
      <c r="D1049" t="s">
        <v>2080</v>
      </c>
      <c r="E1049" t="s">
        <v>2081</v>
      </c>
      <c r="F1049" t="s">
        <v>1635</v>
      </c>
      <c r="H1049" t="s">
        <v>1640</v>
      </c>
    </row>
    <row r="1050" spans="1:8" x14ac:dyDescent="0.25">
      <c r="A1050" t="s">
        <v>2538</v>
      </c>
      <c r="B1050">
        <v>1049</v>
      </c>
      <c r="C1050" t="s">
        <v>1057</v>
      </c>
      <c r="D1050" t="s">
        <v>189</v>
      </c>
      <c r="E1050" t="s">
        <v>2084</v>
      </c>
      <c r="F1050" t="s">
        <v>1635</v>
      </c>
      <c r="H1050" t="s">
        <v>1643</v>
      </c>
    </row>
    <row r="1051" spans="1:8" x14ac:dyDescent="0.25">
      <c r="A1051" t="s">
        <v>2085</v>
      </c>
      <c r="B1051">
        <v>1050</v>
      </c>
      <c r="C1051" t="s">
        <v>2641</v>
      </c>
      <c r="D1051" t="s">
        <v>2083</v>
      </c>
      <c r="E1051" t="s">
        <v>2084</v>
      </c>
      <c r="F1051" t="s">
        <v>1635</v>
      </c>
      <c r="H1051" t="s">
        <v>1640</v>
      </c>
    </row>
    <row r="1052" spans="1:8" x14ac:dyDescent="0.25">
      <c r="A1052" t="s">
        <v>2539</v>
      </c>
      <c r="B1052">
        <v>1051</v>
      </c>
      <c r="C1052" t="s">
        <v>1057</v>
      </c>
      <c r="D1052" t="s">
        <v>189</v>
      </c>
      <c r="E1052" t="s">
        <v>2087</v>
      </c>
      <c r="F1052" t="s">
        <v>1635</v>
      </c>
      <c r="H1052" t="s">
        <v>1643</v>
      </c>
    </row>
    <row r="1053" spans="1:8" x14ac:dyDescent="0.25">
      <c r="A1053" t="s">
        <v>2088</v>
      </c>
      <c r="B1053">
        <v>1052</v>
      </c>
      <c r="C1053" t="s">
        <v>2641</v>
      </c>
      <c r="D1053" t="s">
        <v>2086</v>
      </c>
      <c r="E1053" t="s">
        <v>2087</v>
      </c>
      <c r="F1053" t="s">
        <v>1635</v>
      </c>
      <c r="H1053" t="s">
        <v>1640</v>
      </c>
    </row>
    <row r="1054" spans="1:8" x14ac:dyDescent="0.25">
      <c r="A1054" t="s">
        <v>2540</v>
      </c>
      <c r="B1054">
        <v>1053</v>
      </c>
      <c r="C1054" t="s">
        <v>1057</v>
      </c>
      <c r="D1054" t="s">
        <v>189</v>
      </c>
      <c r="E1054" t="s">
        <v>2090</v>
      </c>
      <c r="F1054" t="s">
        <v>1635</v>
      </c>
      <c r="H1054" t="s">
        <v>1643</v>
      </c>
    </row>
    <row r="1055" spans="1:8" x14ac:dyDescent="0.25">
      <c r="A1055" t="s">
        <v>2091</v>
      </c>
      <c r="B1055">
        <v>1054</v>
      </c>
      <c r="C1055" t="s">
        <v>2641</v>
      </c>
      <c r="D1055" t="s">
        <v>2089</v>
      </c>
      <c r="E1055" t="s">
        <v>2090</v>
      </c>
      <c r="F1055" t="s">
        <v>1635</v>
      </c>
      <c r="H1055" t="s">
        <v>1640</v>
      </c>
    </row>
    <row r="1056" spans="1:8" x14ac:dyDescent="0.25">
      <c r="A1056" t="s">
        <v>2541</v>
      </c>
      <c r="B1056">
        <v>1055</v>
      </c>
      <c r="C1056" t="s">
        <v>1057</v>
      </c>
      <c r="D1056" t="s">
        <v>189</v>
      </c>
      <c r="E1056" t="s">
        <v>2093</v>
      </c>
      <c r="F1056" t="s">
        <v>1635</v>
      </c>
      <c r="H1056" t="s">
        <v>1643</v>
      </c>
    </row>
    <row r="1057" spans="1:8" x14ac:dyDescent="0.25">
      <c r="A1057" t="s">
        <v>2094</v>
      </c>
      <c r="B1057">
        <v>1056</v>
      </c>
      <c r="C1057" t="s">
        <v>2641</v>
      </c>
      <c r="D1057" t="s">
        <v>2092</v>
      </c>
      <c r="E1057" t="s">
        <v>2093</v>
      </c>
      <c r="F1057" t="s">
        <v>1635</v>
      </c>
      <c r="H1057" t="s">
        <v>1640</v>
      </c>
    </row>
    <row r="1058" spans="1:8" x14ac:dyDescent="0.25">
      <c r="A1058" t="s">
        <v>2542</v>
      </c>
      <c r="B1058">
        <v>1057</v>
      </c>
      <c r="C1058" t="s">
        <v>1057</v>
      </c>
      <c r="D1058" t="s">
        <v>189</v>
      </c>
      <c r="E1058" t="s">
        <v>2096</v>
      </c>
      <c r="F1058" t="s">
        <v>1635</v>
      </c>
      <c r="H1058" t="s">
        <v>1643</v>
      </c>
    </row>
    <row r="1059" spans="1:8" x14ac:dyDescent="0.25">
      <c r="A1059" t="s">
        <v>2097</v>
      </c>
      <c r="B1059">
        <v>1058</v>
      </c>
      <c r="C1059" t="s">
        <v>2641</v>
      </c>
      <c r="D1059" t="s">
        <v>2095</v>
      </c>
      <c r="E1059" t="s">
        <v>2096</v>
      </c>
      <c r="F1059" t="s">
        <v>1635</v>
      </c>
      <c r="H1059" t="s">
        <v>1640</v>
      </c>
    </row>
    <row r="1060" spans="1:8" x14ac:dyDescent="0.25">
      <c r="A1060" t="s">
        <v>2543</v>
      </c>
      <c r="B1060">
        <v>1059</v>
      </c>
      <c r="C1060" t="s">
        <v>1057</v>
      </c>
      <c r="D1060" t="s">
        <v>189</v>
      </c>
      <c r="E1060" t="s">
        <v>2099</v>
      </c>
      <c r="F1060" t="s">
        <v>1635</v>
      </c>
      <c r="H1060" t="s">
        <v>1643</v>
      </c>
    </row>
    <row r="1061" spans="1:8" x14ac:dyDescent="0.25">
      <c r="A1061" t="s">
        <v>2100</v>
      </c>
      <c r="B1061">
        <v>1060</v>
      </c>
      <c r="C1061" t="s">
        <v>2641</v>
      </c>
      <c r="D1061" t="s">
        <v>2098</v>
      </c>
      <c r="E1061" t="s">
        <v>2099</v>
      </c>
      <c r="F1061" t="s">
        <v>1635</v>
      </c>
      <c r="H1061" t="s">
        <v>1640</v>
      </c>
    </row>
    <row r="1062" spans="1:8" x14ac:dyDescent="0.25">
      <c r="A1062" t="s">
        <v>2544</v>
      </c>
      <c r="B1062">
        <v>1061</v>
      </c>
      <c r="C1062" t="s">
        <v>1057</v>
      </c>
      <c r="D1062" t="s">
        <v>189</v>
      </c>
      <c r="E1062" t="s">
        <v>2102</v>
      </c>
      <c r="F1062" t="s">
        <v>1635</v>
      </c>
      <c r="H1062" t="s">
        <v>1643</v>
      </c>
    </row>
    <row r="1063" spans="1:8" x14ac:dyDescent="0.25">
      <c r="A1063" t="s">
        <v>2103</v>
      </c>
      <c r="B1063">
        <v>1062</v>
      </c>
      <c r="C1063" t="s">
        <v>2641</v>
      </c>
      <c r="D1063" t="s">
        <v>2101</v>
      </c>
      <c r="E1063" t="s">
        <v>2102</v>
      </c>
      <c r="F1063" t="s">
        <v>1635</v>
      </c>
      <c r="H1063" t="s">
        <v>1640</v>
      </c>
    </row>
    <row r="1064" spans="1:8" x14ac:dyDescent="0.25">
      <c r="A1064" t="s">
        <v>2545</v>
      </c>
      <c r="B1064">
        <v>1063</v>
      </c>
      <c r="C1064" t="s">
        <v>1057</v>
      </c>
      <c r="D1064" t="s">
        <v>189</v>
      </c>
      <c r="E1064" t="s">
        <v>2105</v>
      </c>
      <c r="F1064" t="s">
        <v>1635</v>
      </c>
      <c r="H1064" t="s">
        <v>1643</v>
      </c>
    </row>
    <row r="1065" spans="1:8" x14ac:dyDescent="0.25">
      <c r="A1065" t="s">
        <v>2106</v>
      </c>
      <c r="B1065">
        <v>1064</v>
      </c>
      <c r="C1065" t="s">
        <v>2641</v>
      </c>
      <c r="D1065" t="s">
        <v>2104</v>
      </c>
      <c r="E1065" t="s">
        <v>2105</v>
      </c>
      <c r="F1065" t="s">
        <v>1635</v>
      </c>
      <c r="H1065" t="s">
        <v>1640</v>
      </c>
    </row>
    <row r="1066" spans="1:8" x14ac:dyDescent="0.25">
      <c r="A1066" t="s">
        <v>2546</v>
      </c>
      <c r="B1066">
        <v>1065</v>
      </c>
      <c r="C1066" t="s">
        <v>1057</v>
      </c>
      <c r="D1066" t="s">
        <v>189</v>
      </c>
      <c r="E1066" t="s">
        <v>2108</v>
      </c>
      <c r="F1066" t="s">
        <v>1635</v>
      </c>
      <c r="H1066" t="s">
        <v>1643</v>
      </c>
    </row>
    <row r="1067" spans="1:8" x14ac:dyDescent="0.25">
      <c r="A1067" t="s">
        <v>2109</v>
      </c>
      <c r="B1067">
        <v>1066</v>
      </c>
      <c r="C1067" t="s">
        <v>2641</v>
      </c>
      <c r="D1067" t="s">
        <v>2107</v>
      </c>
      <c r="E1067" t="s">
        <v>2108</v>
      </c>
      <c r="F1067" t="s">
        <v>1635</v>
      </c>
      <c r="H1067" t="s">
        <v>1640</v>
      </c>
    </row>
    <row r="1068" spans="1:8" x14ac:dyDescent="0.25">
      <c r="A1068" t="s">
        <v>2547</v>
      </c>
      <c r="B1068">
        <v>1067</v>
      </c>
      <c r="C1068" t="s">
        <v>1057</v>
      </c>
      <c r="D1068" t="s">
        <v>189</v>
      </c>
      <c r="E1068" t="s">
        <v>2111</v>
      </c>
      <c r="F1068" t="s">
        <v>1635</v>
      </c>
      <c r="H1068" t="s">
        <v>1643</v>
      </c>
    </row>
    <row r="1069" spans="1:8" x14ac:dyDescent="0.25">
      <c r="A1069" t="s">
        <v>2112</v>
      </c>
      <c r="B1069">
        <v>1068</v>
      </c>
      <c r="C1069" t="s">
        <v>2641</v>
      </c>
      <c r="D1069" t="s">
        <v>2110</v>
      </c>
      <c r="E1069" t="s">
        <v>2111</v>
      </c>
      <c r="F1069" t="s">
        <v>1635</v>
      </c>
      <c r="H1069" t="s">
        <v>1640</v>
      </c>
    </row>
    <row r="1070" spans="1:8" x14ac:dyDescent="0.25">
      <c r="A1070" t="s">
        <v>2114</v>
      </c>
      <c r="B1070">
        <v>1069</v>
      </c>
      <c r="C1070" t="s">
        <v>2641</v>
      </c>
      <c r="D1070" t="s">
        <v>2113</v>
      </c>
      <c r="E1070" t="s">
        <v>189</v>
      </c>
      <c r="F1070" t="s">
        <v>1635</v>
      </c>
      <c r="H1070" t="s">
        <v>1640</v>
      </c>
    </row>
    <row r="1071" spans="1:8" x14ac:dyDescent="0.25">
      <c r="A1071" t="s">
        <v>2548</v>
      </c>
      <c r="B1071">
        <v>1070</v>
      </c>
      <c r="C1071" t="s">
        <v>1057</v>
      </c>
      <c r="D1071" t="s">
        <v>189</v>
      </c>
      <c r="E1071" t="s">
        <v>2116</v>
      </c>
      <c r="F1071" t="s">
        <v>1635</v>
      </c>
      <c r="H1071" t="s">
        <v>1643</v>
      </c>
    </row>
    <row r="1072" spans="1:8" x14ac:dyDescent="0.25">
      <c r="A1072" t="s">
        <v>2117</v>
      </c>
      <c r="B1072">
        <v>1071</v>
      </c>
      <c r="C1072" t="s">
        <v>2641</v>
      </c>
      <c r="D1072" t="s">
        <v>2115</v>
      </c>
      <c r="E1072" t="s">
        <v>2116</v>
      </c>
      <c r="F1072" t="s">
        <v>1635</v>
      </c>
      <c r="H1072" t="s">
        <v>1640</v>
      </c>
    </row>
    <row r="1073" spans="1:8" x14ac:dyDescent="0.25">
      <c r="A1073" t="s">
        <v>2549</v>
      </c>
      <c r="B1073">
        <v>1072</v>
      </c>
      <c r="C1073" t="s">
        <v>1057</v>
      </c>
      <c r="D1073" t="s">
        <v>189</v>
      </c>
      <c r="E1073" t="s">
        <v>2119</v>
      </c>
      <c r="F1073" t="s">
        <v>1635</v>
      </c>
      <c r="H1073" t="s">
        <v>1643</v>
      </c>
    </row>
    <row r="1074" spans="1:8" x14ac:dyDescent="0.25">
      <c r="A1074" t="s">
        <v>2120</v>
      </c>
      <c r="B1074">
        <v>1073</v>
      </c>
      <c r="C1074" t="s">
        <v>2641</v>
      </c>
      <c r="D1074" t="s">
        <v>2118</v>
      </c>
      <c r="E1074" t="s">
        <v>2119</v>
      </c>
      <c r="F1074" t="s">
        <v>1635</v>
      </c>
      <c r="H1074" t="s">
        <v>1640</v>
      </c>
    </row>
    <row r="1075" spans="1:8" x14ac:dyDescent="0.25">
      <c r="A1075" t="s">
        <v>2550</v>
      </c>
      <c r="B1075">
        <v>1074</v>
      </c>
      <c r="C1075" t="s">
        <v>1057</v>
      </c>
      <c r="D1075" t="s">
        <v>189</v>
      </c>
      <c r="E1075" t="s">
        <v>2122</v>
      </c>
      <c r="F1075" t="s">
        <v>1635</v>
      </c>
      <c r="H1075" t="s">
        <v>1643</v>
      </c>
    </row>
    <row r="1076" spans="1:8" x14ac:dyDescent="0.25">
      <c r="A1076" t="s">
        <v>2123</v>
      </c>
      <c r="B1076">
        <v>1075</v>
      </c>
      <c r="C1076" t="s">
        <v>2641</v>
      </c>
      <c r="D1076" t="s">
        <v>2121</v>
      </c>
      <c r="E1076" t="s">
        <v>2122</v>
      </c>
      <c r="F1076" t="s">
        <v>1635</v>
      </c>
      <c r="H1076" t="s">
        <v>1640</v>
      </c>
    </row>
    <row r="1077" spans="1:8" x14ac:dyDescent="0.25">
      <c r="A1077" t="s">
        <v>2551</v>
      </c>
      <c r="B1077">
        <v>1076</v>
      </c>
      <c r="C1077" t="s">
        <v>1057</v>
      </c>
      <c r="D1077" t="s">
        <v>189</v>
      </c>
      <c r="E1077" t="s">
        <v>2125</v>
      </c>
      <c r="F1077" t="s">
        <v>1635</v>
      </c>
      <c r="H1077" t="s">
        <v>1643</v>
      </c>
    </row>
    <row r="1078" spans="1:8" x14ac:dyDescent="0.25">
      <c r="A1078" t="s">
        <v>2126</v>
      </c>
      <c r="B1078">
        <v>1077</v>
      </c>
      <c r="C1078" t="s">
        <v>2641</v>
      </c>
      <c r="D1078" t="s">
        <v>2124</v>
      </c>
      <c r="E1078" t="s">
        <v>2125</v>
      </c>
      <c r="F1078" t="s">
        <v>1635</v>
      </c>
      <c r="H1078" t="s">
        <v>1640</v>
      </c>
    </row>
    <row r="1079" spans="1:8" x14ac:dyDescent="0.25">
      <c r="A1079" t="s">
        <v>2552</v>
      </c>
      <c r="B1079">
        <v>1078</v>
      </c>
      <c r="C1079" t="s">
        <v>1057</v>
      </c>
      <c r="D1079" t="s">
        <v>189</v>
      </c>
      <c r="E1079" t="s">
        <v>2128</v>
      </c>
      <c r="F1079" t="s">
        <v>1635</v>
      </c>
      <c r="H1079" t="s">
        <v>1643</v>
      </c>
    </row>
    <row r="1080" spans="1:8" x14ac:dyDescent="0.25">
      <c r="A1080" t="s">
        <v>2129</v>
      </c>
      <c r="B1080">
        <v>1079</v>
      </c>
      <c r="C1080" t="s">
        <v>2641</v>
      </c>
      <c r="D1080" t="s">
        <v>2127</v>
      </c>
      <c r="E1080" t="s">
        <v>2128</v>
      </c>
      <c r="F1080" t="s">
        <v>1635</v>
      </c>
      <c r="H1080" t="s">
        <v>1640</v>
      </c>
    </row>
    <row r="1081" spans="1:8" x14ac:dyDescent="0.25">
      <c r="A1081" t="s">
        <v>2553</v>
      </c>
      <c r="B1081">
        <v>1080</v>
      </c>
      <c r="C1081" t="s">
        <v>1057</v>
      </c>
      <c r="D1081" t="s">
        <v>189</v>
      </c>
      <c r="E1081" t="s">
        <v>2131</v>
      </c>
      <c r="F1081" t="s">
        <v>1635</v>
      </c>
      <c r="H1081" t="s">
        <v>1643</v>
      </c>
    </row>
    <row r="1082" spans="1:8" x14ac:dyDescent="0.25">
      <c r="A1082" t="s">
        <v>2132</v>
      </c>
      <c r="B1082">
        <v>1081</v>
      </c>
      <c r="C1082" t="s">
        <v>2641</v>
      </c>
      <c r="D1082" t="s">
        <v>2130</v>
      </c>
      <c r="E1082" t="s">
        <v>2131</v>
      </c>
      <c r="F1082" t="s">
        <v>1635</v>
      </c>
      <c r="H1082" t="s">
        <v>1640</v>
      </c>
    </row>
    <row r="1083" spans="1:8" x14ac:dyDescent="0.25">
      <c r="A1083" t="s">
        <v>2554</v>
      </c>
      <c r="B1083">
        <v>1082</v>
      </c>
      <c r="C1083" t="s">
        <v>1057</v>
      </c>
      <c r="D1083" t="s">
        <v>189</v>
      </c>
      <c r="E1083" t="s">
        <v>2134</v>
      </c>
      <c r="F1083" t="s">
        <v>1635</v>
      </c>
      <c r="H1083" t="s">
        <v>1643</v>
      </c>
    </row>
    <row r="1084" spans="1:8" x14ac:dyDescent="0.25">
      <c r="A1084" t="s">
        <v>2135</v>
      </c>
      <c r="B1084">
        <v>1083</v>
      </c>
      <c r="C1084" t="s">
        <v>2641</v>
      </c>
      <c r="D1084" t="s">
        <v>2133</v>
      </c>
      <c r="E1084" t="s">
        <v>2134</v>
      </c>
      <c r="F1084" t="s">
        <v>1635</v>
      </c>
      <c r="H1084" t="s">
        <v>1640</v>
      </c>
    </row>
    <row r="1085" spans="1:8" x14ac:dyDescent="0.25">
      <c r="A1085" t="s">
        <v>2555</v>
      </c>
      <c r="B1085">
        <v>1084</v>
      </c>
      <c r="C1085" t="s">
        <v>1057</v>
      </c>
      <c r="D1085" t="s">
        <v>189</v>
      </c>
      <c r="E1085" t="s">
        <v>2137</v>
      </c>
      <c r="F1085" t="s">
        <v>1635</v>
      </c>
      <c r="H1085" t="s">
        <v>1643</v>
      </c>
    </row>
    <row r="1086" spans="1:8" x14ac:dyDescent="0.25">
      <c r="A1086" t="s">
        <v>2138</v>
      </c>
      <c r="B1086">
        <v>1085</v>
      </c>
      <c r="C1086" t="s">
        <v>2641</v>
      </c>
      <c r="D1086" t="s">
        <v>2136</v>
      </c>
      <c r="E1086" t="s">
        <v>2137</v>
      </c>
      <c r="F1086" t="s">
        <v>1635</v>
      </c>
      <c r="H1086" t="s">
        <v>1640</v>
      </c>
    </row>
    <row r="1087" spans="1:8" x14ac:dyDescent="0.25">
      <c r="A1087" t="s">
        <v>2556</v>
      </c>
      <c r="B1087">
        <v>1086</v>
      </c>
      <c r="C1087" t="s">
        <v>1057</v>
      </c>
      <c r="D1087" t="s">
        <v>189</v>
      </c>
      <c r="E1087" t="s">
        <v>2140</v>
      </c>
      <c r="F1087" t="s">
        <v>1635</v>
      </c>
      <c r="H1087" t="s">
        <v>1643</v>
      </c>
    </row>
    <row r="1088" spans="1:8" x14ac:dyDescent="0.25">
      <c r="A1088" t="s">
        <v>2141</v>
      </c>
      <c r="B1088">
        <v>1087</v>
      </c>
      <c r="C1088" t="s">
        <v>2641</v>
      </c>
      <c r="D1088" t="s">
        <v>2139</v>
      </c>
      <c r="E1088" t="s">
        <v>2140</v>
      </c>
      <c r="F1088" t="s">
        <v>1635</v>
      </c>
      <c r="H1088" t="s">
        <v>1640</v>
      </c>
    </row>
    <row r="1089" spans="1:8" x14ac:dyDescent="0.25">
      <c r="A1089" t="s">
        <v>2557</v>
      </c>
      <c r="B1089">
        <v>1088</v>
      </c>
      <c r="C1089" t="s">
        <v>1057</v>
      </c>
      <c r="D1089" t="s">
        <v>189</v>
      </c>
      <c r="E1089" t="s">
        <v>2143</v>
      </c>
      <c r="F1089" t="s">
        <v>1635</v>
      </c>
      <c r="H1089" t="s">
        <v>1643</v>
      </c>
    </row>
    <row r="1090" spans="1:8" x14ac:dyDescent="0.25">
      <c r="A1090" t="s">
        <v>2144</v>
      </c>
      <c r="B1090">
        <v>1089</v>
      </c>
      <c r="C1090" t="s">
        <v>2641</v>
      </c>
      <c r="D1090" t="s">
        <v>2142</v>
      </c>
      <c r="E1090" t="s">
        <v>2143</v>
      </c>
      <c r="F1090" t="s">
        <v>1635</v>
      </c>
      <c r="H1090" t="s">
        <v>1640</v>
      </c>
    </row>
    <row r="1091" spans="1:8" x14ac:dyDescent="0.25">
      <c r="A1091" t="s">
        <v>2558</v>
      </c>
      <c r="B1091">
        <v>1090</v>
      </c>
      <c r="C1091" t="s">
        <v>1057</v>
      </c>
      <c r="D1091" t="s">
        <v>189</v>
      </c>
      <c r="E1091" t="s">
        <v>2146</v>
      </c>
      <c r="F1091" t="s">
        <v>1635</v>
      </c>
      <c r="H1091" t="s">
        <v>1643</v>
      </c>
    </row>
    <row r="1092" spans="1:8" x14ac:dyDescent="0.25">
      <c r="A1092" t="s">
        <v>2147</v>
      </c>
      <c r="B1092">
        <v>1091</v>
      </c>
      <c r="C1092" t="s">
        <v>2641</v>
      </c>
      <c r="D1092" t="s">
        <v>2145</v>
      </c>
      <c r="E1092" t="s">
        <v>2146</v>
      </c>
      <c r="F1092" t="s">
        <v>1635</v>
      </c>
      <c r="H1092" t="s">
        <v>1640</v>
      </c>
    </row>
    <row r="1093" spans="1:8" x14ac:dyDescent="0.25">
      <c r="A1093" t="s">
        <v>2559</v>
      </c>
      <c r="B1093">
        <v>1092</v>
      </c>
      <c r="C1093" t="s">
        <v>1057</v>
      </c>
      <c r="D1093" t="s">
        <v>189</v>
      </c>
      <c r="E1093" t="s">
        <v>2149</v>
      </c>
      <c r="F1093" t="s">
        <v>1635</v>
      </c>
      <c r="H1093" t="s">
        <v>1643</v>
      </c>
    </row>
    <row r="1094" spans="1:8" x14ac:dyDescent="0.25">
      <c r="A1094" t="s">
        <v>2150</v>
      </c>
      <c r="B1094">
        <v>1093</v>
      </c>
      <c r="C1094" t="s">
        <v>2641</v>
      </c>
      <c r="D1094" t="s">
        <v>2148</v>
      </c>
      <c r="E1094" t="s">
        <v>2149</v>
      </c>
      <c r="F1094" t="s">
        <v>1635</v>
      </c>
      <c r="H1094" t="s">
        <v>1640</v>
      </c>
    </row>
    <row r="1095" spans="1:8" x14ac:dyDescent="0.25">
      <c r="A1095" t="s">
        <v>2560</v>
      </c>
      <c r="B1095">
        <v>1094</v>
      </c>
      <c r="C1095" t="s">
        <v>1057</v>
      </c>
      <c r="D1095" t="s">
        <v>189</v>
      </c>
      <c r="E1095" t="s">
        <v>2152</v>
      </c>
      <c r="F1095" t="s">
        <v>1635</v>
      </c>
      <c r="H1095" t="s">
        <v>1643</v>
      </c>
    </row>
    <row r="1096" spans="1:8" x14ac:dyDescent="0.25">
      <c r="A1096" t="s">
        <v>2153</v>
      </c>
      <c r="B1096">
        <v>1095</v>
      </c>
      <c r="C1096" t="s">
        <v>2641</v>
      </c>
      <c r="D1096" t="s">
        <v>2151</v>
      </c>
      <c r="E1096" t="s">
        <v>2152</v>
      </c>
      <c r="F1096" t="s">
        <v>1635</v>
      </c>
      <c r="H1096" t="s">
        <v>1640</v>
      </c>
    </row>
    <row r="1097" spans="1:8" x14ac:dyDescent="0.25">
      <c r="A1097" t="s">
        <v>2561</v>
      </c>
      <c r="B1097">
        <v>1096</v>
      </c>
      <c r="C1097" t="s">
        <v>1057</v>
      </c>
      <c r="D1097" t="s">
        <v>189</v>
      </c>
      <c r="E1097" t="s">
        <v>2155</v>
      </c>
      <c r="F1097" t="s">
        <v>1635</v>
      </c>
      <c r="H1097" t="s">
        <v>1643</v>
      </c>
    </row>
    <row r="1098" spans="1:8" x14ac:dyDescent="0.25">
      <c r="A1098" t="s">
        <v>2156</v>
      </c>
      <c r="B1098">
        <v>1097</v>
      </c>
      <c r="C1098" t="s">
        <v>2641</v>
      </c>
      <c r="D1098" t="s">
        <v>2154</v>
      </c>
      <c r="E1098" t="s">
        <v>2155</v>
      </c>
      <c r="F1098" t="s">
        <v>1635</v>
      </c>
      <c r="H1098" t="s">
        <v>1640</v>
      </c>
    </row>
    <row r="1099" spans="1:8" x14ac:dyDescent="0.25">
      <c r="A1099" t="s">
        <v>2562</v>
      </c>
      <c r="B1099">
        <v>1098</v>
      </c>
      <c r="C1099" t="s">
        <v>1057</v>
      </c>
      <c r="D1099" t="s">
        <v>189</v>
      </c>
      <c r="E1099" t="s">
        <v>2158</v>
      </c>
      <c r="F1099" t="s">
        <v>1635</v>
      </c>
      <c r="H1099" t="s">
        <v>1643</v>
      </c>
    </row>
    <row r="1100" spans="1:8" x14ac:dyDescent="0.25">
      <c r="A1100" t="s">
        <v>2159</v>
      </c>
      <c r="B1100">
        <v>1099</v>
      </c>
      <c r="C1100" t="s">
        <v>2641</v>
      </c>
      <c r="D1100" t="s">
        <v>2157</v>
      </c>
      <c r="E1100" t="s">
        <v>2158</v>
      </c>
      <c r="F1100" t="s">
        <v>1635</v>
      </c>
      <c r="H1100" t="s">
        <v>1640</v>
      </c>
    </row>
    <row r="1101" spans="1:8" x14ac:dyDescent="0.25">
      <c r="A1101" t="s">
        <v>2563</v>
      </c>
      <c r="B1101">
        <v>1100</v>
      </c>
      <c r="C1101" t="s">
        <v>1057</v>
      </c>
      <c r="D1101" t="s">
        <v>189</v>
      </c>
      <c r="E1101" t="s">
        <v>2161</v>
      </c>
      <c r="F1101" t="s">
        <v>1635</v>
      </c>
      <c r="H1101" t="s">
        <v>1643</v>
      </c>
    </row>
    <row r="1102" spans="1:8" x14ac:dyDescent="0.25">
      <c r="A1102" t="s">
        <v>2162</v>
      </c>
      <c r="B1102">
        <v>1101</v>
      </c>
      <c r="C1102" t="s">
        <v>2641</v>
      </c>
      <c r="D1102" t="s">
        <v>2160</v>
      </c>
      <c r="E1102" t="s">
        <v>2161</v>
      </c>
      <c r="F1102" t="s">
        <v>1635</v>
      </c>
      <c r="H1102" t="s">
        <v>1640</v>
      </c>
    </row>
    <row r="1103" spans="1:8" x14ac:dyDescent="0.25">
      <c r="A1103" t="s">
        <v>2564</v>
      </c>
      <c r="B1103">
        <v>1102</v>
      </c>
      <c r="C1103" t="s">
        <v>1057</v>
      </c>
      <c r="D1103" t="s">
        <v>189</v>
      </c>
      <c r="E1103" t="s">
        <v>2164</v>
      </c>
      <c r="F1103" t="s">
        <v>1635</v>
      </c>
      <c r="H1103" t="s">
        <v>1643</v>
      </c>
    </row>
    <row r="1104" spans="1:8" x14ac:dyDescent="0.25">
      <c r="A1104" t="s">
        <v>2165</v>
      </c>
      <c r="B1104">
        <v>1103</v>
      </c>
      <c r="C1104" t="s">
        <v>2641</v>
      </c>
      <c r="D1104" t="s">
        <v>2163</v>
      </c>
      <c r="E1104" t="s">
        <v>2164</v>
      </c>
      <c r="F1104" t="s">
        <v>1635</v>
      </c>
      <c r="H1104" t="s">
        <v>1640</v>
      </c>
    </row>
    <row r="1105" spans="1:8" x14ac:dyDescent="0.25">
      <c r="A1105" t="s">
        <v>2565</v>
      </c>
      <c r="B1105">
        <v>1104</v>
      </c>
      <c r="C1105" t="s">
        <v>1057</v>
      </c>
      <c r="D1105" t="s">
        <v>189</v>
      </c>
      <c r="E1105" t="s">
        <v>2167</v>
      </c>
      <c r="F1105" t="s">
        <v>1635</v>
      </c>
      <c r="H1105" t="s">
        <v>1643</v>
      </c>
    </row>
    <row r="1106" spans="1:8" x14ac:dyDescent="0.25">
      <c r="A1106" t="s">
        <v>2168</v>
      </c>
      <c r="B1106">
        <v>1105</v>
      </c>
      <c r="C1106" t="s">
        <v>2641</v>
      </c>
      <c r="D1106" t="s">
        <v>2166</v>
      </c>
      <c r="E1106" t="s">
        <v>2167</v>
      </c>
      <c r="F1106" t="s">
        <v>1635</v>
      </c>
      <c r="H1106" t="s">
        <v>1640</v>
      </c>
    </row>
    <row r="1107" spans="1:8" x14ac:dyDescent="0.25">
      <c r="A1107" t="s">
        <v>2566</v>
      </c>
      <c r="B1107">
        <v>1106</v>
      </c>
      <c r="C1107" t="s">
        <v>1057</v>
      </c>
      <c r="D1107" t="s">
        <v>189</v>
      </c>
      <c r="E1107" t="s">
        <v>2170</v>
      </c>
      <c r="F1107" t="s">
        <v>1635</v>
      </c>
      <c r="H1107" t="s">
        <v>1643</v>
      </c>
    </row>
    <row r="1108" spans="1:8" x14ac:dyDescent="0.25">
      <c r="A1108" t="s">
        <v>2171</v>
      </c>
      <c r="B1108">
        <v>1107</v>
      </c>
      <c r="C1108" t="s">
        <v>2641</v>
      </c>
      <c r="D1108" t="s">
        <v>2169</v>
      </c>
      <c r="E1108" t="s">
        <v>2170</v>
      </c>
      <c r="F1108" t="s">
        <v>1635</v>
      </c>
      <c r="H1108" t="s">
        <v>1640</v>
      </c>
    </row>
    <row r="1109" spans="1:8" x14ac:dyDescent="0.25">
      <c r="A1109" t="s">
        <v>2567</v>
      </c>
      <c r="B1109">
        <v>1108</v>
      </c>
      <c r="C1109" t="s">
        <v>1057</v>
      </c>
      <c r="D1109" t="s">
        <v>189</v>
      </c>
      <c r="E1109" t="s">
        <v>2173</v>
      </c>
      <c r="F1109" t="s">
        <v>1635</v>
      </c>
      <c r="H1109" t="s">
        <v>1643</v>
      </c>
    </row>
    <row r="1110" spans="1:8" x14ac:dyDescent="0.25">
      <c r="A1110" t="s">
        <v>2174</v>
      </c>
      <c r="B1110">
        <v>1109</v>
      </c>
      <c r="C1110" t="s">
        <v>2641</v>
      </c>
      <c r="D1110" t="s">
        <v>2172</v>
      </c>
      <c r="E1110" t="s">
        <v>2173</v>
      </c>
      <c r="F1110" t="s">
        <v>1635</v>
      </c>
      <c r="H1110" t="s">
        <v>1640</v>
      </c>
    </row>
    <row r="1111" spans="1:8" x14ac:dyDescent="0.25">
      <c r="A1111" t="s">
        <v>2568</v>
      </c>
      <c r="B1111">
        <v>1110</v>
      </c>
      <c r="C1111" t="s">
        <v>1057</v>
      </c>
      <c r="D1111" t="s">
        <v>189</v>
      </c>
      <c r="E1111" t="s">
        <v>2176</v>
      </c>
      <c r="F1111" t="s">
        <v>1635</v>
      </c>
      <c r="H1111" t="s">
        <v>1643</v>
      </c>
    </row>
    <row r="1112" spans="1:8" x14ac:dyDescent="0.25">
      <c r="A1112" t="s">
        <v>2177</v>
      </c>
      <c r="B1112">
        <v>1111</v>
      </c>
      <c r="C1112" t="s">
        <v>2641</v>
      </c>
      <c r="D1112" t="s">
        <v>2175</v>
      </c>
      <c r="E1112" t="s">
        <v>2176</v>
      </c>
      <c r="F1112" t="s">
        <v>1635</v>
      </c>
      <c r="H1112" t="s">
        <v>1640</v>
      </c>
    </row>
    <row r="1113" spans="1:8" x14ac:dyDescent="0.25">
      <c r="A1113" t="s">
        <v>2569</v>
      </c>
      <c r="B1113">
        <v>1112</v>
      </c>
      <c r="C1113" t="s">
        <v>1057</v>
      </c>
      <c r="D1113" t="s">
        <v>189</v>
      </c>
      <c r="E1113" t="s">
        <v>2179</v>
      </c>
      <c r="F1113" t="s">
        <v>1635</v>
      </c>
      <c r="H1113" t="s">
        <v>1643</v>
      </c>
    </row>
    <row r="1114" spans="1:8" x14ac:dyDescent="0.25">
      <c r="A1114" t="s">
        <v>2180</v>
      </c>
      <c r="B1114">
        <v>1113</v>
      </c>
      <c r="C1114" t="s">
        <v>2641</v>
      </c>
      <c r="D1114" t="s">
        <v>2178</v>
      </c>
      <c r="E1114" t="s">
        <v>2179</v>
      </c>
      <c r="F1114" t="s">
        <v>1635</v>
      </c>
      <c r="H1114" t="s">
        <v>1640</v>
      </c>
    </row>
    <row r="1115" spans="1:8" x14ac:dyDescent="0.25">
      <c r="A1115" t="s">
        <v>2570</v>
      </c>
      <c r="B1115">
        <v>1114</v>
      </c>
      <c r="C1115" t="s">
        <v>1057</v>
      </c>
      <c r="D1115" t="s">
        <v>189</v>
      </c>
      <c r="E1115" t="s">
        <v>2182</v>
      </c>
      <c r="F1115" t="s">
        <v>1635</v>
      </c>
      <c r="H1115" t="s">
        <v>1643</v>
      </c>
    </row>
    <row r="1116" spans="1:8" x14ac:dyDescent="0.25">
      <c r="A1116" t="s">
        <v>2183</v>
      </c>
      <c r="B1116">
        <v>1115</v>
      </c>
      <c r="C1116" t="s">
        <v>2641</v>
      </c>
      <c r="D1116" t="s">
        <v>2181</v>
      </c>
      <c r="E1116" t="s">
        <v>2182</v>
      </c>
      <c r="F1116" t="s">
        <v>1635</v>
      </c>
      <c r="H1116" t="s">
        <v>1640</v>
      </c>
    </row>
    <row r="1117" spans="1:8" x14ac:dyDescent="0.25">
      <c r="A1117" t="s">
        <v>2571</v>
      </c>
      <c r="B1117">
        <v>1116</v>
      </c>
      <c r="C1117" t="s">
        <v>1057</v>
      </c>
      <c r="D1117" t="s">
        <v>189</v>
      </c>
      <c r="E1117" t="s">
        <v>2185</v>
      </c>
      <c r="F1117" t="s">
        <v>1635</v>
      </c>
      <c r="H1117" t="s">
        <v>1643</v>
      </c>
    </row>
    <row r="1118" spans="1:8" x14ac:dyDescent="0.25">
      <c r="A1118" t="s">
        <v>2186</v>
      </c>
      <c r="B1118">
        <v>1117</v>
      </c>
      <c r="C1118" t="s">
        <v>2641</v>
      </c>
      <c r="D1118" t="s">
        <v>2184</v>
      </c>
      <c r="E1118" t="s">
        <v>2185</v>
      </c>
      <c r="F1118" t="s">
        <v>1635</v>
      </c>
      <c r="H1118" t="s">
        <v>1640</v>
      </c>
    </row>
    <row r="1119" spans="1:8" x14ac:dyDescent="0.25">
      <c r="A1119" t="s">
        <v>2572</v>
      </c>
      <c r="B1119">
        <v>1118</v>
      </c>
      <c r="C1119" t="s">
        <v>1057</v>
      </c>
      <c r="D1119" t="s">
        <v>189</v>
      </c>
      <c r="E1119" t="s">
        <v>2188</v>
      </c>
      <c r="F1119" t="s">
        <v>1635</v>
      </c>
      <c r="H1119" t="s">
        <v>1643</v>
      </c>
    </row>
    <row r="1120" spans="1:8" x14ac:dyDescent="0.25">
      <c r="A1120" t="s">
        <v>2189</v>
      </c>
      <c r="B1120">
        <v>1119</v>
      </c>
      <c r="C1120" t="s">
        <v>2641</v>
      </c>
      <c r="D1120" t="s">
        <v>2187</v>
      </c>
      <c r="E1120" t="s">
        <v>2188</v>
      </c>
      <c r="F1120" t="s">
        <v>1635</v>
      </c>
      <c r="H1120" t="s">
        <v>1640</v>
      </c>
    </row>
    <row r="1121" spans="1:8" x14ac:dyDescent="0.25">
      <c r="A1121" t="s">
        <v>2573</v>
      </c>
      <c r="B1121">
        <v>1120</v>
      </c>
      <c r="C1121" t="s">
        <v>1057</v>
      </c>
      <c r="D1121" t="s">
        <v>189</v>
      </c>
      <c r="E1121" t="s">
        <v>2191</v>
      </c>
      <c r="F1121" t="s">
        <v>1635</v>
      </c>
      <c r="H1121" t="s">
        <v>1643</v>
      </c>
    </row>
    <row r="1122" spans="1:8" x14ac:dyDescent="0.25">
      <c r="A1122" t="s">
        <v>2192</v>
      </c>
      <c r="B1122">
        <v>1121</v>
      </c>
      <c r="C1122" t="s">
        <v>2641</v>
      </c>
      <c r="D1122" t="s">
        <v>2190</v>
      </c>
      <c r="E1122" t="s">
        <v>2191</v>
      </c>
      <c r="F1122" t="s">
        <v>1635</v>
      </c>
      <c r="H1122" t="s">
        <v>1640</v>
      </c>
    </row>
    <row r="1123" spans="1:8" x14ac:dyDescent="0.25">
      <c r="A1123" t="s">
        <v>2574</v>
      </c>
      <c r="B1123">
        <v>1122</v>
      </c>
      <c r="C1123" t="s">
        <v>1057</v>
      </c>
      <c r="D1123" t="s">
        <v>189</v>
      </c>
      <c r="E1123" t="s">
        <v>2194</v>
      </c>
      <c r="F1123" t="s">
        <v>1635</v>
      </c>
      <c r="H1123" t="s">
        <v>1643</v>
      </c>
    </row>
    <row r="1124" spans="1:8" x14ac:dyDescent="0.25">
      <c r="A1124" t="s">
        <v>2195</v>
      </c>
      <c r="B1124">
        <v>1123</v>
      </c>
      <c r="C1124" t="s">
        <v>2641</v>
      </c>
      <c r="D1124" t="s">
        <v>2193</v>
      </c>
      <c r="E1124" t="s">
        <v>2194</v>
      </c>
      <c r="F1124" t="s">
        <v>1635</v>
      </c>
      <c r="H1124" t="s">
        <v>1640</v>
      </c>
    </row>
    <row r="1125" spans="1:8" x14ac:dyDescent="0.25">
      <c r="A1125" t="s">
        <v>2575</v>
      </c>
      <c r="B1125">
        <v>1124</v>
      </c>
      <c r="C1125" t="s">
        <v>1057</v>
      </c>
      <c r="D1125" t="s">
        <v>189</v>
      </c>
      <c r="E1125" t="s">
        <v>2197</v>
      </c>
      <c r="F1125" t="s">
        <v>1635</v>
      </c>
      <c r="H1125" t="s">
        <v>1643</v>
      </c>
    </row>
    <row r="1126" spans="1:8" x14ac:dyDescent="0.25">
      <c r="A1126" t="s">
        <v>2198</v>
      </c>
      <c r="B1126">
        <v>1125</v>
      </c>
      <c r="C1126" t="s">
        <v>2641</v>
      </c>
      <c r="D1126" t="s">
        <v>2196</v>
      </c>
      <c r="E1126" t="s">
        <v>2197</v>
      </c>
      <c r="F1126" t="s">
        <v>1635</v>
      </c>
      <c r="H1126" t="s">
        <v>1640</v>
      </c>
    </row>
    <row r="1127" spans="1:8" x14ac:dyDescent="0.25">
      <c r="A1127" t="s">
        <v>2576</v>
      </c>
      <c r="B1127">
        <v>1126</v>
      </c>
      <c r="C1127" t="s">
        <v>1057</v>
      </c>
      <c r="D1127" t="s">
        <v>189</v>
      </c>
      <c r="E1127" t="s">
        <v>2200</v>
      </c>
      <c r="F1127" t="s">
        <v>1635</v>
      </c>
      <c r="H1127" t="s">
        <v>1643</v>
      </c>
    </row>
    <row r="1128" spans="1:8" x14ac:dyDescent="0.25">
      <c r="A1128" t="s">
        <v>2201</v>
      </c>
      <c r="B1128">
        <v>1127</v>
      </c>
      <c r="C1128" t="s">
        <v>2641</v>
      </c>
      <c r="D1128" t="s">
        <v>2199</v>
      </c>
      <c r="E1128" t="s">
        <v>2200</v>
      </c>
      <c r="F1128" t="s">
        <v>1635</v>
      </c>
      <c r="H1128" t="s">
        <v>1640</v>
      </c>
    </row>
    <row r="1129" spans="1:8" x14ac:dyDescent="0.25">
      <c r="A1129" t="s">
        <v>2577</v>
      </c>
      <c r="B1129">
        <v>1128</v>
      </c>
      <c r="C1129" t="s">
        <v>1057</v>
      </c>
      <c r="D1129" t="s">
        <v>189</v>
      </c>
      <c r="E1129" t="s">
        <v>2203</v>
      </c>
      <c r="F1129" t="s">
        <v>1635</v>
      </c>
      <c r="H1129" t="s">
        <v>1643</v>
      </c>
    </row>
    <row r="1130" spans="1:8" x14ac:dyDescent="0.25">
      <c r="A1130" t="s">
        <v>2204</v>
      </c>
      <c r="B1130">
        <v>1129</v>
      </c>
      <c r="C1130" t="s">
        <v>2641</v>
      </c>
      <c r="D1130" t="s">
        <v>2202</v>
      </c>
      <c r="E1130" t="s">
        <v>2203</v>
      </c>
      <c r="F1130" t="s">
        <v>1635</v>
      </c>
      <c r="H1130" t="s">
        <v>1640</v>
      </c>
    </row>
    <row r="1131" spans="1:8" x14ac:dyDescent="0.25">
      <c r="A1131" t="s">
        <v>2578</v>
      </c>
      <c r="B1131">
        <v>1130</v>
      </c>
      <c r="C1131" t="s">
        <v>1057</v>
      </c>
      <c r="D1131" t="s">
        <v>189</v>
      </c>
      <c r="E1131" t="s">
        <v>2206</v>
      </c>
      <c r="F1131" t="s">
        <v>1635</v>
      </c>
      <c r="H1131" t="s">
        <v>1643</v>
      </c>
    </row>
    <row r="1132" spans="1:8" x14ac:dyDescent="0.25">
      <c r="A1132" t="s">
        <v>2207</v>
      </c>
      <c r="B1132">
        <v>1131</v>
      </c>
      <c r="C1132" t="s">
        <v>2641</v>
      </c>
      <c r="D1132" t="s">
        <v>2205</v>
      </c>
      <c r="E1132" t="s">
        <v>2206</v>
      </c>
      <c r="F1132" t="s">
        <v>1635</v>
      </c>
      <c r="H1132" t="s">
        <v>1640</v>
      </c>
    </row>
    <row r="1133" spans="1:8" x14ac:dyDescent="0.25">
      <c r="A1133" t="s">
        <v>2579</v>
      </c>
      <c r="B1133">
        <v>1132</v>
      </c>
      <c r="C1133" t="s">
        <v>1057</v>
      </c>
      <c r="D1133" t="s">
        <v>196</v>
      </c>
      <c r="E1133" t="s">
        <v>1651</v>
      </c>
      <c r="F1133" t="s">
        <v>1634</v>
      </c>
      <c r="H1133" t="s">
        <v>1643</v>
      </c>
    </row>
    <row r="1134" spans="1:8" x14ac:dyDescent="0.25">
      <c r="A1134" t="s">
        <v>1652</v>
      </c>
      <c r="B1134">
        <v>1133</v>
      </c>
      <c r="C1134" t="s">
        <v>2641</v>
      </c>
      <c r="D1134" t="s">
        <v>1650</v>
      </c>
      <c r="E1134" t="s">
        <v>1651</v>
      </c>
      <c r="F1134" t="s">
        <v>1634</v>
      </c>
      <c r="H1134" t="s">
        <v>1640</v>
      </c>
    </row>
    <row r="1135" spans="1:8" x14ac:dyDescent="0.25">
      <c r="A1135" t="s">
        <v>2580</v>
      </c>
      <c r="B1135">
        <v>1134</v>
      </c>
      <c r="C1135" t="s">
        <v>1057</v>
      </c>
      <c r="D1135" t="s">
        <v>196</v>
      </c>
      <c r="E1135" t="s">
        <v>2209</v>
      </c>
      <c r="F1135" t="s">
        <v>1634</v>
      </c>
      <c r="H1135" t="s">
        <v>1643</v>
      </c>
    </row>
    <row r="1136" spans="1:8" x14ac:dyDescent="0.25">
      <c r="A1136" t="s">
        <v>2210</v>
      </c>
      <c r="B1136">
        <v>1135</v>
      </c>
      <c r="C1136" t="s">
        <v>2641</v>
      </c>
      <c r="D1136" t="s">
        <v>2208</v>
      </c>
      <c r="E1136" t="s">
        <v>2209</v>
      </c>
      <c r="F1136" t="s">
        <v>1634</v>
      </c>
      <c r="H1136" t="s">
        <v>1640</v>
      </c>
    </row>
    <row r="1137" spans="1:8" x14ac:dyDescent="0.25">
      <c r="A1137" t="s">
        <v>2581</v>
      </c>
      <c r="B1137">
        <v>1136</v>
      </c>
      <c r="C1137" t="s">
        <v>1057</v>
      </c>
      <c r="D1137" t="s">
        <v>196</v>
      </c>
      <c r="E1137" t="s">
        <v>2212</v>
      </c>
      <c r="F1137" t="s">
        <v>1634</v>
      </c>
      <c r="H1137" t="s">
        <v>1643</v>
      </c>
    </row>
    <row r="1138" spans="1:8" x14ac:dyDescent="0.25">
      <c r="A1138" t="s">
        <v>2213</v>
      </c>
      <c r="B1138">
        <v>1137</v>
      </c>
      <c r="C1138" t="s">
        <v>2641</v>
      </c>
      <c r="D1138" t="s">
        <v>2211</v>
      </c>
      <c r="E1138" t="s">
        <v>2212</v>
      </c>
      <c r="F1138" t="s">
        <v>1634</v>
      </c>
      <c r="H1138" t="s">
        <v>1640</v>
      </c>
    </row>
    <row r="1139" spans="1:8" x14ac:dyDescent="0.25">
      <c r="A1139" t="s">
        <v>2582</v>
      </c>
      <c r="B1139">
        <v>1138</v>
      </c>
      <c r="C1139" t="s">
        <v>1057</v>
      </c>
      <c r="D1139" t="s">
        <v>196</v>
      </c>
      <c r="E1139" t="s">
        <v>2215</v>
      </c>
      <c r="F1139" t="s">
        <v>1634</v>
      </c>
      <c r="H1139" t="s">
        <v>1643</v>
      </c>
    </row>
    <row r="1140" spans="1:8" x14ac:dyDescent="0.25">
      <c r="A1140" t="s">
        <v>2216</v>
      </c>
      <c r="B1140">
        <v>1139</v>
      </c>
      <c r="C1140" t="s">
        <v>2641</v>
      </c>
      <c r="D1140" t="s">
        <v>2214</v>
      </c>
      <c r="E1140" t="s">
        <v>2215</v>
      </c>
      <c r="F1140" t="s">
        <v>1634</v>
      </c>
      <c r="H1140" t="s">
        <v>1640</v>
      </c>
    </row>
    <row r="1141" spans="1:8" x14ac:dyDescent="0.25">
      <c r="A1141" t="s">
        <v>2583</v>
      </c>
      <c r="B1141">
        <v>1140</v>
      </c>
      <c r="C1141" t="s">
        <v>1057</v>
      </c>
      <c r="D1141" t="s">
        <v>196</v>
      </c>
      <c r="E1141" t="s">
        <v>2218</v>
      </c>
      <c r="F1141" t="s">
        <v>1634</v>
      </c>
      <c r="H1141" t="s">
        <v>1643</v>
      </c>
    </row>
    <row r="1142" spans="1:8" x14ac:dyDescent="0.25">
      <c r="A1142" t="s">
        <v>2219</v>
      </c>
      <c r="B1142">
        <v>1141</v>
      </c>
      <c r="C1142" t="s">
        <v>2641</v>
      </c>
      <c r="D1142" t="s">
        <v>2217</v>
      </c>
      <c r="E1142" t="s">
        <v>2218</v>
      </c>
      <c r="F1142" t="s">
        <v>1634</v>
      </c>
      <c r="H1142" t="s">
        <v>1640</v>
      </c>
    </row>
    <row r="1143" spans="1:8" x14ac:dyDescent="0.25">
      <c r="A1143" t="s">
        <v>2584</v>
      </c>
      <c r="B1143">
        <v>1142</v>
      </c>
      <c r="C1143" t="s">
        <v>1057</v>
      </c>
      <c r="D1143" t="s">
        <v>196</v>
      </c>
      <c r="E1143" t="s">
        <v>2221</v>
      </c>
      <c r="F1143" t="s">
        <v>1634</v>
      </c>
      <c r="H1143" t="s">
        <v>1643</v>
      </c>
    </row>
    <row r="1144" spans="1:8" x14ac:dyDescent="0.25">
      <c r="A1144" t="s">
        <v>2222</v>
      </c>
      <c r="B1144">
        <v>1143</v>
      </c>
      <c r="C1144" t="s">
        <v>2641</v>
      </c>
      <c r="D1144" t="s">
        <v>2220</v>
      </c>
      <c r="E1144" t="s">
        <v>2221</v>
      </c>
      <c r="F1144" t="s">
        <v>1634</v>
      </c>
      <c r="H1144" t="s">
        <v>1640</v>
      </c>
    </row>
    <row r="1145" spans="1:8" x14ac:dyDescent="0.25">
      <c r="A1145" t="s">
        <v>2585</v>
      </c>
      <c r="B1145">
        <v>1144</v>
      </c>
      <c r="C1145" t="s">
        <v>1057</v>
      </c>
      <c r="D1145" t="s">
        <v>196</v>
      </c>
      <c r="E1145" t="s">
        <v>2224</v>
      </c>
      <c r="F1145" t="s">
        <v>1634</v>
      </c>
      <c r="H1145" t="s">
        <v>1643</v>
      </c>
    </row>
    <row r="1146" spans="1:8" x14ac:dyDescent="0.25">
      <c r="A1146" t="s">
        <v>2225</v>
      </c>
      <c r="B1146">
        <v>1145</v>
      </c>
      <c r="C1146" t="s">
        <v>2641</v>
      </c>
      <c r="D1146" t="s">
        <v>2223</v>
      </c>
      <c r="E1146" t="s">
        <v>2224</v>
      </c>
      <c r="F1146" t="s">
        <v>1634</v>
      </c>
      <c r="H1146" t="s">
        <v>1640</v>
      </c>
    </row>
    <row r="1147" spans="1:8" x14ac:dyDescent="0.25">
      <c r="A1147" t="s">
        <v>2586</v>
      </c>
      <c r="B1147">
        <v>1146</v>
      </c>
      <c r="C1147" t="s">
        <v>1057</v>
      </c>
      <c r="D1147" t="s">
        <v>196</v>
      </c>
      <c r="E1147" t="s">
        <v>2227</v>
      </c>
      <c r="F1147" t="s">
        <v>1634</v>
      </c>
      <c r="H1147" t="s">
        <v>1643</v>
      </c>
    </row>
    <row r="1148" spans="1:8" x14ac:dyDescent="0.25">
      <c r="A1148" t="s">
        <v>2228</v>
      </c>
      <c r="B1148">
        <v>1147</v>
      </c>
      <c r="C1148" t="s">
        <v>2641</v>
      </c>
      <c r="D1148" t="s">
        <v>2226</v>
      </c>
      <c r="E1148" t="s">
        <v>2227</v>
      </c>
      <c r="F1148" t="s">
        <v>1634</v>
      </c>
      <c r="H1148" t="s">
        <v>1640</v>
      </c>
    </row>
    <row r="1149" spans="1:8" x14ac:dyDescent="0.25">
      <c r="A1149" t="s">
        <v>2587</v>
      </c>
      <c r="B1149">
        <v>1148</v>
      </c>
      <c r="C1149" t="s">
        <v>1057</v>
      </c>
      <c r="D1149" t="s">
        <v>196</v>
      </c>
      <c r="E1149" t="s">
        <v>2230</v>
      </c>
      <c r="F1149" t="s">
        <v>1634</v>
      </c>
      <c r="H1149" t="s">
        <v>1643</v>
      </c>
    </row>
    <row r="1150" spans="1:8" x14ac:dyDescent="0.25">
      <c r="A1150" t="s">
        <v>2231</v>
      </c>
      <c r="B1150">
        <v>1149</v>
      </c>
      <c r="C1150" t="s">
        <v>2641</v>
      </c>
      <c r="D1150" t="s">
        <v>2229</v>
      </c>
      <c r="E1150" t="s">
        <v>2230</v>
      </c>
      <c r="F1150" t="s">
        <v>1634</v>
      </c>
      <c r="H1150" t="s">
        <v>1640</v>
      </c>
    </row>
    <row r="1151" spans="1:8" x14ac:dyDescent="0.25">
      <c r="A1151" t="s">
        <v>2588</v>
      </c>
      <c r="B1151">
        <v>1150</v>
      </c>
      <c r="C1151" t="s">
        <v>1057</v>
      </c>
      <c r="D1151" t="s">
        <v>196</v>
      </c>
      <c r="E1151" t="s">
        <v>2233</v>
      </c>
      <c r="F1151" t="s">
        <v>1634</v>
      </c>
      <c r="H1151" t="s">
        <v>1643</v>
      </c>
    </row>
    <row r="1152" spans="1:8" x14ac:dyDescent="0.25">
      <c r="A1152" t="s">
        <v>2234</v>
      </c>
      <c r="B1152">
        <v>1151</v>
      </c>
      <c r="C1152" t="s">
        <v>2641</v>
      </c>
      <c r="D1152" t="s">
        <v>2232</v>
      </c>
      <c r="E1152" t="s">
        <v>2233</v>
      </c>
      <c r="F1152" t="s">
        <v>1634</v>
      </c>
      <c r="H1152" t="s">
        <v>1640</v>
      </c>
    </row>
    <row r="1153" spans="1:8" x14ac:dyDescent="0.25">
      <c r="A1153" t="s">
        <v>2589</v>
      </c>
      <c r="B1153">
        <v>1152</v>
      </c>
      <c r="C1153" t="s">
        <v>1057</v>
      </c>
      <c r="D1153" t="s">
        <v>196</v>
      </c>
      <c r="E1153" t="s">
        <v>2236</v>
      </c>
      <c r="F1153" t="s">
        <v>1634</v>
      </c>
      <c r="H1153" t="s">
        <v>1643</v>
      </c>
    </row>
    <row r="1154" spans="1:8" x14ac:dyDescent="0.25">
      <c r="A1154" t="s">
        <v>2237</v>
      </c>
      <c r="B1154">
        <v>1153</v>
      </c>
      <c r="C1154" t="s">
        <v>2641</v>
      </c>
      <c r="D1154" t="s">
        <v>2235</v>
      </c>
      <c r="E1154" t="s">
        <v>2236</v>
      </c>
      <c r="F1154" t="s">
        <v>1634</v>
      </c>
      <c r="H1154" t="s">
        <v>1640</v>
      </c>
    </row>
    <row r="1155" spans="1:8" x14ac:dyDescent="0.25">
      <c r="A1155" t="s">
        <v>2590</v>
      </c>
      <c r="B1155">
        <v>1154</v>
      </c>
      <c r="C1155" t="s">
        <v>1057</v>
      </c>
      <c r="D1155" t="s">
        <v>196</v>
      </c>
      <c r="E1155" t="s">
        <v>2239</v>
      </c>
      <c r="F1155" t="s">
        <v>1634</v>
      </c>
      <c r="H1155" t="s">
        <v>1643</v>
      </c>
    </row>
    <row r="1156" spans="1:8" x14ac:dyDescent="0.25">
      <c r="A1156" t="s">
        <v>2240</v>
      </c>
      <c r="B1156">
        <v>1155</v>
      </c>
      <c r="C1156" t="s">
        <v>2641</v>
      </c>
      <c r="D1156" t="s">
        <v>2238</v>
      </c>
      <c r="E1156" t="s">
        <v>2239</v>
      </c>
      <c r="F1156" t="s">
        <v>1634</v>
      </c>
      <c r="H1156" t="s">
        <v>1640</v>
      </c>
    </row>
    <row r="1157" spans="1:8" x14ac:dyDescent="0.25">
      <c r="A1157" t="s">
        <v>2591</v>
      </c>
      <c r="B1157">
        <v>1156</v>
      </c>
      <c r="C1157" t="s">
        <v>1057</v>
      </c>
      <c r="D1157" t="s">
        <v>196</v>
      </c>
      <c r="E1157" t="s">
        <v>2242</v>
      </c>
      <c r="F1157" t="s">
        <v>1634</v>
      </c>
      <c r="H1157" t="s">
        <v>1643</v>
      </c>
    </row>
    <row r="1158" spans="1:8" x14ac:dyDescent="0.25">
      <c r="A1158" t="s">
        <v>2243</v>
      </c>
      <c r="B1158">
        <v>1157</v>
      </c>
      <c r="C1158" t="s">
        <v>2641</v>
      </c>
      <c r="D1158" t="s">
        <v>2241</v>
      </c>
      <c r="E1158" t="s">
        <v>2242</v>
      </c>
      <c r="F1158" t="s">
        <v>1634</v>
      </c>
      <c r="H1158" t="s">
        <v>1640</v>
      </c>
    </row>
    <row r="1159" spans="1:8" x14ac:dyDescent="0.25">
      <c r="A1159" t="s">
        <v>2592</v>
      </c>
      <c r="B1159">
        <v>1158</v>
      </c>
      <c r="C1159" t="s">
        <v>1057</v>
      </c>
      <c r="D1159" t="s">
        <v>196</v>
      </c>
      <c r="E1159" t="s">
        <v>2245</v>
      </c>
      <c r="F1159" t="s">
        <v>1634</v>
      </c>
      <c r="H1159" t="s">
        <v>1643</v>
      </c>
    </row>
    <row r="1160" spans="1:8" x14ac:dyDescent="0.25">
      <c r="A1160" t="s">
        <v>2246</v>
      </c>
      <c r="B1160">
        <v>1159</v>
      </c>
      <c r="C1160" t="s">
        <v>2641</v>
      </c>
      <c r="D1160" t="s">
        <v>2244</v>
      </c>
      <c r="E1160" t="s">
        <v>2245</v>
      </c>
      <c r="F1160" t="s">
        <v>1634</v>
      </c>
      <c r="H1160" t="s">
        <v>1640</v>
      </c>
    </row>
    <row r="1161" spans="1:8" x14ac:dyDescent="0.25">
      <c r="A1161" t="s">
        <v>2593</v>
      </c>
      <c r="B1161">
        <v>1160</v>
      </c>
      <c r="C1161" t="s">
        <v>1057</v>
      </c>
      <c r="D1161" t="s">
        <v>196</v>
      </c>
      <c r="E1161" t="s">
        <v>2248</v>
      </c>
      <c r="F1161" t="s">
        <v>1634</v>
      </c>
      <c r="H1161" t="s">
        <v>1643</v>
      </c>
    </row>
    <row r="1162" spans="1:8" x14ac:dyDescent="0.25">
      <c r="A1162" t="s">
        <v>2249</v>
      </c>
      <c r="B1162">
        <v>1161</v>
      </c>
      <c r="C1162" t="s">
        <v>2641</v>
      </c>
      <c r="D1162" t="s">
        <v>2247</v>
      </c>
      <c r="E1162" t="s">
        <v>2248</v>
      </c>
      <c r="F1162" t="s">
        <v>1634</v>
      </c>
      <c r="H1162" t="s">
        <v>1640</v>
      </c>
    </row>
    <row r="1163" spans="1:8" x14ac:dyDescent="0.25">
      <c r="A1163" t="s">
        <v>2594</v>
      </c>
      <c r="B1163">
        <v>1162</v>
      </c>
      <c r="C1163" t="s">
        <v>1057</v>
      </c>
      <c r="D1163" t="s">
        <v>196</v>
      </c>
      <c r="E1163" t="s">
        <v>2251</v>
      </c>
      <c r="F1163" t="s">
        <v>1634</v>
      </c>
      <c r="H1163" t="s">
        <v>1643</v>
      </c>
    </row>
    <row r="1164" spans="1:8" x14ac:dyDescent="0.25">
      <c r="A1164" t="s">
        <v>2252</v>
      </c>
      <c r="B1164">
        <v>1163</v>
      </c>
      <c r="C1164" t="s">
        <v>2641</v>
      </c>
      <c r="D1164" t="s">
        <v>2250</v>
      </c>
      <c r="E1164" t="s">
        <v>2251</v>
      </c>
      <c r="F1164" t="s">
        <v>1634</v>
      </c>
      <c r="H1164" t="s">
        <v>1640</v>
      </c>
    </row>
    <row r="1165" spans="1:8" x14ac:dyDescent="0.25">
      <c r="A1165" t="s">
        <v>2595</v>
      </c>
      <c r="B1165">
        <v>1164</v>
      </c>
      <c r="C1165" t="s">
        <v>1057</v>
      </c>
      <c r="D1165" t="s">
        <v>196</v>
      </c>
      <c r="E1165" t="s">
        <v>2254</v>
      </c>
      <c r="F1165" t="s">
        <v>1634</v>
      </c>
      <c r="H1165" t="s">
        <v>1643</v>
      </c>
    </row>
    <row r="1166" spans="1:8" x14ac:dyDescent="0.25">
      <c r="A1166" t="s">
        <v>2255</v>
      </c>
      <c r="B1166">
        <v>1165</v>
      </c>
      <c r="C1166" t="s">
        <v>2641</v>
      </c>
      <c r="D1166" t="s">
        <v>2253</v>
      </c>
      <c r="E1166" t="s">
        <v>2254</v>
      </c>
      <c r="F1166" t="s">
        <v>1634</v>
      </c>
      <c r="H1166" t="s">
        <v>1640</v>
      </c>
    </row>
    <row r="1167" spans="1:8" x14ac:dyDescent="0.25">
      <c r="A1167" t="s">
        <v>2596</v>
      </c>
      <c r="B1167">
        <v>1166</v>
      </c>
      <c r="C1167" t="s">
        <v>1057</v>
      </c>
      <c r="D1167" t="s">
        <v>196</v>
      </c>
      <c r="E1167" t="s">
        <v>2257</v>
      </c>
      <c r="F1167" t="s">
        <v>1634</v>
      </c>
      <c r="H1167" t="s">
        <v>1643</v>
      </c>
    </row>
    <row r="1168" spans="1:8" x14ac:dyDescent="0.25">
      <c r="A1168" t="s">
        <v>2258</v>
      </c>
      <c r="B1168">
        <v>1167</v>
      </c>
      <c r="C1168" t="s">
        <v>2641</v>
      </c>
      <c r="D1168" t="s">
        <v>2256</v>
      </c>
      <c r="E1168" t="s">
        <v>2257</v>
      </c>
      <c r="F1168" t="s">
        <v>1634</v>
      </c>
      <c r="H1168" t="s">
        <v>1640</v>
      </c>
    </row>
    <row r="1169" spans="1:8" x14ac:dyDescent="0.25">
      <c r="A1169" t="s">
        <v>2597</v>
      </c>
      <c r="B1169">
        <v>1168</v>
      </c>
      <c r="C1169" t="s">
        <v>1057</v>
      </c>
      <c r="D1169" t="s">
        <v>196</v>
      </c>
      <c r="E1169" t="s">
        <v>2260</v>
      </c>
      <c r="F1169" t="s">
        <v>1634</v>
      </c>
      <c r="H1169" t="s">
        <v>1643</v>
      </c>
    </row>
    <row r="1170" spans="1:8" x14ac:dyDescent="0.25">
      <c r="A1170" t="s">
        <v>2261</v>
      </c>
      <c r="B1170">
        <v>1169</v>
      </c>
      <c r="C1170" t="s">
        <v>2641</v>
      </c>
      <c r="D1170" t="s">
        <v>2259</v>
      </c>
      <c r="E1170" t="s">
        <v>2260</v>
      </c>
      <c r="F1170" t="s">
        <v>1634</v>
      </c>
      <c r="H1170" t="s">
        <v>1640</v>
      </c>
    </row>
    <row r="1171" spans="1:8" x14ac:dyDescent="0.25">
      <c r="A1171" t="s">
        <v>2598</v>
      </c>
      <c r="B1171">
        <v>1170</v>
      </c>
      <c r="C1171" t="s">
        <v>1057</v>
      </c>
      <c r="D1171" t="s">
        <v>196</v>
      </c>
      <c r="E1171" t="s">
        <v>2263</v>
      </c>
      <c r="F1171" t="s">
        <v>1634</v>
      </c>
      <c r="H1171" t="s">
        <v>1643</v>
      </c>
    </row>
    <row r="1172" spans="1:8" x14ac:dyDescent="0.25">
      <c r="A1172" t="s">
        <v>2264</v>
      </c>
      <c r="B1172">
        <v>1171</v>
      </c>
      <c r="C1172" t="s">
        <v>2641</v>
      </c>
      <c r="D1172" t="s">
        <v>2262</v>
      </c>
      <c r="E1172" t="s">
        <v>2263</v>
      </c>
      <c r="F1172" t="s">
        <v>1634</v>
      </c>
      <c r="H1172" t="s">
        <v>1640</v>
      </c>
    </row>
    <row r="1173" spans="1:8" x14ac:dyDescent="0.25">
      <c r="A1173" t="s">
        <v>2599</v>
      </c>
      <c r="B1173">
        <v>1172</v>
      </c>
      <c r="C1173" t="s">
        <v>1057</v>
      </c>
      <c r="D1173" t="s">
        <v>196</v>
      </c>
      <c r="E1173" t="s">
        <v>2266</v>
      </c>
      <c r="F1173" t="s">
        <v>1634</v>
      </c>
      <c r="H1173" t="s">
        <v>1643</v>
      </c>
    </row>
    <row r="1174" spans="1:8" x14ac:dyDescent="0.25">
      <c r="A1174" t="s">
        <v>2267</v>
      </c>
      <c r="B1174">
        <v>1173</v>
      </c>
      <c r="C1174" t="s">
        <v>2641</v>
      </c>
      <c r="D1174" t="s">
        <v>2265</v>
      </c>
      <c r="E1174" t="s">
        <v>2266</v>
      </c>
      <c r="F1174" t="s">
        <v>1634</v>
      </c>
      <c r="H1174" t="s">
        <v>1640</v>
      </c>
    </row>
    <row r="1175" spans="1:8" x14ac:dyDescent="0.25">
      <c r="A1175" t="s">
        <v>2600</v>
      </c>
      <c r="B1175">
        <v>1174</v>
      </c>
      <c r="C1175" t="s">
        <v>1057</v>
      </c>
      <c r="D1175" t="s">
        <v>196</v>
      </c>
      <c r="E1175" t="s">
        <v>2269</v>
      </c>
      <c r="F1175" t="s">
        <v>1634</v>
      </c>
      <c r="H1175" t="s">
        <v>1643</v>
      </c>
    </row>
    <row r="1176" spans="1:8" x14ac:dyDescent="0.25">
      <c r="A1176" t="s">
        <v>2270</v>
      </c>
      <c r="B1176">
        <v>1175</v>
      </c>
      <c r="C1176" t="s">
        <v>2641</v>
      </c>
      <c r="D1176" t="s">
        <v>2268</v>
      </c>
      <c r="E1176" t="s">
        <v>2269</v>
      </c>
      <c r="F1176" t="s">
        <v>1634</v>
      </c>
      <c r="H1176" t="s">
        <v>1640</v>
      </c>
    </row>
    <row r="1177" spans="1:8" x14ac:dyDescent="0.25">
      <c r="A1177" t="s">
        <v>2601</v>
      </c>
      <c r="B1177">
        <v>1176</v>
      </c>
      <c r="C1177" t="s">
        <v>1057</v>
      </c>
      <c r="D1177" t="s">
        <v>196</v>
      </c>
      <c r="E1177" t="s">
        <v>2272</v>
      </c>
      <c r="F1177" t="s">
        <v>1634</v>
      </c>
      <c r="H1177" t="s">
        <v>1643</v>
      </c>
    </row>
    <row r="1178" spans="1:8" x14ac:dyDescent="0.25">
      <c r="A1178" t="s">
        <v>2273</v>
      </c>
      <c r="B1178">
        <v>1177</v>
      </c>
      <c r="C1178" t="s">
        <v>2641</v>
      </c>
      <c r="D1178" t="s">
        <v>2271</v>
      </c>
      <c r="E1178" t="s">
        <v>2272</v>
      </c>
      <c r="F1178" t="s">
        <v>1634</v>
      </c>
      <c r="H1178" t="s">
        <v>1640</v>
      </c>
    </row>
    <row r="1179" spans="1:8" x14ac:dyDescent="0.25">
      <c r="A1179" t="s">
        <v>2602</v>
      </c>
      <c r="B1179">
        <v>1178</v>
      </c>
      <c r="C1179" t="s">
        <v>1057</v>
      </c>
      <c r="D1179" t="s">
        <v>196</v>
      </c>
      <c r="E1179" t="s">
        <v>2275</v>
      </c>
      <c r="F1179" t="s">
        <v>1634</v>
      </c>
      <c r="H1179" t="s">
        <v>1643</v>
      </c>
    </row>
    <row r="1180" spans="1:8" x14ac:dyDescent="0.25">
      <c r="A1180" t="s">
        <v>2276</v>
      </c>
      <c r="B1180">
        <v>1179</v>
      </c>
      <c r="C1180" t="s">
        <v>2641</v>
      </c>
      <c r="D1180" t="s">
        <v>2274</v>
      </c>
      <c r="E1180" t="s">
        <v>2275</v>
      </c>
      <c r="F1180" t="s">
        <v>1634</v>
      </c>
      <c r="H1180" t="s">
        <v>1640</v>
      </c>
    </row>
    <row r="1181" spans="1:8" x14ac:dyDescent="0.25">
      <c r="A1181" t="s">
        <v>2603</v>
      </c>
      <c r="B1181">
        <v>1180</v>
      </c>
      <c r="C1181" t="s">
        <v>1057</v>
      </c>
      <c r="D1181" t="s">
        <v>196</v>
      </c>
      <c r="E1181" t="s">
        <v>2278</v>
      </c>
      <c r="F1181" t="s">
        <v>1634</v>
      </c>
      <c r="H1181" t="s">
        <v>1643</v>
      </c>
    </row>
    <row r="1182" spans="1:8" x14ac:dyDescent="0.25">
      <c r="A1182" t="s">
        <v>2279</v>
      </c>
      <c r="B1182">
        <v>1181</v>
      </c>
      <c r="C1182" t="s">
        <v>2641</v>
      </c>
      <c r="D1182" t="s">
        <v>2277</v>
      </c>
      <c r="E1182" t="s">
        <v>2278</v>
      </c>
      <c r="F1182" t="s">
        <v>1634</v>
      </c>
      <c r="H1182" t="s">
        <v>1640</v>
      </c>
    </row>
    <row r="1183" spans="1:8" x14ac:dyDescent="0.25">
      <c r="A1183" t="s">
        <v>2604</v>
      </c>
      <c r="B1183">
        <v>1182</v>
      </c>
      <c r="C1183" t="s">
        <v>1057</v>
      </c>
      <c r="D1183" t="s">
        <v>196</v>
      </c>
      <c r="E1183" t="s">
        <v>2281</v>
      </c>
      <c r="F1183" t="s">
        <v>1634</v>
      </c>
      <c r="H1183" t="s">
        <v>1643</v>
      </c>
    </row>
    <row r="1184" spans="1:8" x14ac:dyDescent="0.25">
      <c r="A1184" t="s">
        <v>2282</v>
      </c>
      <c r="B1184">
        <v>1183</v>
      </c>
      <c r="C1184" t="s">
        <v>2641</v>
      </c>
      <c r="D1184" t="s">
        <v>2280</v>
      </c>
      <c r="E1184" t="s">
        <v>2281</v>
      </c>
      <c r="F1184" t="s">
        <v>1634</v>
      </c>
      <c r="H1184" t="s">
        <v>1640</v>
      </c>
    </row>
    <row r="1185" spans="1:8" x14ac:dyDescent="0.25">
      <c r="A1185" t="s">
        <v>2605</v>
      </c>
      <c r="B1185">
        <v>1184</v>
      </c>
      <c r="C1185" t="s">
        <v>1057</v>
      </c>
      <c r="D1185" t="s">
        <v>196</v>
      </c>
      <c r="E1185" t="s">
        <v>2284</v>
      </c>
      <c r="F1185" t="s">
        <v>1634</v>
      </c>
      <c r="H1185" t="s">
        <v>1643</v>
      </c>
    </row>
    <row r="1186" spans="1:8" x14ac:dyDescent="0.25">
      <c r="A1186" t="s">
        <v>2285</v>
      </c>
      <c r="B1186">
        <v>1185</v>
      </c>
      <c r="C1186" t="s">
        <v>2641</v>
      </c>
      <c r="D1186" t="s">
        <v>2283</v>
      </c>
      <c r="E1186" t="s">
        <v>2284</v>
      </c>
      <c r="F1186" t="s">
        <v>1634</v>
      </c>
      <c r="H1186" t="s">
        <v>1640</v>
      </c>
    </row>
    <row r="1187" spans="1:8" x14ac:dyDescent="0.25">
      <c r="A1187" t="s">
        <v>2606</v>
      </c>
      <c r="B1187">
        <v>1186</v>
      </c>
      <c r="C1187" t="s">
        <v>1057</v>
      </c>
      <c r="D1187" t="s">
        <v>196</v>
      </c>
      <c r="E1187" t="s">
        <v>2287</v>
      </c>
      <c r="F1187" t="s">
        <v>1634</v>
      </c>
      <c r="H1187" t="s">
        <v>1643</v>
      </c>
    </row>
    <row r="1188" spans="1:8" x14ac:dyDescent="0.25">
      <c r="A1188" t="s">
        <v>2288</v>
      </c>
      <c r="B1188">
        <v>1187</v>
      </c>
      <c r="C1188" t="s">
        <v>2641</v>
      </c>
      <c r="D1188" t="s">
        <v>2286</v>
      </c>
      <c r="E1188" t="s">
        <v>2287</v>
      </c>
      <c r="F1188" t="s">
        <v>1634</v>
      </c>
      <c r="H1188" t="s">
        <v>1640</v>
      </c>
    </row>
    <row r="1189" spans="1:8" x14ac:dyDescent="0.25">
      <c r="A1189" t="s">
        <v>2607</v>
      </c>
      <c r="B1189">
        <v>1188</v>
      </c>
      <c r="C1189" t="s">
        <v>1057</v>
      </c>
      <c r="D1189" t="s">
        <v>196</v>
      </c>
      <c r="E1189" t="s">
        <v>2290</v>
      </c>
      <c r="F1189" t="s">
        <v>1634</v>
      </c>
      <c r="H1189" t="s">
        <v>1643</v>
      </c>
    </row>
    <row r="1190" spans="1:8" x14ac:dyDescent="0.25">
      <c r="A1190" t="s">
        <v>2291</v>
      </c>
      <c r="B1190">
        <v>1189</v>
      </c>
      <c r="C1190" t="s">
        <v>2641</v>
      </c>
      <c r="D1190" t="s">
        <v>2289</v>
      </c>
      <c r="E1190" t="s">
        <v>2290</v>
      </c>
      <c r="F1190" t="s">
        <v>1634</v>
      </c>
      <c r="H1190" t="s">
        <v>1640</v>
      </c>
    </row>
    <row r="1191" spans="1:8" x14ac:dyDescent="0.25">
      <c r="A1191" t="s">
        <v>2608</v>
      </c>
      <c r="B1191">
        <v>1190</v>
      </c>
      <c r="C1191" t="s">
        <v>1057</v>
      </c>
      <c r="D1191" t="s">
        <v>196</v>
      </c>
      <c r="E1191" t="s">
        <v>2293</v>
      </c>
      <c r="F1191" t="s">
        <v>1634</v>
      </c>
      <c r="H1191" t="s">
        <v>1643</v>
      </c>
    </row>
    <row r="1192" spans="1:8" x14ac:dyDescent="0.25">
      <c r="A1192" t="s">
        <v>2294</v>
      </c>
      <c r="B1192">
        <v>1191</v>
      </c>
      <c r="C1192" t="s">
        <v>2641</v>
      </c>
      <c r="D1192" t="s">
        <v>2292</v>
      </c>
      <c r="E1192" t="s">
        <v>2293</v>
      </c>
      <c r="F1192" t="s">
        <v>1634</v>
      </c>
      <c r="H1192" t="s">
        <v>1640</v>
      </c>
    </row>
    <row r="1193" spans="1:8" x14ac:dyDescent="0.25">
      <c r="A1193" t="s">
        <v>2609</v>
      </c>
      <c r="B1193">
        <v>1192</v>
      </c>
      <c r="C1193" t="s">
        <v>1057</v>
      </c>
      <c r="D1193" t="s">
        <v>196</v>
      </c>
      <c r="E1193" t="s">
        <v>2296</v>
      </c>
      <c r="F1193" t="s">
        <v>1634</v>
      </c>
      <c r="H1193" t="s">
        <v>1643</v>
      </c>
    </row>
    <row r="1194" spans="1:8" x14ac:dyDescent="0.25">
      <c r="A1194" t="s">
        <v>2297</v>
      </c>
      <c r="B1194">
        <v>1193</v>
      </c>
      <c r="C1194" t="s">
        <v>2641</v>
      </c>
      <c r="D1194" t="s">
        <v>2295</v>
      </c>
      <c r="E1194" t="s">
        <v>2296</v>
      </c>
      <c r="F1194" t="s">
        <v>1634</v>
      </c>
      <c r="H1194" t="s">
        <v>1640</v>
      </c>
    </row>
    <row r="1195" spans="1:8" x14ac:dyDescent="0.25">
      <c r="A1195" t="s">
        <v>2299</v>
      </c>
      <c r="B1195">
        <v>1194</v>
      </c>
      <c r="C1195" t="s">
        <v>2641</v>
      </c>
      <c r="D1195" t="s">
        <v>2298</v>
      </c>
      <c r="E1195" t="s">
        <v>196</v>
      </c>
      <c r="F1195" t="s">
        <v>1634</v>
      </c>
      <c r="H1195" t="s">
        <v>1640</v>
      </c>
    </row>
    <row r="1196" spans="1:8" x14ac:dyDescent="0.25">
      <c r="A1196" t="s">
        <v>2610</v>
      </c>
      <c r="B1196">
        <v>1195</v>
      </c>
      <c r="C1196" t="s">
        <v>1057</v>
      </c>
      <c r="D1196" t="s">
        <v>196</v>
      </c>
      <c r="E1196" t="s">
        <v>2301</v>
      </c>
      <c r="F1196" t="s">
        <v>1634</v>
      </c>
      <c r="H1196" t="s">
        <v>1643</v>
      </c>
    </row>
    <row r="1197" spans="1:8" x14ac:dyDescent="0.25">
      <c r="A1197" t="s">
        <v>2302</v>
      </c>
      <c r="B1197">
        <v>1196</v>
      </c>
      <c r="C1197" t="s">
        <v>2641</v>
      </c>
      <c r="D1197" t="s">
        <v>2300</v>
      </c>
      <c r="E1197" t="s">
        <v>2301</v>
      </c>
      <c r="F1197" t="s">
        <v>1634</v>
      </c>
      <c r="H1197" t="s">
        <v>1640</v>
      </c>
    </row>
    <row r="1198" spans="1:8" x14ac:dyDescent="0.25">
      <c r="A1198" t="s">
        <v>2611</v>
      </c>
      <c r="B1198">
        <v>1197</v>
      </c>
      <c r="C1198" t="s">
        <v>1057</v>
      </c>
      <c r="D1198" t="s">
        <v>196</v>
      </c>
      <c r="E1198" t="s">
        <v>2304</v>
      </c>
      <c r="F1198" t="s">
        <v>1634</v>
      </c>
      <c r="H1198" t="s">
        <v>1643</v>
      </c>
    </row>
    <row r="1199" spans="1:8" x14ac:dyDescent="0.25">
      <c r="A1199" t="s">
        <v>2305</v>
      </c>
      <c r="B1199">
        <v>1198</v>
      </c>
      <c r="C1199" t="s">
        <v>2641</v>
      </c>
      <c r="D1199" t="s">
        <v>2303</v>
      </c>
      <c r="E1199" t="s">
        <v>2304</v>
      </c>
      <c r="F1199" t="s">
        <v>1634</v>
      </c>
      <c r="H1199" t="s">
        <v>1640</v>
      </c>
    </row>
    <row r="1200" spans="1:8" x14ac:dyDescent="0.25">
      <c r="A1200" t="s">
        <v>2612</v>
      </c>
      <c r="B1200">
        <v>1199</v>
      </c>
      <c r="C1200" t="s">
        <v>1057</v>
      </c>
      <c r="D1200" t="s">
        <v>196</v>
      </c>
      <c r="E1200" t="s">
        <v>2307</v>
      </c>
      <c r="F1200" t="s">
        <v>1634</v>
      </c>
      <c r="H1200" t="s">
        <v>1643</v>
      </c>
    </row>
    <row r="1201" spans="1:8" x14ac:dyDescent="0.25">
      <c r="A1201" t="s">
        <v>2308</v>
      </c>
      <c r="B1201">
        <v>1200</v>
      </c>
      <c r="C1201" t="s">
        <v>2641</v>
      </c>
      <c r="D1201" t="s">
        <v>2306</v>
      </c>
      <c r="E1201" t="s">
        <v>2307</v>
      </c>
      <c r="F1201" t="s">
        <v>1634</v>
      </c>
      <c r="H1201" t="s">
        <v>1640</v>
      </c>
    </row>
    <row r="1202" spans="1:8" x14ac:dyDescent="0.25">
      <c r="A1202" t="s">
        <v>2613</v>
      </c>
      <c r="B1202">
        <v>1201</v>
      </c>
      <c r="C1202" t="s">
        <v>1057</v>
      </c>
      <c r="D1202" t="s">
        <v>196</v>
      </c>
      <c r="E1202" t="s">
        <v>2310</v>
      </c>
      <c r="F1202" t="s">
        <v>1634</v>
      </c>
      <c r="H1202" t="s">
        <v>1643</v>
      </c>
    </row>
    <row r="1203" spans="1:8" x14ac:dyDescent="0.25">
      <c r="A1203" t="s">
        <v>2311</v>
      </c>
      <c r="B1203">
        <v>1202</v>
      </c>
      <c r="C1203" t="s">
        <v>2641</v>
      </c>
      <c r="D1203" t="s">
        <v>2309</v>
      </c>
      <c r="E1203" t="s">
        <v>2310</v>
      </c>
      <c r="F1203" t="s">
        <v>1634</v>
      </c>
      <c r="H1203" t="s">
        <v>1640</v>
      </c>
    </row>
    <row r="1204" spans="1:8" x14ac:dyDescent="0.25">
      <c r="A1204" t="s">
        <v>2614</v>
      </c>
      <c r="B1204">
        <v>1203</v>
      </c>
      <c r="C1204" t="s">
        <v>1057</v>
      </c>
      <c r="D1204" t="s">
        <v>196</v>
      </c>
      <c r="E1204" t="s">
        <v>2313</v>
      </c>
      <c r="F1204" t="s">
        <v>1634</v>
      </c>
      <c r="H1204" t="s">
        <v>1643</v>
      </c>
    </row>
    <row r="1205" spans="1:8" x14ac:dyDescent="0.25">
      <c r="A1205" t="s">
        <v>2314</v>
      </c>
      <c r="B1205">
        <v>1204</v>
      </c>
      <c r="C1205" t="s">
        <v>2641</v>
      </c>
      <c r="D1205" t="s">
        <v>2312</v>
      </c>
      <c r="E1205" t="s">
        <v>2313</v>
      </c>
      <c r="F1205" t="s">
        <v>1634</v>
      </c>
      <c r="H1205" t="s">
        <v>1640</v>
      </c>
    </row>
    <row r="1206" spans="1:8" x14ac:dyDescent="0.25">
      <c r="A1206" t="s">
        <v>2615</v>
      </c>
      <c r="B1206">
        <v>1205</v>
      </c>
      <c r="C1206" t="s">
        <v>1057</v>
      </c>
      <c r="D1206" t="s">
        <v>196</v>
      </c>
      <c r="E1206" t="s">
        <v>2316</v>
      </c>
      <c r="F1206" t="s">
        <v>1634</v>
      </c>
      <c r="H1206" t="s">
        <v>1643</v>
      </c>
    </row>
    <row r="1207" spans="1:8" x14ac:dyDescent="0.25">
      <c r="A1207" t="s">
        <v>2317</v>
      </c>
      <c r="B1207">
        <v>1206</v>
      </c>
      <c r="C1207" t="s">
        <v>2641</v>
      </c>
      <c r="D1207" t="s">
        <v>2315</v>
      </c>
      <c r="E1207" t="s">
        <v>2316</v>
      </c>
      <c r="F1207" t="s">
        <v>1634</v>
      </c>
      <c r="H1207" t="s">
        <v>1640</v>
      </c>
    </row>
    <row r="1208" spans="1:8" x14ac:dyDescent="0.25">
      <c r="A1208" t="s">
        <v>2616</v>
      </c>
      <c r="B1208">
        <v>1207</v>
      </c>
      <c r="C1208" t="s">
        <v>1057</v>
      </c>
      <c r="D1208" t="s">
        <v>196</v>
      </c>
      <c r="E1208" t="s">
        <v>2319</v>
      </c>
      <c r="F1208" t="s">
        <v>1634</v>
      </c>
      <c r="H1208" t="s">
        <v>1643</v>
      </c>
    </row>
    <row r="1209" spans="1:8" x14ac:dyDescent="0.25">
      <c r="A1209" t="s">
        <v>2320</v>
      </c>
      <c r="B1209">
        <v>1208</v>
      </c>
      <c r="C1209" t="s">
        <v>2641</v>
      </c>
      <c r="D1209" t="s">
        <v>2318</v>
      </c>
      <c r="E1209" t="s">
        <v>2319</v>
      </c>
      <c r="F1209" t="s">
        <v>1634</v>
      </c>
      <c r="H1209" t="s">
        <v>1640</v>
      </c>
    </row>
    <row r="1210" spans="1:8" x14ac:dyDescent="0.25">
      <c r="A1210" t="s">
        <v>2617</v>
      </c>
      <c r="B1210">
        <v>1209</v>
      </c>
      <c r="C1210" t="s">
        <v>1057</v>
      </c>
      <c r="D1210" t="s">
        <v>196</v>
      </c>
      <c r="E1210" t="s">
        <v>2322</v>
      </c>
      <c r="F1210" t="s">
        <v>1634</v>
      </c>
      <c r="H1210" t="s">
        <v>1643</v>
      </c>
    </row>
    <row r="1211" spans="1:8" x14ac:dyDescent="0.25">
      <c r="A1211" t="s">
        <v>2323</v>
      </c>
      <c r="B1211">
        <v>1210</v>
      </c>
      <c r="C1211" t="s">
        <v>2641</v>
      </c>
      <c r="D1211" t="s">
        <v>2321</v>
      </c>
      <c r="E1211" t="s">
        <v>2322</v>
      </c>
      <c r="F1211" t="s">
        <v>1634</v>
      </c>
      <c r="H1211" t="s">
        <v>1640</v>
      </c>
    </row>
    <row r="1212" spans="1:8" x14ac:dyDescent="0.25">
      <c r="A1212" t="s">
        <v>2618</v>
      </c>
      <c r="B1212">
        <v>1211</v>
      </c>
      <c r="C1212" t="s">
        <v>1057</v>
      </c>
      <c r="D1212" t="s">
        <v>196</v>
      </c>
      <c r="E1212" t="s">
        <v>2325</v>
      </c>
      <c r="F1212" t="s">
        <v>1634</v>
      </c>
      <c r="H1212" t="s">
        <v>1643</v>
      </c>
    </row>
    <row r="1213" spans="1:8" x14ac:dyDescent="0.25">
      <c r="A1213" t="s">
        <v>2326</v>
      </c>
      <c r="B1213">
        <v>1212</v>
      </c>
      <c r="C1213" t="s">
        <v>2641</v>
      </c>
      <c r="D1213" t="s">
        <v>2324</v>
      </c>
      <c r="E1213" t="s">
        <v>2325</v>
      </c>
      <c r="F1213" t="s">
        <v>1634</v>
      </c>
      <c r="H1213" t="s">
        <v>1640</v>
      </c>
    </row>
    <row r="1214" spans="1:8" x14ac:dyDescent="0.25">
      <c r="A1214" t="s">
        <v>2619</v>
      </c>
      <c r="B1214">
        <v>1213</v>
      </c>
      <c r="C1214" t="s">
        <v>1057</v>
      </c>
      <c r="D1214" t="s">
        <v>196</v>
      </c>
      <c r="E1214" t="s">
        <v>2328</v>
      </c>
      <c r="F1214" t="s">
        <v>1634</v>
      </c>
      <c r="H1214" t="s">
        <v>1643</v>
      </c>
    </row>
    <row r="1215" spans="1:8" x14ac:dyDescent="0.25">
      <c r="A1215" t="s">
        <v>2329</v>
      </c>
      <c r="B1215">
        <v>1214</v>
      </c>
      <c r="C1215" t="s">
        <v>2641</v>
      </c>
      <c r="D1215" t="s">
        <v>2327</v>
      </c>
      <c r="E1215" t="s">
        <v>2328</v>
      </c>
      <c r="F1215" t="s">
        <v>1634</v>
      </c>
      <c r="H1215" t="s">
        <v>1640</v>
      </c>
    </row>
    <row r="1216" spans="1:8" x14ac:dyDescent="0.25">
      <c r="A1216" t="s">
        <v>2620</v>
      </c>
      <c r="B1216">
        <v>1215</v>
      </c>
      <c r="C1216" t="s">
        <v>1057</v>
      </c>
      <c r="D1216" t="s">
        <v>196</v>
      </c>
      <c r="E1216" t="s">
        <v>2331</v>
      </c>
      <c r="F1216" t="s">
        <v>1634</v>
      </c>
      <c r="H1216" t="s">
        <v>1643</v>
      </c>
    </row>
    <row r="1217" spans="1:8" x14ac:dyDescent="0.25">
      <c r="A1217" t="s">
        <v>2332</v>
      </c>
      <c r="B1217">
        <v>1216</v>
      </c>
      <c r="C1217" t="s">
        <v>2641</v>
      </c>
      <c r="D1217" t="s">
        <v>2330</v>
      </c>
      <c r="E1217" t="s">
        <v>2331</v>
      </c>
      <c r="F1217" t="s">
        <v>1634</v>
      </c>
      <c r="H1217" t="s">
        <v>1640</v>
      </c>
    </row>
    <row r="1218" spans="1:8" x14ac:dyDescent="0.25">
      <c r="A1218" t="s">
        <v>2621</v>
      </c>
      <c r="B1218">
        <v>1217</v>
      </c>
      <c r="C1218" t="s">
        <v>1057</v>
      </c>
      <c r="D1218" t="s">
        <v>196</v>
      </c>
      <c r="E1218" t="s">
        <v>2334</v>
      </c>
      <c r="F1218" t="s">
        <v>1634</v>
      </c>
      <c r="H1218" t="s">
        <v>1643</v>
      </c>
    </row>
    <row r="1219" spans="1:8" x14ac:dyDescent="0.25">
      <c r="A1219" t="s">
        <v>2335</v>
      </c>
      <c r="B1219">
        <v>1218</v>
      </c>
      <c r="C1219" t="s">
        <v>2641</v>
      </c>
      <c r="D1219" t="s">
        <v>2333</v>
      </c>
      <c r="E1219" t="s">
        <v>2334</v>
      </c>
      <c r="F1219" t="s">
        <v>1634</v>
      </c>
      <c r="H1219" t="s">
        <v>1640</v>
      </c>
    </row>
    <row r="1220" spans="1:8" x14ac:dyDescent="0.25">
      <c r="A1220" t="s">
        <v>2622</v>
      </c>
      <c r="B1220">
        <v>1219</v>
      </c>
      <c r="C1220" t="s">
        <v>1057</v>
      </c>
      <c r="D1220" t="s">
        <v>196</v>
      </c>
      <c r="E1220" t="s">
        <v>2337</v>
      </c>
      <c r="F1220" t="s">
        <v>1634</v>
      </c>
      <c r="H1220" t="s">
        <v>1643</v>
      </c>
    </row>
    <row r="1221" spans="1:8" x14ac:dyDescent="0.25">
      <c r="A1221" t="s">
        <v>2338</v>
      </c>
      <c r="B1221">
        <v>1220</v>
      </c>
      <c r="C1221" t="s">
        <v>2641</v>
      </c>
      <c r="D1221" t="s">
        <v>2336</v>
      </c>
      <c r="E1221" t="s">
        <v>2337</v>
      </c>
      <c r="F1221" t="s">
        <v>1634</v>
      </c>
      <c r="H1221" t="s">
        <v>1640</v>
      </c>
    </row>
    <row r="1222" spans="1:8" x14ac:dyDescent="0.25">
      <c r="A1222" t="s">
        <v>2623</v>
      </c>
      <c r="B1222">
        <v>1221</v>
      </c>
      <c r="C1222" t="s">
        <v>1057</v>
      </c>
      <c r="D1222" t="s">
        <v>196</v>
      </c>
      <c r="E1222" t="s">
        <v>2340</v>
      </c>
      <c r="F1222" t="s">
        <v>1634</v>
      </c>
      <c r="H1222" t="s">
        <v>1643</v>
      </c>
    </row>
    <row r="1223" spans="1:8" x14ac:dyDescent="0.25">
      <c r="A1223" t="s">
        <v>2341</v>
      </c>
      <c r="B1223">
        <v>1222</v>
      </c>
      <c r="C1223" t="s">
        <v>2641</v>
      </c>
      <c r="D1223" t="s">
        <v>2339</v>
      </c>
      <c r="E1223" t="s">
        <v>2340</v>
      </c>
      <c r="F1223" t="s">
        <v>1634</v>
      </c>
      <c r="H1223" t="s">
        <v>1640</v>
      </c>
    </row>
    <row r="1224" spans="1:8" x14ac:dyDescent="0.25">
      <c r="A1224" t="s">
        <v>2624</v>
      </c>
      <c r="B1224">
        <v>1223</v>
      </c>
      <c r="C1224" t="s">
        <v>1057</v>
      </c>
      <c r="D1224" t="s">
        <v>196</v>
      </c>
      <c r="E1224" t="s">
        <v>2343</v>
      </c>
      <c r="F1224" t="s">
        <v>1634</v>
      </c>
      <c r="H1224" t="s">
        <v>1643</v>
      </c>
    </row>
    <row r="1225" spans="1:8" x14ac:dyDescent="0.25">
      <c r="A1225" t="s">
        <v>2344</v>
      </c>
      <c r="B1225">
        <v>1224</v>
      </c>
      <c r="C1225" t="s">
        <v>2641</v>
      </c>
      <c r="D1225" t="s">
        <v>2342</v>
      </c>
      <c r="E1225" t="s">
        <v>2343</v>
      </c>
      <c r="F1225" t="s">
        <v>1634</v>
      </c>
      <c r="H1225" t="s">
        <v>1640</v>
      </c>
    </row>
    <row r="1226" spans="1:8" x14ac:dyDescent="0.25">
      <c r="A1226" t="s">
        <v>2625</v>
      </c>
      <c r="B1226">
        <v>1225</v>
      </c>
      <c r="C1226" t="s">
        <v>1057</v>
      </c>
      <c r="D1226" t="s">
        <v>196</v>
      </c>
      <c r="E1226" t="s">
        <v>2346</v>
      </c>
      <c r="F1226" t="s">
        <v>1634</v>
      </c>
      <c r="H1226" t="s">
        <v>1643</v>
      </c>
    </row>
    <row r="1227" spans="1:8" x14ac:dyDescent="0.25">
      <c r="A1227" t="s">
        <v>2347</v>
      </c>
      <c r="B1227">
        <v>1226</v>
      </c>
      <c r="C1227" t="s">
        <v>2641</v>
      </c>
      <c r="D1227" t="s">
        <v>2345</v>
      </c>
      <c r="E1227" t="s">
        <v>2346</v>
      </c>
      <c r="F1227" t="s">
        <v>1634</v>
      </c>
      <c r="H1227" t="s">
        <v>1640</v>
      </c>
    </row>
    <row r="1228" spans="1:8" x14ac:dyDescent="0.25">
      <c r="A1228" t="s">
        <v>2626</v>
      </c>
      <c r="B1228">
        <v>1227</v>
      </c>
      <c r="C1228" t="s">
        <v>1057</v>
      </c>
      <c r="D1228" t="s">
        <v>196</v>
      </c>
      <c r="E1228" t="s">
        <v>2349</v>
      </c>
      <c r="F1228" t="s">
        <v>1634</v>
      </c>
      <c r="H1228" t="s">
        <v>1643</v>
      </c>
    </row>
    <row r="1229" spans="1:8" x14ac:dyDescent="0.25">
      <c r="A1229" t="s">
        <v>2350</v>
      </c>
      <c r="B1229">
        <v>1228</v>
      </c>
      <c r="C1229" t="s">
        <v>2641</v>
      </c>
      <c r="D1229" t="s">
        <v>2348</v>
      </c>
      <c r="E1229" t="s">
        <v>2349</v>
      </c>
      <c r="F1229" t="s">
        <v>1634</v>
      </c>
      <c r="H1229" t="s">
        <v>1640</v>
      </c>
    </row>
    <row r="1230" spans="1:8" x14ac:dyDescent="0.25">
      <c r="A1230" t="s">
        <v>2627</v>
      </c>
      <c r="B1230">
        <v>1229</v>
      </c>
      <c r="C1230" t="s">
        <v>1057</v>
      </c>
      <c r="D1230" t="s">
        <v>196</v>
      </c>
      <c r="E1230" t="s">
        <v>2352</v>
      </c>
      <c r="F1230" t="s">
        <v>1634</v>
      </c>
      <c r="H1230" t="s">
        <v>1643</v>
      </c>
    </row>
    <row r="1231" spans="1:8" x14ac:dyDescent="0.25">
      <c r="A1231" t="s">
        <v>2353</v>
      </c>
      <c r="B1231">
        <v>1230</v>
      </c>
      <c r="C1231" t="s">
        <v>2641</v>
      </c>
      <c r="D1231" t="s">
        <v>2351</v>
      </c>
      <c r="E1231" t="s">
        <v>2352</v>
      </c>
      <c r="F1231" t="s">
        <v>1634</v>
      </c>
      <c r="H1231" t="s">
        <v>1640</v>
      </c>
    </row>
    <row r="1232" spans="1:8" x14ac:dyDescent="0.25">
      <c r="A1232" t="s">
        <v>2628</v>
      </c>
      <c r="B1232">
        <v>1231</v>
      </c>
      <c r="C1232" t="s">
        <v>1057</v>
      </c>
      <c r="D1232" t="s">
        <v>196</v>
      </c>
      <c r="E1232" t="s">
        <v>2355</v>
      </c>
      <c r="F1232" t="s">
        <v>1634</v>
      </c>
      <c r="H1232" t="s">
        <v>1643</v>
      </c>
    </row>
    <row r="1233" spans="1:8" x14ac:dyDescent="0.25">
      <c r="A1233" t="s">
        <v>2356</v>
      </c>
      <c r="B1233">
        <v>1232</v>
      </c>
      <c r="C1233" t="s">
        <v>2641</v>
      </c>
      <c r="D1233" t="s">
        <v>2354</v>
      </c>
      <c r="E1233" t="s">
        <v>2355</v>
      </c>
      <c r="F1233" t="s">
        <v>1634</v>
      </c>
      <c r="H1233" t="s">
        <v>1640</v>
      </c>
    </row>
    <row r="1234" spans="1:8" x14ac:dyDescent="0.25">
      <c r="A1234" t="s">
        <v>2629</v>
      </c>
      <c r="B1234">
        <v>1233</v>
      </c>
      <c r="C1234" t="s">
        <v>1057</v>
      </c>
      <c r="D1234" t="s">
        <v>196</v>
      </c>
      <c r="E1234" t="s">
        <v>2358</v>
      </c>
      <c r="F1234" t="s">
        <v>1634</v>
      </c>
      <c r="H1234" t="s">
        <v>1643</v>
      </c>
    </row>
    <row r="1235" spans="1:8" x14ac:dyDescent="0.25">
      <c r="A1235" t="s">
        <v>2359</v>
      </c>
      <c r="B1235">
        <v>1234</v>
      </c>
      <c r="C1235" t="s">
        <v>2641</v>
      </c>
      <c r="D1235" t="s">
        <v>2357</v>
      </c>
      <c r="E1235" t="s">
        <v>2358</v>
      </c>
      <c r="F1235" t="s">
        <v>1634</v>
      </c>
      <c r="H1235" t="s">
        <v>1640</v>
      </c>
    </row>
    <row r="1236" spans="1:8" x14ac:dyDescent="0.25">
      <c r="A1236" t="s">
        <v>2630</v>
      </c>
      <c r="B1236">
        <v>1235</v>
      </c>
      <c r="C1236" t="s">
        <v>1057</v>
      </c>
      <c r="D1236" t="s">
        <v>196</v>
      </c>
      <c r="E1236" t="s">
        <v>2361</v>
      </c>
      <c r="F1236" t="s">
        <v>1634</v>
      </c>
      <c r="H1236" t="s">
        <v>1643</v>
      </c>
    </row>
    <row r="1237" spans="1:8" x14ac:dyDescent="0.25">
      <c r="A1237" t="s">
        <v>2362</v>
      </c>
      <c r="B1237">
        <v>1236</v>
      </c>
      <c r="C1237" t="s">
        <v>2641</v>
      </c>
      <c r="D1237" t="s">
        <v>2360</v>
      </c>
      <c r="E1237" t="s">
        <v>2361</v>
      </c>
      <c r="F1237" t="s">
        <v>1634</v>
      </c>
      <c r="H1237" t="s">
        <v>1640</v>
      </c>
    </row>
    <row r="1238" spans="1:8" x14ac:dyDescent="0.25">
      <c r="A1238" t="s">
        <v>2631</v>
      </c>
      <c r="B1238">
        <v>1237</v>
      </c>
      <c r="C1238" t="s">
        <v>1057</v>
      </c>
      <c r="D1238" t="s">
        <v>196</v>
      </c>
      <c r="E1238" t="s">
        <v>2364</v>
      </c>
      <c r="F1238" t="s">
        <v>1634</v>
      </c>
      <c r="H1238" t="s">
        <v>1643</v>
      </c>
    </row>
    <row r="1239" spans="1:8" x14ac:dyDescent="0.25">
      <c r="A1239" t="s">
        <v>2365</v>
      </c>
      <c r="B1239">
        <v>1238</v>
      </c>
      <c r="C1239" t="s">
        <v>2641</v>
      </c>
      <c r="D1239" t="s">
        <v>2363</v>
      </c>
      <c r="E1239" t="s">
        <v>2364</v>
      </c>
      <c r="F1239" t="s">
        <v>1634</v>
      </c>
      <c r="H1239" t="s">
        <v>1640</v>
      </c>
    </row>
    <row r="1240" spans="1:8" x14ac:dyDescent="0.25">
      <c r="A1240" t="s">
        <v>2632</v>
      </c>
      <c r="B1240">
        <v>1239</v>
      </c>
      <c r="C1240" t="s">
        <v>1057</v>
      </c>
      <c r="D1240" t="s">
        <v>196</v>
      </c>
      <c r="E1240" t="s">
        <v>2367</v>
      </c>
      <c r="F1240" t="s">
        <v>1634</v>
      </c>
      <c r="H1240" t="s">
        <v>1643</v>
      </c>
    </row>
    <row r="1241" spans="1:8" x14ac:dyDescent="0.25">
      <c r="A1241" t="s">
        <v>2368</v>
      </c>
      <c r="B1241">
        <v>1240</v>
      </c>
      <c r="C1241" t="s">
        <v>2641</v>
      </c>
      <c r="D1241" t="s">
        <v>2366</v>
      </c>
      <c r="E1241" t="s">
        <v>2367</v>
      </c>
      <c r="F1241" t="s">
        <v>1634</v>
      </c>
      <c r="H1241" t="s">
        <v>1640</v>
      </c>
    </row>
    <row r="1242" spans="1:8" x14ac:dyDescent="0.25">
      <c r="A1242" t="s">
        <v>2633</v>
      </c>
      <c r="B1242">
        <v>1241</v>
      </c>
      <c r="C1242" t="s">
        <v>1057</v>
      </c>
      <c r="D1242" t="s">
        <v>196</v>
      </c>
      <c r="E1242" t="s">
        <v>2370</v>
      </c>
      <c r="F1242" t="s">
        <v>1634</v>
      </c>
      <c r="H1242" t="s">
        <v>1643</v>
      </c>
    </row>
    <row r="1243" spans="1:8" x14ac:dyDescent="0.25">
      <c r="A1243" t="s">
        <v>2371</v>
      </c>
      <c r="B1243">
        <v>1242</v>
      </c>
      <c r="C1243" t="s">
        <v>2641</v>
      </c>
      <c r="D1243" t="s">
        <v>2369</v>
      </c>
      <c r="E1243" t="s">
        <v>2370</v>
      </c>
      <c r="F1243" t="s">
        <v>1634</v>
      </c>
      <c r="H1243" t="s">
        <v>1640</v>
      </c>
    </row>
    <row r="1244" spans="1:8" x14ac:dyDescent="0.25">
      <c r="A1244" t="s">
        <v>2634</v>
      </c>
      <c r="B1244">
        <v>1243</v>
      </c>
      <c r="C1244" t="s">
        <v>1057</v>
      </c>
      <c r="D1244" t="s">
        <v>196</v>
      </c>
      <c r="E1244" t="s">
        <v>2373</v>
      </c>
      <c r="F1244" t="s">
        <v>1634</v>
      </c>
      <c r="H1244" t="s">
        <v>1643</v>
      </c>
    </row>
    <row r="1245" spans="1:8" x14ac:dyDescent="0.25">
      <c r="A1245" t="s">
        <v>2374</v>
      </c>
      <c r="B1245">
        <v>1244</v>
      </c>
      <c r="C1245" t="s">
        <v>2641</v>
      </c>
      <c r="D1245" t="s">
        <v>2372</v>
      </c>
      <c r="E1245" t="s">
        <v>2373</v>
      </c>
      <c r="F1245" t="s">
        <v>1634</v>
      </c>
      <c r="H1245" t="s">
        <v>1640</v>
      </c>
    </row>
    <row r="1246" spans="1:8" x14ac:dyDescent="0.25">
      <c r="A1246" t="s">
        <v>2635</v>
      </c>
      <c r="B1246">
        <v>1245</v>
      </c>
      <c r="C1246" t="s">
        <v>1057</v>
      </c>
      <c r="D1246" t="s">
        <v>196</v>
      </c>
      <c r="E1246" t="s">
        <v>2376</v>
      </c>
      <c r="F1246" t="s">
        <v>1634</v>
      </c>
      <c r="H1246" t="s">
        <v>1643</v>
      </c>
    </row>
    <row r="1247" spans="1:8" x14ac:dyDescent="0.25">
      <c r="A1247" t="s">
        <v>2377</v>
      </c>
      <c r="B1247">
        <v>1246</v>
      </c>
      <c r="C1247" t="s">
        <v>2641</v>
      </c>
      <c r="D1247" t="s">
        <v>2375</v>
      </c>
      <c r="E1247" t="s">
        <v>2376</v>
      </c>
      <c r="F1247" t="s">
        <v>1634</v>
      </c>
      <c r="H1247" t="s">
        <v>1640</v>
      </c>
    </row>
    <row r="1248" spans="1:8" x14ac:dyDescent="0.25">
      <c r="A1248" t="s">
        <v>2636</v>
      </c>
      <c r="B1248">
        <v>1247</v>
      </c>
      <c r="C1248" t="s">
        <v>1057</v>
      </c>
      <c r="D1248" t="s">
        <v>196</v>
      </c>
      <c r="E1248" t="s">
        <v>2379</v>
      </c>
      <c r="F1248" t="s">
        <v>1634</v>
      </c>
      <c r="H1248" t="s">
        <v>1643</v>
      </c>
    </row>
    <row r="1249" spans="1:8" x14ac:dyDescent="0.25">
      <c r="A1249" t="s">
        <v>2380</v>
      </c>
      <c r="B1249">
        <v>1248</v>
      </c>
      <c r="C1249" t="s">
        <v>2641</v>
      </c>
      <c r="D1249" t="s">
        <v>2378</v>
      </c>
      <c r="E1249" t="s">
        <v>2379</v>
      </c>
      <c r="F1249" t="s">
        <v>1634</v>
      </c>
      <c r="H1249" t="s">
        <v>1640</v>
      </c>
    </row>
    <row r="1250" spans="1:8" x14ac:dyDescent="0.25">
      <c r="A1250" t="s">
        <v>2637</v>
      </c>
      <c r="B1250">
        <v>1249</v>
      </c>
      <c r="C1250" t="s">
        <v>1057</v>
      </c>
      <c r="D1250" t="s">
        <v>196</v>
      </c>
      <c r="E1250" t="s">
        <v>2382</v>
      </c>
      <c r="F1250" t="s">
        <v>1634</v>
      </c>
      <c r="H1250" t="s">
        <v>1643</v>
      </c>
    </row>
    <row r="1251" spans="1:8" x14ac:dyDescent="0.25">
      <c r="A1251" t="s">
        <v>2383</v>
      </c>
      <c r="B1251">
        <v>1250</v>
      </c>
      <c r="C1251" t="s">
        <v>2641</v>
      </c>
      <c r="D1251" t="s">
        <v>2381</v>
      </c>
      <c r="E1251" t="s">
        <v>2382</v>
      </c>
      <c r="F1251" t="s">
        <v>1634</v>
      </c>
      <c r="H1251" t="s">
        <v>1640</v>
      </c>
    </row>
    <row r="1252" spans="1:8" x14ac:dyDescent="0.25">
      <c r="A1252" t="s">
        <v>2638</v>
      </c>
      <c r="B1252">
        <v>1251</v>
      </c>
      <c r="C1252" t="s">
        <v>1057</v>
      </c>
      <c r="D1252" t="s">
        <v>196</v>
      </c>
      <c r="E1252" t="s">
        <v>2385</v>
      </c>
      <c r="F1252" t="s">
        <v>1634</v>
      </c>
      <c r="H1252" t="s">
        <v>1643</v>
      </c>
    </row>
    <row r="1253" spans="1:8" x14ac:dyDescent="0.25">
      <c r="A1253" t="s">
        <v>2386</v>
      </c>
      <c r="B1253">
        <v>1252</v>
      </c>
      <c r="C1253" t="s">
        <v>2641</v>
      </c>
      <c r="D1253" t="s">
        <v>2384</v>
      </c>
      <c r="E1253" t="s">
        <v>2385</v>
      </c>
      <c r="F1253" t="s">
        <v>1634</v>
      </c>
      <c r="H1253" t="s">
        <v>1640</v>
      </c>
    </row>
    <row r="1254" spans="1:8" x14ac:dyDescent="0.25">
      <c r="A1254" t="s">
        <v>2639</v>
      </c>
      <c r="B1254">
        <v>1253</v>
      </c>
      <c r="C1254" t="s">
        <v>1057</v>
      </c>
      <c r="D1254" t="s">
        <v>196</v>
      </c>
      <c r="E1254" t="s">
        <v>2388</v>
      </c>
      <c r="F1254" t="s">
        <v>1634</v>
      </c>
      <c r="H1254" t="s">
        <v>1643</v>
      </c>
    </row>
    <row r="1255" spans="1:8" x14ac:dyDescent="0.25">
      <c r="A1255" t="s">
        <v>2389</v>
      </c>
      <c r="B1255">
        <v>1254</v>
      </c>
      <c r="C1255" t="s">
        <v>2641</v>
      </c>
      <c r="D1255" t="s">
        <v>2387</v>
      </c>
      <c r="E1255" t="s">
        <v>2388</v>
      </c>
      <c r="F1255" t="s">
        <v>1634</v>
      </c>
      <c r="H1255" t="s">
        <v>1640</v>
      </c>
    </row>
    <row r="1256" spans="1:8" x14ac:dyDescent="0.25">
      <c r="A1256" t="s">
        <v>2640</v>
      </c>
      <c r="B1256">
        <v>1255</v>
      </c>
      <c r="C1256" t="s">
        <v>1057</v>
      </c>
      <c r="D1256" t="s">
        <v>196</v>
      </c>
      <c r="E1256" t="s">
        <v>2391</v>
      </c>
      <c r="F1256" t="s">
        <v>1634</v>
      </c>
      <c r="H1256" t="s">
        <v>1643</v>
      </c>
    </row>
    <row r="1257" spans="1:8" x14ac:dyDescent="0.25">
      <c r="A1257" t="s">
        <v>2392</v>
      </c>
      <c r="B1257">
        <v>1256</v>
      </c>
      <c r="C1257" t="s">
        <v>2641</v>
      </c>
      <c r="D1257" t="s">
        <v>2390</v>
      </c>
      <c r="E1257" t="s">
        <v>2391</v>
      </c>
      <c r="F1257" t="s">
        <v>1634</v>
      </c>
      <c r="H1257" t="s">
        <v>1640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432A5-F240-4B4B-8C08-BEDA39A24AC4}">
  <sheetPr>
    <tabColor indexed="10"/>
  </sheetPr>
  <dimension ref="A1:C253"/>
  <sheetViews>
    <sheetView workbookViewId="0">
      <selection activeCell="B10" sqref="B10"/>
    </sheetView>
  </sheetViews>
  <sheetFormatPr defaultColWidth="0" defaultRowHeight="15" x14ac:dyDescent="0.25"/>
  <cols>
    <col min="1" max="1" width="15.7109375" bestFit="1" customWidth="1"/>
    <col min="2" max="3" width="8.85546875" customWidth="1"/>
    <col min="4" max="16384" width="8.85546875" hidden="1"/>
  </cols>
  <sheetData>
    <row r="1" spans="1:3" x14ac:dyDescent="0.25">
      <c r="A1" t="s">
        <v>1638</v>
      </c>
      <c r="B1" t="s">
        <v>1633</v>
      </c>
      <c r="C1" t="s">
        <v>2642</v>
      </c>
    </row>
    <row r="2" spans="1:3" x14ac:dyDescent="0.25">
      <c r="A2" t="s">
        <v>1642</v>
      </c>
      <c r="B2">
        <v>0.5555245535714286</v>
      </c>
      <c r="C2">
        <v>25.471081349206351</v>
      </c>
    </row>
    <row r="3" spans="1:3" x14ac:dyDescent="0.25">
      <c r="A3" t="s">
        <v>1655</v>
      </c>
      <c r="B3">
        <v>2.222098214285714</v>
      </c>
      <c r="C3">
        <v>101.88432539682537</v>
      </c>
    </row>
    <row r="4" spans="1:3" x14ac:dyDescent="0.25">
      <c r="A4" t="s">
        <v>1658</v>
      </c>
      <c r="B4">
        <v>0.5555245535714286</v>
      </c>
      <c r="C4">
        <v>25.471081349206351</v>
      </c>
    </row>
    <row r="5" spans="1:3" x14ac:dyDescent="0.25">
      <c r="A5" t="s">
        <v>1661</v>
      </c>
      <c r="B5">
        <v>3.4047080060229167</v>
      </c>
      <c r="C5">
        <v>156.10758162564872</v>
      </c>
    </row>
    <row r="6" spans="1:3" x14ac:dyDescent="0.25">
      <c r="A6" t="s">
        <v>1664</v>
      </c>
      <c r="B6">
        <v>13.618832024091663</v>
      </c>
      <c r="C6">
        <v>624.43032650259465</v>
      </c>
    </row>
    <row r="7" spans="1:3" x14ac:dyDescent="0.25">
      <c r="A7" t="s">
        <v>1667</v>
      </c>
      <c r="B7">
        <v>3.4047080060229167</v>
      </c>
      <c r="C7">
        <v>156.10758162564872</v>
      </c>
    </row>
    <row r="8" spans="1:3" x14ac:dyDescent="0.25">
      <c r="A8" t="s">
        <v>1670</v>
      </c>
      <c r="B8">
        <v>6.0480321961342547</v>
      </c>
      <c r="C8">
        <v>277.30533075447079</v>
      </c>
    </row>
    <row r="9" spans="1:3" x14ac:dyDescent="0.25">
      <c r="A9" t="s">
        <v>1673</v>
      </c>
      <c r="B9">
        <v>24.192128784537012</v>
      </c>
      <c r="C9">
        <v>1109.2213230178829</v>
      </c>
    </row>
    <row r="10" spans="1:3" x14ac:dyDescent="0.25">
      <c r="A10" t="s">
        <v>1676</v>
      </c>
      <c r="B10">
        <v>6.0480321961342547</v>
      </c>
      <c r="C10">
        <v>277.30533075447079</v>
      </c>
    </row>
    <row r="11" spans="1:3" x14ac:dyDescent="0.25">
      <c r="A11" t="s">
        <v>1679</v>
      </c>
      <c r="B11">
        <v>8.5481467445206665</v>
      </c>
      <c r="C11">
        <v>391.93684548210308</v>
      </c>
    </row>
    <row r="12" spans="1:3" x14ac:dyDescent="0.25">
      <c r="A12" t="s">
        <v>1682</v>
      </c>
      <c r="B12">
        <v>34.192586978082659</v>
      </c>
      <c r="C12">
        <v>1567.7473819284121</v>
      </c>
    </row>
    <row r="13" spans="1:3" x14ac:dyDescent="0.25">
      <c r="A13" t="s">
        <v>1685</v>
      </c>
      <c r="B13">
        <v>8.5481467445206665</v>
      </c>
      <c r="C13">
        <v>391.93684548210308</v>
      </c>
    </row>
    <row r="14" spans="1:3" x14ac:dyDescent="0.25">
      <c r="A14" t="s">
        <v>1688</v>
      </c>
      <c r="B14">
        <v>10.847699220946176</v>
      </c>
      <c r="C14">
        <v>497.37248791635233</v>
      </c>
    </row>
    <row r="15" spans="1:3" x14ac:dyDescent="0.25">
      <c r="A15" t="s">
        <v>1691</v>
      </c>
      <c r="B15">
        <v>43.390796883784695</v>
      </c>
      <c r="C15">
        <v>1989.4899516654089</v>
      </c>
    </row>
    <row r="16" spans="1:3" x14ac:dyDescent="0.25">
      <c r="A16" t="s">
        <v>1694</v>
      </c>
      <c r="B16">
        <v>10.847699220946176</v>
      </c>
      <c r="C16">
        <v>497.37248791635233</v>
      </c>
    </row>
    <row r="17" spans="1:3" x14ac:dyDescent="0.25">
      <c r="A17" t="s">
        <v>1697</v>
      </c>
      <c r="B17">
        <v>12.892940196636886</v>
      </c>
      <c r="C17">
        <v>591.14781960175912</v>
      </c>
    </row>
    <row r="18" spans="1:3" x14ac:dyDescent="0.25">
      <c r="A18" t="s">
        <v>1700</v>
      </c>
      <c r="B18">
        <v>51.571760786547529</v>
      </c>
      <c r="C18">
        <v>2364.5912784070356</v>
      </c>
    </row>
    <row r="19" spans="1:3" x14ac:dyDescent="0.25">
      <c r="A19" t="s">
        <v>1703</v>
      </c>
      <c r="B19">
        <v>12.892940196636886</v>
      </c>
      <c r="C19">
        <v>591.14781960175912</v>
      </c>
    </row>
    <row r="20" spans="1:3" x14ac:dyDescent="0.25">
      <c r="A20" t="s">
        <v>1706</v>
      </c>
      <c r="B20">
        <v>14.635964020959111</v>
      </c>
      <c r="C20">
        <v>671.06634226199594</v>
      </c>
    </row>
    <row r="21" spans="1:3" x14ac:dyDescent="0.25">
      <c r="A21" t="s">
        <v>1709</v>
      </c>
      <c r="B21">
        <v>58.543856083836438</v>
      </c>
      <c r="C21">
        <v>2684.2653690479833</v>
      </c>
    </row>
    <row r="22" spans="1:3" x14ac:dyDescent="0.25">
      <c r="A22" t="s">
        <v>1712</v>
      </c>
      <c r="B22">
        <v>14.635964020959111</v>
      </c>
      <c r="C22">
        <v>671.06634226199594</v>
      </c>
    </row>
    <row r="23" spans="1:3" x14ac:dyDescent="0.25">
      <c r="A23" t="s">
        <v>1715</v>
      </c>
      <c r="B23">
        <v>16.035925755136923</v>
      </c>
      <c r="C23">
        <v>735.25529482542947</v>
      </c>
    </row>
    <row r="24" spans="1:3" x14ac:dyDescent="0.25">
      <c r="A24" t="s">
        <v>1718</v>
      </c>
      <c r="B24">
        <v>64.14370302054769</v>
      </c>
      <c r="C24">
        <v>2941.0211793017179</v>
      </c>
    </row>
    <row r="25" spans="1:3" x14ac:dyDescent="0.25">
      <c r="A25" t="s">
        <v>1721</v>
      </c>
      <c r="B25">
        <v>16.035925755136923</v>
      </c>
      <c r="C25">
        <v>735.25529482542947</v>
      </c>
    </row>
    <row r="26" spans="1:3" x14ac:dyDescent="0.25">
      <c r="A26" t="s">
        <v>1724</v>
      </c>
      <c r="B26">
        <v>17.060015222690669</v>
      </c>
      <c r="C26">
        <v>782.21031412967159</v>
      </c>
    </row>
    <row r="27" spans="1:3" x14ac:dyDescent="0.25">
      <c r="A27" t="s">
        <v>1727</v>
      </c>
      <c r="B27">
        <v>68.240060890762663</v>
      </c>
      <c r="C27">
        <v>3128.8412565186854</v>
      </c>
    </row>
    <row r="28" spans="1:3" x14ac:dyDescent="0.25">
      <c r="A28" t="s">
        <v>1730</v>
      </c>
      <c r="B28">
        <v>17.060015222690669</v>
      </c>
      <c r="C28">
        <v>782.21031412967159</v>
      </c>
    </row>
    <row r="29" spans="1:3" x14ac:dyDescent="0.25">
      <c r="A29" t="s">
        <v>1733</v>
      </c>
      <c r="B29">
        <v>17.684230198087338</v>
      </c>
      <c r="C29">
        <v>810.83088601169743</v>
      </c>
    </row>
    <row r="30" spans="1:3" x14ac:dyDescent="0.25">
      <c r="A30" t="s">
        <v>1736</v>
      </c>
      <c r="B30">
        <v>70.736920792349338</v>
      </c>
      <c r="C30">
        <v>3243.3235440467888</v>
      </c>
    </row>
    <row r="31" spans="1:3" x14ac:dyDescent="0.25">
      <c r="A31" t="s">
        <v>1739</v>
      </c>
      <c r="B31">
        <v>17.684230198087338</v>
      </c>
      <c r="C31">
        <v>810.83088601169743</v>
      </c>
    </row>
    <row r="32" spans="1:3" x14ac:dyDescent="0.25">
      <c r="A32" t="s">
        <v>1742</v>
      </c>
      <c r="B32">
        <v>17.893940270587521</v>
      </c>
      <c r="C32">
        <v>820.44619875000876</v>
      </c>
    </row>
    <row r="33" spans="1:3" x14ac:dyDescent="0.25">
      <c r="A33" t="s">
        <v>1744</v>
      </c>
      <c r="B33">
        <v>71.575761082350084</v>
      </c>
      <c r="C33">
        <v>3281.784795000035</v>
      </c>
    </row>
    <row r="34" spans="1:3" x14ac:dyDescent="0.25">
      <c r="A34" t="s">
        <v>1747</v>
      </c>
      <c r="B34">
        <v>17.893940270587521</v>
      </c>
      <c r="C34">
        <v>820.44619875000876</v>
      </c>
    </row>
    <row r="35" spans="1:3" x14ac:dyDescent="0.25">
      <c r="A35" t="s">
        <v>1750</v>
      </c>
      <c r="B35">
        <v>17.684230198087338</v>
      </c>
      <c r="C35">
        <v>810.83088601169743</v>
      </c>
    </row>
    <row r="36" spans="1:3" x14ac:dyDescent="0.25">
      <c r="A36" t="s">
        <v>1753</v>
      </c>
      <c r="B36">
        <v>70.736920792349338</v>
      </c>
      <c r="C36">
        <v>3243.3235440467888</v>
      </c>
    </row>
    <row r="37" spans="1:3" x14ac:dyDescent="0.25">
      <c r="A37" t="s">
        <v>1756</v>
      </c>
      <c r="B37">
        <v>17.684230198087338</v>
      </c>
      <c r="C37">
        <v>810.83088601169743</v>
      </c>
    </row>
    <row r="38" spans="1:3" x14ac:dyDescent="0.25">
      <c r="A38" t="s">
        <v>1759</v>
      </c>
      <c r="B38">
        <v>17.060015222690669</v>
      </c>
      <c r="C38">
        <v>782.21031412967159</v>
      </c>
    </row>
    <row r="39" spans="1:3" x14ac:dyDescent="0.25">
      <c r="A39" t="s">
        <v>1762</v>
      </c>
      <c r="B39">
        <v>68.240060890762663</v>
      </c>
      <c r="C39">
        <v>3128.8412565186854</v>
      </c>
    </row>
    <row r="40" spans="1:3" x14ac:dyDescent="0.25">
      <c r="A40" t="s">
        <v>1765</v>
      </c>
      <c r="B40">
        <v>17.060015222690669</v>
      </c>
      <c r="C40">
        <v>782.21031412967159</v>
      </c>
    </row>
    <row r="41" spans="1:3" x14ac:dyDescent="0.25">
      <c r="A41" t="s">
        <v>1768</v>
      </c>
      <c r="B41">
        <v>16.035925755136923</v>
      </c>
      <c r="C41">
        <v>735.25529482542947</v>
      </c>
    </row>
    <row r="42" spans="1:3" x14ac:dyDescent="0.25">
      <c r="A42" t="s">
        <v>1771</v>
      </c>
      <c r="B42">
        <v>64.14370302054769</v>
      </c>
      <c r="C42">
        <v>2941.0211793017179</v>
      </c>
    </row>
    <row r="43" spans="1:3" x14ac:dyDescent="0.25">
      <c r="A43" t="s">
        <v>1774</v>
      </c>
      <c r="B43">
        <v>16.035925755136923</v>
      </c>
      <c r="C43">
        <v>735.25529482542947</v>
      </c>
    </row>
    <row r="44" spans="1:3" x14ac:dyDescent="0.25">
      <c r="A44" t="s">
        <v>1777</v>
      </c>
      <c r="B44">
        <v>14.635964020959111</v>
      </c>
      <c r="C44">
        <v>671.06634226199594</v>
      </c>
    </row>
    <row r="45" spans="1:3" x14ac:dyDescent="0.25">
      <c r="A45" t="s">
        <v>1780</v>
      </c>
      <c r="B45">
        <v>58.543856083836438</v>
      </c>
      <c r="C45">
        <v>2684.2653690479833</v>
      </c>
    </row>
    <row r="46" spans="1:3" x14ac:dyDescent="0.25">
      <c r="A46" t="s">
        <v>1783</v>
      </c>
      <c r="B46">
        <v>14.635964020959111</v>
      </c>
      <c r="C46">
        <v>671.06634226199594</v>
      </c>
    </row>
    <row r="47" spans="1:3" x14ac:dyDescent="0.25">
      <c r="A47" t="s">
        <v>1786</v>
      </c>
      <c r="B47">
        <v>12.892940196636886</v>
      </c>
      <c r="C47">
        <v>591.14781960175912</v>
      </c>
    </row>
    <row r="48" spans="1:3" x14ac:dyDescent="0.25">
      <c r="A48" t="s">
        <v>1789</v>
      </c>
      <c r="B48">
        <v>51.571760786547529</v>
      </c>
      <c r="C48">
        <v>2364.5912784070356</v>
      </c>
    </row>
    <row r="49" spans="1:3" x14ac:dyDescent="0.25">
      <c r="A49" t="s">
        <v>1792</v>
      </c>
      <c r="B49">
        <v>12.892940196636886</v>
      </c>
      <c r="C49">
        <v>591.14781960175912</v>
      </c>
    </row>
    <row r="50" spans="1:3" x14ac:dyDescent="0.25">
      <c r="A50" t="s">
        <v>1795</v>
      </c>
      <c r="B50">
        <v>10.847699220946176</v>
      </c>
      <c r="C50">
        <v>497.37248791635233</v>
      </c>
    </row>
    <row r="51" spans="1:3" x14ac:dyDescent="0.25">
      <c r="A51" t="s">
        <v>1798</v>
      </c>
      <c r="B51">
        <v>43.390796883784695</v>
      </c>
      <c r="C51">
        <v>1989.4899516654089</v>
      </c>
    </row>
    <row r="52" spans="1:3" x14ac:dyDescent="0.25">
      <c r="A52" t="s">
        <v>1801</v>
      </c>
      <c r="B52">
        <v>10.847699220946176</v>
      </c>
      <c r="C52">
        <v>497.37248791635233</v>
      </c>
    </row>
    <row r="53" spans="1:3" x14ac:dyDescent="0.25">
      <c r="A53" t="s">
        <v>1804</v>
      </c>
      <c r="B53">
        <v>8.5481467445206665</v>
      </c>
      <c r="C53">
        <v>391.93684548210308</v>
      </c>
    </row>
    <row r="54" spans="1:3" x14ac:dyDescent="0.25">
      <c r="A54" t="s">
        <v>1807</v>
      </c>
      <c r="B54">
        <v>34.192586978082659</v>
      </c>
      <c r="C54">
        <v>1567.7473819284121</v>
      </c>
    </row>
    <row r="55" spans="1:3" x14ac:dyDescent="0.25">
      <c r="A55" t="s">
        <v>1810</v>
      </c>
      <c r="B55">
        <v>8.5481467445206665</v>
      </c>
      <c r="C55">
        <v>391.93684548210308</v>
      </c>
    </row>
    <row r="56" spans="1:3" x14ac:dyDescent="0.25">
      <c r="A56" t="s">
        <v>1813</v>
      </c>
      <c r="B56">
        <v>6.0480321961342547</v>
      </c>
      <c r="C56">
        <v>277.30533075447079</v>
      </c>
    </row>
    <row r="57" spans="1:3" x14ac:dyDescent="0.25">
      <c r="A57" t="s">
        <v>1816</v>
      </c>
      <c r="B57">
        <v>24.192128784537012</v>
      </c>
      <c r="C57">
        <v>1109.2213230178829</v>
      </c>
    </row>
    <row r="58" spans="1:3" x14ac:dyDescent="0.25">
      <c r="A58" t="s">
        <v>1819</v>
      </c>
      <c r="B58">
        <v>6.0480321961342547</v>
      </c>
      <c r="C58">
        <v>277.30533075447079</v>
      </c>
    </row>
    <row r="59" spans="1:3" x14ac:dyDescent="0.25">
      <c r="A59" t="s">
        <v>1822</v>
      </c>
      <c r="B59">
        <v>3.4047080060229167</v>
      </c>
      <c r="C59">
        <v>156.10758162564872</v>
      </c>
    </row>
    <row r="60" spans="1:3" x14ac:dyDescent="0.25">
      <c r="A60" t="s">
        <v>1825</v>
      </c>
      <c r="B60">
        <v>13.618832024091663</v>
      </c>
      <c r="C60">
        <v>624.43032650259465</v>
      </c>
    </row>
    <row r="61" spans="1:3" x14ac:dyDescent="0.25">
      <c r="A61" t="s">
        <v>1828</v>
      </c>
      <c r="B61">
        <v>3.4047080060229167</v>
      </c>
      <c r="C61">
        <v>156.10758162564872</v>
      </c>
    </row>
    <row r="62" spans="1:3" x14ac:dyDescent="0.25">
      <c r="A62" t="s">
        <v>1831</v>
      </c>
      <c r="B62">
        <v>0.5555245535714286</v>
      </c>
      <c r="C62">
        <v>25.471081349206351</v>
      </c>
    </row>
    <row r="63" spans="1:3" x14ac:dyDescent="0.25">
      <c r="A63" t="s">
        <v>1834</v>
      </c>
      <c r="B63">
        <v>2.222098214285714</v>
      </c>
      <c r="C63">
        <v>101.88432539682537</v>
      </c>
    </row>
    <row r="64" spans="1:3" x14ac:dyDescent="0.25">
      <c r="A64" t="s">
        <v>1837</v>
      </c>
      <c r="B64">
        <v>0.5555245535714286</v>
      </c>
      <c r="C64">
        <v>25.471081349206351</v>
      </c>
    </row>
    <row r="65" spans="1:3" x14ac:dyDescent="0.25">
      <c r="A65" t="s">
        <v>1646</v>
      </c>
      <c r="B65">
        <v>0.36868489583333336</v>
      </c>
      <c r="C65">
        <v>40.209226190476194</v>
      </c>
    </row>
    <row r="66" spans="1:3" x14ac:dyDescent="0.25">
      <c r="A66" t="s">
        <v>1840</v>
      </c>
      <c r="B66">
        <v>2.2596020436422979</v>
      </c>
      <c r="C66">
        <v>246.43496573927428</v>
      </c>
    </row>
    <row r="67" spans="1:3" x14ac:dyDescent="0.25">
      <c r="A67" t="s">
        <v>1843</v>
      </c>
      <c r="B67">
        <v>4.0138966061770969</v>
      </c>
      <c r="C67">
        <v>437.7604788451103</v>
      </c>
    </row>
    <row r="68" spans="1:3" x14ac:dyDescent="0.25">
      <c r="A68" t="s">
        <v>1846</v>
      </c>
      <c r="B68">
        <v>5.673147247606626</v>
      </c>
      <c r="C68">
        <v>618.72038553489404</v>
      </c>
    </row>
    <row r="69" spans="1:3" x14ac:dyDescent="0.25">
      <c r="A69" t="s">
        <v>1849</v>
      </c>
      <c r="B69">
        <v>7.1992908892939447</v>
      </c>
      <c r="C69">
        <v>785.16347984462936</v>
      </c>
    </row>
    <row r="70" spans="1:3" x14ac:dyDescent="0.25">
      <c r="A70" t="s">
        <v>1852</v>
      </c>
      <c r="B70">
        <v>8.5566556560335307</v>
      </c>
      <c r="C70">
        <v>933.19934338455482</v>
      </c>
    </row>
    <row r="71" spans="1:3" x14ac:dyDescent="0.25">
      <c r="A71" t="s">
        <v>1855</v>
      </c>
      <c r="B71">
        <v>9.7134480119678592</v>
      </c>
      <c r="C71">
        <v>1059.3605342031885</v>
      </c>
    </row>
    <row r="72" spans="1:3" x14ac:dyDescent="0.25">
      <c r="A72" t="s">
        <v>1858</v>
      </c>
      <c r="B72">
        <v>10.642560402802324</v>
      </c>
      <c r="C72">
        <v>1160.6906692362372</v>
      </c>
    </row>
    <row r="73" spans="1:3" x14ac:dyDescent="0.25">
      <c r="A73" t="s">
        <v>1861</v>
      </c>
      <c r="B73">
        <v>11.322217703711383</v>
      </c>
      <c r="C73">
        <v>1234.8149267068088</v>
      </c>
    </row>
    <row r="74" spans="1:3" x14ac:dyDescent="0.25">
      <c r="A74" t="s">
        <v>1864</v>
      </c>
      <c r="B74">
        <v>11.736490361332333</v>
      </c>
      <c r="C74">
        <v>1279.9960100195915</v>
      </c>
    </row>
    <row r="75" spans="1:3" x14ac:dyDescent="0.25">
      <c r="A75" t="s">
        <v>1867</v>
      </c>
      <c r="B75">
        <v>11.875668613198728</v>
      </c>
      <c r="C75">
        <v>1295.1749605904899</v>
      </c>
    </row>
    <row r="76" spans="1:3" x14ac:dyDescent="0.25">
      <c r="A76" t="s">
        <v>1870</v>
      </c>
      <c r="B76">
        <v>11.736490361332333</v>
      </c>
      <c r="C76">
        <v>1279.9960100195915</v>
      </c>
    </row>
    <row r="77" spans="1:3" x14ac:dyDescent="0.25">
      <c r="A77" t="s">
        <v>1873</v>
      </c>
      <c r="B77">
        <v>11.322217703711383</v>
      </c>
      <c r="C77">
        <v>1234.8149267068088</v>
      </c>
    </row>
    <row r="78" spans="1:3" x14ac:dyDescent="0.25">
      <c r="A78" t="s">
        <v>1876</v>
      </c>
      <c r="B78">
        <v>10.642560402802324</v>
      </c>
      <c r="C78">
        <v>1160.6906692362372</v>
      </c>
    </row>
    <row r="79" spans="1:3" x14ac:dyDescent="0.25">
      <c r="A79" t="s">
        <v>1879</v>
      </c>
      <c r="B79">
        <v>9.7134480119678592</v>
      </c>
      <c r="C79">
        <v>1059.3605342031885</v>
      </c>
    </row>
    <row r="80" spans="1:3" x14ac:dyDescent="0.25">
      <c r="A80" t="s">
        <v>1882</v>
      </c>
      <c r="B80">
        <v>8.5566556560335307</v>
      </c>
      <c r="C80">
        <v>933.19934338455482</v>
      </c>
    </row>
    <row r="81" spans="1:3" x14ac:dyDescent="0.25">
      <c r="A81" t="s">
        <v>1885</v>
      </c>
      <c r="B81">
        <v>7.1992908892939447</v>
      </c>
      <c r="C81">
        <v>785.16347984462936</v>
      </c>
    </row>
    <row r="82" spans="1:3" x14ac:dyDescent="0.25">
      <c r="A82" t="s">
        <v>1888</v>
      </c>
      <c r="B82">
        <v>5.673147247606626</v>
      </c>
      <c r="C82">
        <v>618.72038553489404</v>
      </c>
    </row>
    <row r="83" spans="1:3" x14ac:dyDescent="0.25">
      <c r="A83" t="s">
        <v>1891</v>
      </c>
      <c r="B83">
        <v>4.0138966061770969</v>
      </c>
      <c r="C83">
        <v>437.7604788451103</v>
      </c>
    </row>
    <row r="84" spans="1:3" x14ac:dyDescent="0.25">
      <c r="A84" t="s">
        <v>1894</v>
      </c>
      <c r="B84">
        <v>2.2596020436422979</v>
      </c>
      <c r="C84">
        <v>246.43496573927428</v>
      </c>
    </row>
    <row r="85" spans="1:3" x14ac:dyDescent="0.25">
      <c r="A85" t="s">
        <v>1897</v>
      </c>
      <c r="B85">
        <v>0.36868489583333336</v>
      </c>
      <c r="C85">
        <v>40.209226190476194</v>
      </c>
    </row>
    <row r="86" spans="1:3" x14ac:dyDescent="0.25">
      <c r="A86" t="s">
        <v>1900</v>
      </c>
      <c r="B86">
        <v>1.4747395833333332</v>
      </c>
      <c r="C86">
        <v>160.83690476190475</v>
      </c>
    </row>
    <row r="87" spans="1:3" x14ac:dyDescent="0.25">
      <c r="A87" t="s">
        <v>1903</v>
      </c>
      <c r="B87">
        <v>9.0384081745691898</v>
      </c>
      <c r="C87">
        <v>985.73986295709699</v>
      </c>
    </row>
    <row r="88" spans="1:3" x14ac:dyDescent="0.25">
      <c r="A88" t="s">
        <v>1906</v>
      </c>
      <c r="B88">
        <v>16.055586424708384</v>
      </c>
      <c r="C88">
        <v>1751.041915380441</v>
      </c>
    </row>
    <row r="89" spans="1:3" x14ac:dyDescent="0.25">
      <c r="A89" t="s">
        <v>1909</v>
      </c>
      <c r="B89">
        <v>22.692588990426497</v>
      </c>
      <c r="C89">
        <v>2474.8815421395757</v>
      </c>
    </row>
    <row r="90" spans="1:3" x14ac:dyDescent="0.25">
      <c r="A90" t="s">
        <v>1912</v>
      </c>
      <c r="B90">
        <v>28.797163557175775</v>
      </c>
      <c r="C90">
        <v>3140.653919378517</v>
      </c>
    </row>
    <row r="91" spans="1:3" x14ac:dyDescent="0.25">
      <c r="A91" t="s">
        <v>1915</v>
      </c>
      <c r="B91">
        <v>34.226622624134116</v>
      </c>
      <c r="C91">
        <v>3732.7973735382188</v>
      </c>
    </row>
    <row r="92" spans="1:3" x14ac:dyDescent="0.25">
      <c r="A92" t="s">
        <v>1918</v>
      </c>
      <c r="B92">
        <v>38.85379204787143</v>
      </c>
      <c r="C92">
        <v>4237.4421368127532</v>
      </c>
    </row>
    <row r="93" spans="1:3" x14ac:dyDescent="0.25">
      <c r="A93" t="s">
        <v>1921</v>
      </c>
      <c r="B93">
        <v>42.570241611209291</v>
      </c>
      <c r="C93">
        <v>4642.762676944948</v>
      </c>
    </row>
    <row r="94" spans="1:3" x14ac:dyDescent="0.25">
      <c r="A94" t="s">
        <v>1924</v>
      </c>
      <c r="B94">
        <v>45.288870814845524</v>
      </c>
      <c r="C94">
        <v>4939.2597068272344</v>
      </c>
    </row>
    <row r="95" spans="1:3" x14ac:dyDescent="0.25">
      <c r="A95" t="s">
        <v>1927</v>
      </c>
      <c r="B95">
        <v>46.945961445329324</v>
      </c>
      <c r="C95">
        <v>5119.9840400783651</v>
      </c>
    </row>
    <row r="96" spans="1:3" x14ac:dyDescent="0.25">
      <c r="A96" t="s">
        <v>1929</v>
      </c>
      <c r="B96">
        <v>47.502674452794899</v>
      </c>
      <c r="C96">
        <v>5180.699842361958</v>
      </c>
    </row>
    <row r="97" spans="1:3" x14ac:dyDescent="0.25">
      <c r="A97" t="s">
        <v>1932</v>
      </c>
      <c r="B97">
        <v>46.945961445329324</v>
      </c>
      <c r="C97">
        <v>5119.9840400783651</v>
      </c>
    </row>
    <row r="98" spans="1:3" x14ac:dyDescent="0.25">
      <c r="A98" t="s">
        <v>1935</v>
      </c>
      <c r="B98">
        <v>45.288870814845524</v>
      </c>
      <c r="C98">
        <v>4939.2597068272344</v>
      </c>
    </row>
    <row r="99" spans="1:3" x14ac:dyDescent="0.25">
      <c r="A99" t="s">
        <v>1938</v>
      </c>
      <c r="B99">
        <v>42.570241611209291</v>
      </c>
      <c r="C99">
        <v>4642.762676944948</v>
      </c>
    </row>
    <row r="100" spans="1:3" x14ac:dyDescent="0.25">
      <c r="A100" t="s">
        <v>1941</v>
      </c>
      <c r="B100">
        <v>38.85379204787143</v>
      </c>
      <c r="C100">
        <v>4237.4421368127532</v>
      </c>
    </row>
    <row r="101" spans="1:3" x14ac:dyDescent="0.25">
      <c r="A101" t="s">
        <v>1944</v>
      </c>
      <c r="B101">
        <v>34.226622624134116</v>
      </c>
      <c r="C101">
        <v>3732.7973735382188</v>
      </c>
    </row>
    <row r="102" spans="1:3" x14ac:dyDescent="0.25">
      <c r="A102" t="s">
        <v>1947</v>
      </c>
      <c r="B102">
        <v>28.797163557175775</v>
      </c>
      <c r="C102">
        <v>3140.653919378517</v>
      </c>
    </row>
    <row r="103" spans="1:3" x14ac:dyDescent="0.25">
      <c r="A103" t="s">
        <v>1950</v>
      </c>
      <c r="B103">
        <v>22.692588990426497</v>
      </c>
      <c r="C103">
        <v>2474.8815421395757</v>
      </c>
    </row>
    <row r="104" spans="1:3" x14ac:dyDescent="0.25">
      <c r="A104" t="s">
        <v>1953</v>
      </c>
      <c r="B104">
        <v>16.055586424708384</v>
      </c>
      <c r="C104">
        <v>1751.041915380441</v>
      </c>
    </row>
    <row r="105" spans="1:3" x14ac:dyDescent="0.25">
      <c r="A105" t="s">
        <v>1956</v>
      </c>
      <c r="B105">
        <v>9.0384081745691898</v>
      </c>
      <c r="C105">
        <v>985.73986295709699</v>
      </c>
    </row>
    <row r="106" spans="1:3" x14ac:dyDescent="0.25">
      <c r="A106" t="s">
        <v>1959</v>
      </c>
      <c r="B106">
        <v>1.4747395833333332</v>
      </c>
      <c r="C106">
        <v>160.83690476190475</v>
      </c>
    </row>
    <row r="107" spans="1:3" x14ac:dyDescent="0.25">
      <c r="A107" t="s">
        <v>1962</v>
      </c>
      <c r="B107">
        <v>0.36868489583333336</v>
      </c>
      <c r="C107">
        <v>40.209226190476194</v>
      </c>
    </row>
    <row r="108" spans="1:3" x14ac:dyDescent="0.25">
      <c r="A108" t="s">
        <v>1965</v>
      </c>
      <c r="B108">
        <v>2.2596020436422979</v>
      </c>
      <c r="C108">
        <v>246.43496573927428</v>
      </c>
    </row>
    <row r="109" spans="1:3" x14ac:dyDescent="0.25">
      <c r="A109" t="s">
        <v>1968</v>
      </c>
      <c r="B109">
        <v>4.0138966061770969</v>
      </c>
      <c r="C109">
        <v>437.7604788451103</v>
      </c>
    </row>
    <row r="110" spans="1:3" x14ac:dyDescent="0.25">
      <c r="A110" t="s">
        <v>1971</v>
      </c>
      <c r="B110">
        <v>5.673147247606626</v>
      </c>
      <c r="C110">
        <v>618.72038553489404</v>
      </c>
    </row>
    <row r="111" spans="1:3" x14ac:dyDescent="0.25">
      <c r="A111" t="s">
        <v>1974</v>
      </c>
      <c r="B111">
        <v>7.1992908892939447</v>
      </c>
      <c r="C111">
        <v>785.16347984462936</v>
      </c>
    </row>
    <row r="112" spans="1:3" x14ac:dyDescent="0.25">
      <c r="A112" t="s">
        <v>1977</v>
      </c>
      <c r="B112">
        <v>8.5566556560335307</v>
      </c>
      <c r="C112">
        <v>933.19934338455482</v>
      </c>
    </row>
    <row r="113" spans="1:3" x14ac:dyDescent="0.25">
      <c r="A113" t="s">
        <v>1980</v>
      </c>
      <c r="B113">
        <v>9.7134480119678592</v>
      </c>
      <c r="C113">
        <v>1059.3605342031885</v>
      </c>
    </row>
    <row r="114" spans="1:3" x14ac:dyDescent="0.25">
      <c r="A114" t="s">
        <v>1983</v>
      </c>
      <c r="B114">
        <v>10.642560402802324</v>
      </c>
      <c r="C114">
        <v>1160.6906692362372</v>
      </c>
    </row>
    <row r="115" spans="1:3" x14ac:dyDescent="0.25">
      <c r="A115" t="s">
        <v>1986</v>
      </c>
      <c r="B115">
        <v>11.322217703711383</v>
      </c>
      <c r="C115">
        <v>1234.8149267068088</v>
      </c>
    </row>
    <row r="116" spans="1:3" x14ac:dyDescent="0.25">
      <c r="A116" t="s">
        <v>1989</v>
      </c>
      <c r="B116">
        <v>11.736490361332333</v>
      </c>
      <c r="C116">
        <v>1279.9960100195915</v>
      </c>
    </row>
    <row r="117" spans="1:3" x14ac:dyDescent="0.25">
      <c r="A117" t="s">
        <v>1992</v>
      </c>
      <c r="B117">
        <v>11.875668613198728</v>
      </c>
      <c r="C117">
        <v>1295.1749605904899</v>
      </c>
    </row>
    <row r="118" spans="1:3" x14ac:dyDescent="0.25">
      <c r="A118" t="s">
        <v>1995</v>
      </c>
      <c r="B118">
        <v>11.736490361332333</v>
      </c>
      <c r="C118">
        <v>1279.9960100195915</v>
      </c>
    </row>
    <row r="119" spans="1:3" x14ac:dyDescent="0.25">
      <c r="A119" t="s">
        <v>1998</v>
      </c>
      <c r="B119">
        <v>11.322217703711383</v>
      </c>
      <c r="C119">
        <v>1234.8149267068088</v>
      </c>
    </row>
    <row r="120" spans="1:3" x14ac:dyDescent="0.25">
      <c r="A120" t="s">
        <v>2001</v>
      </c>
      <c r="B120">
        <v>10.642560402802324</v>
      </c>
      <c r="C120">
        <v>1160.6906692362372</v>
      </c>
    </row>
    <row r="121" spans="1:3" x14ac:dyDescent="0.25">
      <c r="A121" t="s">
        <v>2004</v>
      </c>
      <c r="B121">
        <v>9.7134480119678592</v>
      </c>
      <c r="C121">
        <v>1059.3605342031885</v>
      </c>
    </row>
    <row r="122" spans="1:3" x14ac:dyDescent="0.25">
      <c r="A122" t="s">
        <v>2007</v>
      </c>
      <c r="B122">
        <v>8.5566556560335307</v>
      </c>
      <c r="C122">
        <v>933.19934338455482</v>
      </c>
    </row>
    <row r="123" spans="1:3" x14ac:dyDescent="0.25">
      <c r="A123" t="s">
        <v>2010</v>
      </c>
      <c r="B123">
        <v>7.1992908892939447</v>
      </c>
      <c r="C123">
        <v>785.16347984462936</v>
      </c>
    </row>
    <row r="124" spans="1:3" x14ac:dyDescent="0.25">
      <c r="A124" t="s">
        <v>2013</v>
      </c>
      <c r="B124">
        <v>5.673147247606626</v>
      </c>
      <c r="C124">
        <v>618.72038553489404</v>
      </c>
    </row>
    <row r="125" spans="1:3" x14ac:dyDescent="0.25">
      <c r="A125" t="s">
        <v>2016</v>
      </c>
      <c r="B125">
        <v>4.0138966061770969</v>
      </c>
      <c r="C125">
        <v>437.7604788451103</v>
      </c>
    </row>
    <row r="126" spans="1:3" x14ac:dyDescent="0.25">
      <c r="A126" t="s">
        <v>2019</v>
      </c>
      <c r="B126">
        <v>2.2596020436422979</v>
      </c>
      <c r="C126">
        <v>246.43496573927428</v>
      </c>
    </row>
    <row r="127" spans="1:3" x14ac:dyDescent="0.25">
      <c r="A127" t="s">
        <v>2022</v>
      </c>
      <c r="B127">
        <v>0.36868489583333336</v>
      </c>
      <c r="C127">
        <v>40.209226190476194</v>
      </c>
    </row>
    <row r="128" spans="1:3" x14ac:dyDescent="0.25">
      <c r="A128" t="s">
        <v>1649</v>
      </c>
      <c r="B128">
        <v>0.36868489583333336</v>
      </c>
      <c r="C128">
        <v>40.209226190476194</v>
      </c>
    </row>
    <row r="129" spans="1:3" x14ac:dyDescent="0.25">
      <c r="A129" t="s">
        <v>2025</v>
      </c>
      <c r="B129">
        <v>2.2596020436422979</v>
      </c>
      <c r="C129">
        <v>246.43496573927428</v>
      </c>
    </row>
    <row r="130" spans="1:3" x14ac:dyDescent="0.25">
      <c r="A130" t="s">
        <v>2028</v>
      </c>
      <c r="B130">
        <v>4.0138966061770969</v>
      </c>
      <c r="C130">
        <v>437.7604788451103</v>
      </c>
    </row>
    <row r="131" spans="1:3" x14ac:dyDescent="0.25">
      <c r="A131" t="s">
        <v>2031</v>
      </c>
      <c r="B131">
        <v>5.673147247606626</v>
      </c>
      <c r="C131">
        <v>618.72038553489404</v>
      </c>
    </row>
    <row r="132" spans="1:3" x14ac:dyDescent="0.25">
      <c r="A132" t="s">
        <v>2034</v>
      </c>
      <c r="B132">
        <v>7.1992908892939447</v>
      </c>
      <c r="C132">
        <v>785.16347984462936</v>
      </c>
    </row>
    <row r="133" spans="1:3" x14ac:dyDescent="0.25">
      <c r="A133" t="s">
        <v>2037</v>
      </c>
      <c r="B133">
        <v>8.5566556560335307</v>
      </c>
      <c r="C133">
        <v>933.19934338455482</v>
      </c>
    </row>
    <row r="134" spans="1:3" x14ac:dyDescent="0.25">
      <c r="A134" t="s">
        <v>2040</v>
      </c>
      <c r="B134">
        <v>9.7134480119678592</v>
      </c>
      <c r="C134">
        <v>1059.3605342031885</v>
      </c>
    </row>
    <row r="135" spans="1:3" x14ac:dyDescent="0.25">
      <c r="A135" t="s">
        <v>2043</v>
      </c>
      <c r="B135">
        <v>10.642560402802324</v>
      </c>
      <c r="C135">
        <v>1160.6906692362372</v>
      </c>
    </row>
    <row r="136" spans="1:3" x14ac:dyDescent="0.25">
      <c r="A136" t="s">
        <v>2046</v>
      </c>
      <c r="B136">
        <v>11.322217703711383</v>
      </c>
      <c r="C136">
        <v>1234.8149267068088</v>
      </c>
    </row>
    <row r="137" spans="1:3" x14ac:dyDescent="0.25">
      <c r="A137" t="s">
        <v>2049</v>
      </c>
      <c r="B137">
        <v>11.736490361332333</v>
      </c>
      <c r="C137">
        <v>1279.9960100195915</v>
      </c>
    </row>
    <row r="138" spans="1:3" x14ac:dyDescent="0.25">
      <c r="A138" t="s">
        <v>2052</v>
      </c>
      <c r="B138">
        <v>11.875668613198728</v>
      </c>
      <c r="C138">
        <v>1295.1749605904899</v>
      </c>
    </row>
    <row r="139" spans="1:3" x14ac:dyDescent="0.25">
      <c r="A139" t="s">
        <v>2055</v>
      </c>
      <c r="B139">
        <v>11.736490361332333</v>
      </c>
      <c r="C139">
        <v>1279.9960100195915</v>
      </c>
    </row>
    <row r="140" spans="1:3" x14ac:dyDescent="0.25">
      <c r="A140" t="s">
        <v>2058</v>
      </c>
      <c r="B140">
        <v>11.322217703711383</v>
      </c>
      <c r="C140">
        <v>1234.8149267068088</v>
      </c>
    </row>
    <row r="141" spans="1:3" x14ac:dyDescent="0.25">
      <c r="A141" t="s">
        <v>2061</v>
      </c>
      <c r="B141">
        <v>10.642560402802324</v>
      </c>
      <c r="C141">
        <v>1160.6906692362372</v>
      </c>
    </row>
    <row r="142" spans="1:3" x14ac:dyDescent="0.25">
      <c r="A142" t="s">
        <v>2064</v>
      </c>
      <c r="B142">
        <v>9.7134480119678592</v>
      </c>
      <c r="C142">
        <v>1059.3605342031885</v>
      </c>
    </row>
    <row r="143" spans="1:3" x14ac:dyDescent="0.25">
      <c r="A143" t="s">
        <v>2067</v>
      </c>
      <c r="B143">
        <v>8.5566556560335307</v>
      </c>
      <c r="C143">
        <v>933.19934338455482</v>
      </c>
    </row>
    <row r="144" spans="1:3" x14ac:dyDescent="0.25">
      <c r="A144" t="s">
        <v>2070</v>
      </c>
      <c r="B144">
        <v>7.1992908892939447</v>
      </c>
      <c r="C144">
        <v>785.16347984462936</v>
      </c>
    </row>
    <row r="145" spans="1:3" x14ac:dyDescent="0.25">
      <c r="A145" t="s">
        <v>2073</v>
      </c>
      <c r="B145">
        <v>5.673147247606626</v>
      </c>
      <c r="C145">
        <v>618.72038553489404</v>
      </c>
    </row>
    <row r="146" spans="1:3" x14ac:dyDescent="0.25">
      <c r="A146" t="s">
        <v>2076</v>
      </c>
      <c r="B146">
        <v>4.0138966061770969</v>
      </c>
      <c r="C146">
        <v>437.7604788451103</v>
      </c>
    </row>
    <row r="147" spans="1:3" x14ac:dyDescent="0.25">
      <c r="A147" t="s">
        <v>2079</v>
      </c>
      <c r="B147">
        <v>2.2596020436422979</v>
      </c>
      <c r="C147">
        <v>246.43496573927428</v>
      </c>
    </row>
    <row r="148" spans="1:3" x14ac:dyDescent="0.25">
      <c r="A148" t="s">
        <v>2082</v>
      </c>
      <c r="B148">
        <v>0.36868489583333336</v>
      </c>
      <c r="C148">
        <v>40.209226190476194</v>
      </c>
    </row>
    <row r="149" spans="1:3" x14ac:dyDescent="0.25">
      <c r="A149" t="s">
        <v>2085</v>
      </c>
      <c r="B149">
        <v>1.4747395833333332</v>
      </c>
      <c r="C149">
        <v>160.83690476190475</v>
      </c>
    </row>
    <row r="150" spans="1:3" x14ac:dyDescent="0.25">
      <c r="A150" t="s">
        <v>2088</v>
      </c>
      <c r="B150">
        <v>9.0384081745691898</v>
      </c>
      <c r="C150">
        <v>985.73986295709699</v>
      </c>
    </row>
    <row r="151" spans="1:3" x14ac:dyDescent="0.25">
      <c r="A151" t="s">
        <v>2091</v>
      </c>
      <c r="B151">
        <v>16.055586424708384</v>
      </c>
      <c r="C151">
        <v>1751.041915380441</v>
      </c>
    </row>
    <row r="152" spans="1:3" x14ac:dyDescent="0.25">
      <c r="A152" t="s">
        <v>2094</v>
      </c>
      <c r="B152">
        <v>22.692588990426497</v>
      </c>
      <c r="C152">
        <v>2474.8815421395757</v>
      </c>
    </row>
    <row r="153" spans="1:3" x14ac:dyDescent="0.25">
      <c r="A153" t="s">
        <v>2097</v>
      </c>
      <c r="B153">
        <v>28.797163557175775</v>
      </c>
      <c r="C153">
        <v>3140.653919378517</v>
      </c>
    </row>
    <row r="154" spans="1:3" x14ac:dyDescent="0.25">
      <c r="A154" t="s">
        <v>2100</v>
      </c>
      <c r="B154">
        <v>34.226622624134116</v>
      </c>
      <c r="C154">
        <v>3732.7973735382188</v>
      </c>
    </row>
    <row r="155" spans="1:3" x14ac:dyDescent="0.25">
      <c r="A155" t="s">
        <v>2103</v>
      </c>
      <c r="B155">
        <v>38.85379204787143</v>
      </c>
      <c r="C155">
        <v>4237.4421368127532</v>
      </c>
    </row>
    <row r="156" spans="1:3" x14ac:dyDescent="0.25">
      <c r="A156" t="s">
        <v>2106</v>
      </c>
      <c r="B156">
        <v>42.570241611209291</v>
      </c>
      <c r="C156">
        <v>4642.762676944948</v>
      </c>
    </row>
    <row r="157" spans="1:3" x14ac:dyDescent="0.25">
      <c r="A157" t="s">
        <v>2109</v>
      </c>
      <c r="B157">
        <v>45.288870814845524</v>
      </c>
      <c r="C157">
        <v>4939.2597068272344</v>
      </c>
    </row>
    <row r="158" spans="1:3" x14ac:dyDescent="0.25">
      <c r="A158" t="s">
        <v>2112</v>
      </c>
      <c r="B158">
        <v>46.945961445329324</v>
      </c>
      <c r="C158">
        <v>5119.9840400783651</v>
      </c>
    </row>
    <row r="159" spans="1:3" x14ac:dyDescent="0.25">
      <c r="A159" t="s">
        <v>2114</v>
      </c>
      <c r="B159">
        <v>47.502674452794899</v>
      </c>
      <c r="C159">
        <v>5180.699842361958</v>
      </c>
    </row>
    <row r="160" spans="1:3" x14ac:dyDescent="0.25">
      <c r="A160" t="s">
        <v>2117</v>
      </c>
      <c r="B160">
        <v>46.945961445329324</v>
      </c>
      <c r="C160">
        <v>5119.9840400783651</v>
      </c>
    </row>
    <row r="161" spans="1:3" x14ac:dyDescent="0.25">
      <c r="A161" t="s">
        <v>2120</v>
      </c>
      <c r="B161">
        <v>45.288870814845524</v>
      </c>
      <c r="C161">
        <v>4939.2597068272344</v>
      </c>
    </row>
    <row r="162" spans="1:3" x14ac:dyDescent="0.25">
      <c r="A162" t="s">
        <v>2123</v>
      </c>
      <c r="B162">
        <v>42.570241611209291</v>
      </c>
      <c r="C162">
        <v>4642.762676944948</v>
      </c>
    </row>
    <row r="163" spans="1:3" x14ac:dyDescent="0.25">
      <c r="A163" t="s">
        <v>2126</v>
      </c>
      <c r="B163">
        <v>38.85379204787143</v>
      </c>
      <c r="C163">
        <v>4237.4421368127532</v>
      </c>
    </row>
    <row r="164" spans="1:3" x14ac:dyDescent="0.25">
      <c r="A164" t="s">
        <v>2129</v>
      </c>
      <c r="B164">
        <v>34.226622624134116</v>
      </c>
      <c r="C164">
        <v>3732.7973735382188</v>
      </c>
    </row>
    <row r="165" spans="1:3" x14ac:dyDescent="0.25">
      <c r="A165" t="s">
        <v>2132</v>
      </c>
      <c r="B165">
        <v>28.797163557175775</v>
      </c>
      <c r="C165">
        <v>3140.653919378517</v>
      </c>
    </row>
    <row r="166" spans="1:3" x14ac:dyDescent="0.25">
      <c r="A166" t="s">
        <v>2135</v>
      </c>
      <c r="B166">
        <v>22.692588990426497</v>
      </c>
      <c r="C166">
        <v>2474.8815421395757</v>
      </c>
    </row>
    <row r="167" spans="1:3" x14ac:dyDescent="0.25">
      <c r="A167" t="s">
        <v>2138</v>
      </c>
      <c r="B167">
        <v>16.055586424708384</v>
      </c>
      <c r="C167">
        <v>1751.041915380441</v>
      </c>
    </row>
    <row r="168" spans="1:3" x14ac:dyDescent="0.25">
      <c r="A168" t="s">
        <v>2141</v>
      </c>
      <c r="B168">
        <v>9.0384081745691898</v>
      </c>
      <c r="C168">
        <v>985.73986295709699</v>
      </c>
    </row>
    <row r="169" spans="1:3" x14ac:dyDescent="0.25">
      <c r="A169" t="s">
        <v>2144</v>
      </c>
      <c r="B169">
        <v>1.4747395833333332</v>
      </c>
      <c r="C169">
        <v>160.83690476190475</v>
      </c>
    </row>
    <row r="170" spans="1:3" x14ac:dyDescent="0.25">
      <c r="A170" t="s">
        <v>2147</v>
      </c>
      <c r="B170">
        <v>0.36868489583333336</v>
      </c>
      <c r="C170">
        <v>40.209226190476194</v>
      </c>
    </row>
    <row r="171" spans="1:3" x14ac:dyDescent="0.25">
      <c r="A171" t="s">
        <v>2150</v>
      </c>
      <c r="B171">
        <v>2.2596020436422979</v>
      </c>
      <c r="C171">
        <v>246.43496573927428</v>
      </c>
    </row>
    <row r="172" spans="1:3" x14ac:dyDescent="0.25">
      <c r="A172" t="s">
        <v>2153</v>
      </c>
      <c r="B172">
        <v>4.0138966061770969</v>
      </c>
      <c r="C172">
        <v>437.7604788451103</v>
      </c>
    </row>
    <row r="173" spans="1:3" x14ac:dyDescent="0.25">
      <c r="A173" t="s">
        <v>2156</v>
      </c>
      <c r="B173">
        <v>5.673147247606626</v>
      </c>
      <c r="C173">
        <v>618.72038553489404</v>
      </c>
    </row>
    <row r="174" spans="1:3" x14ac:dyDescent="0.25">
      <c r="A174" t="s">
        <v>2159</v>
      </c>
      <c r="B174">
        <v>7.1992908892939447</v>
      </c>
      <c r="C174">
        <v>785.16347984462936</v>
      </c>
    </row>
    <row r="175" spans="1:3" x14ac:dyDescent="0.25">
      <c r="A175" t="s">
        <v>2162</v>
      </c>
      <c r="B175">
        <v>8.5566556560335307</v>
      </c>
      <c r="C175">
        <v>933.19934338455482</v>
      </c>
    </row>
    <row r="176" spans="1:3" x14ac:dyDescent="0.25">
      <c r="A176" t="s">
        <v>2165</v>
      </c>
      <c r="B176">
        <v>9.7134480119678592</v>
      </c>
      <c r="C176">
        <v>1059.3605342031885</v>
      </c>
    </row>
    <row r="177" spans="1:3" x14ac:dyDescent="0.25">
      <c r="A177" t="s">
        <v>2168</v>
      </c>
      <c r="B177">
        <v>10.642560402802324</v>
      </c>
      <c r="C177">
        <v>1160.6906692362372</v>
      </c>
    </row>
    <row r="178" spans="1:3" x14ac:dyDescent="0.25">
      <c r="A178" t="s">
        <v>2171</v>
      </c>
      <c r="B178">
        <v>11.322217703711383</v>
      </c>
      <c r="C178">
        <v>1234.8149267068088</v>
      </c>
    </row>
    <row r="179" spans="1:3" x14ac:dyDescent="0.25">
      <c r="A179" t="s">
        <v>2174</v>
      </c>
      <c r="B179">
        <v>11.736490361332333</v>
      </c>
      <c r="C179">
        <v>1279.9960100195915</v>
      </c>
    </row>
    <row r="180" spans="1:3" x14ac:dyDescent="0.25">
      <c r="A180" t="s">
        <v>2177</v>
      </c>
      <c r="B180">
        <v>11.875668613198728</v>
      </c>
      <c r="C180">
        <v>1295.1749605904899</v>
      </c>
    </row>
    <row r="181" spans="1:3" x14ac:dyDescent="0.25">
      <c r="A181" t="s">
        <v>2180</v>
      </c>
      <c r="B181">
        <v>11.736490361332333</v>
      </c>
      <c r="C181">
        <v>1279.9960100195915</v>
      </c>
    </row>
    <row r="182" spans="1:3" x14ac:dyDescent="0.25">
      <c r="A182" t="s">
        <v>2183</v>
      </c>
      <c r="B182">
        <v>11.322217703711383</v>
      </c>
      <c r="C182">
        <v>1234.8149267068088</v>
      </c>
    </row>
    <row r="183" spans="1:3" x14ac:dyDescent="0.25">
      <c r="A183" t="s">
        <v>2186</v>
      </c>
      <c r="B183">
        <v>10.642560402802324</v>
      </c>
      <c r="C183">
        <v>1160.6906692362372</v>
      </c>
    </row>
    <row r="184" spans="1:3" x14ac:dyDescent="0.25">
      <c r="A184" t="s">
        <v>2189</v>
      </c>
      <c r="B184">
        <v>9.7134480119678592</v>
      </c>
      <c r="C184">
        <v>1059.3605342031885</v>
      </c>
    </row>
    <row r="185" spans="1:3" x14ac:dyDescent="0.25">
      <c r="A185" t="s">
        <v>2192</v>
      </c>
      <c r="B185">
        <v>8.5566556560335307</v>
      </c>
      <c r="C185">
        <v>933.19934338455482</v>
      </c>
    </row>
    <row r="186" spans="1:3" x14ac:dyDescent="0.25">
      <c r="A186" t="s">
        <v>2195</v>
      </c>
      <c r="B186">
        <v>7.1992908892939447</v>
      </c>
      <c r="C186">
        <v>785.16347984462936</v>
      </c>
    </row>
    <row r="187" spans="1:3" x14ac:dyDescent="0.25">
      <c r="A187" t="s">
        <v>2198</v>
      </c>
      <c r="B187">
        <v>5.673147247606626</v>
      </c>
      <c r="C187">
        <v>618.72038553489404</v>
      </c>
    </row>
    <row r="188" spans="1:3" x14ac:dyDescent="0.25">
      <c r="A188" t="s">
        <v>2201</v>
      </c>
      <c r="B188">
        <v>4.0138966061770969</v>
      </c>
      <c r="C188">
        <v>437.7604788451103</v>
      </c>
    </row>
    <row r="189" spans="1:3" x14ac:dyDescent="0.25">
      <c r="A189" t="s">
        <v>2204</v>
      </c>
      <c r="B189">
        <v>2.2596020436422979</v>
      </c>
      <c r="C189">
        <v>246.43496573927428</v>
      </c>
    </row>
    <row r="190" spans="1:3" x14ac:dyDescent="0.25">
      <c r="A190" t="s">
        <v>2207</v>
      </c>
      <c r="B190">
        <v>0.36868489583333336</v>
      </c>
      <c r="C190">
        <v>40.209226190476194</v>
      </c>
    </row>
    <row r="191" spans="1:3" x14ac:dyDescent="0.25">
      <c r="A191" t="s">
        <v>1652</v>
      </c>
      <c r="B191">
        <v>0.5555245535714286</v>
      </c>
      <c r="C191">
        <v>25.471081349206351</v>
      </c>
    </row>
    <row r="192" spans="1:3" x14ac:dyDescent="0.25">
      <c r="A192" t="s">
        <v>2210</v>
      </c>
      <c r="B192">
        <v>2.222098214285714</v>
      </c>
      <c r="C192">
        <v>101.88432539682537</v>
      </c>
    </row>
    <row r="193" spans="1:3" x14ac:dyDescent="0.25">
      <c r="A193" t="s">
        <v>2213</v>
      </c>
      <c r="B193">
        <v>0.5555245535714286</v>
      </c>
      <c r="C193">
        <v>25.471081349206351</v>
      </c>
    </row>
    <row r="194" spans="1:3" x14ac:dyDescent="0.25">
      <c r="A194" t="s">
        <v>2216</v>
      </c>
      <c r="B194">
        <v>3.4047080060229167</v>
      </c>
      <c r="C194">
        <v>156.10758162564872</v>
      </c>
    </row>
    <row r="195" spans="1:3" x14ac:dyDescent="0.25">
      <c r="A195" t="s">
        <v>2219</v>
      </c>
      <c r="B195">
        <v>13.618832024091663</v>
      </c>
      <c r="C195">
        <v>624.43032650259465</v>
      </c>
    </row>
    <row r="196" spans="1:3" x14ac:dyDescent="0.25">
      <c r="A196" t="s">
        <v>2222</v>
      </c>
      <c r="B196">
        <v>3.4047080060229167</v>
      </c>
      <c r="C196">
        <v>156.10758162564872</v>
      </c>
    </row>
    <row r="197" spans="1:3" x14ac:dyDescent="0.25">
      <c r="A197" t="s">
        <v>2225</v>
      </c>
      <c r="B197">
        <v>6.0480321961342547</v>
      </c>
      <c r="C197">
        <v>277.30533075447079</v>
      </c>
    </row>
    <row r="198" spans="1:3" x14ac:dyDescent="0.25">
      <c r="A198" t="s">
        <v>2228</v>
      </c>
      <c r="B198">
        <v>24.192128784537012</v>
      </c>
      <c r="C198">
        <v>1109.2213230178829</v>
      </c>
    </row>
    <row r="199" spans="1:3" x14ac:dyDescent="0.25">
      <c r="A199" t="s">
        <v>2231</v>
      </c>
      <c r="B199">
        <v>6.0480321961342547</v>
      </c>
      <c r="C199">
        <v>277.30533075447079</v>
      </c>
    </row>
    <row r="200" spans="1:3" x14ac:dyDescent="0.25">
      <c r="A200" t="s">
        <v>2234</v>
      </c>
      <c r="B200">
        <v>8.5481467445206665</v>
      </c>
      <c r="C200">
        <v>391.93684548210308</v>
      </c>
    </row>
    <row r="201" spans="1:3" x14ac:dyDescent="0.25">
      <c r="A201" t="s">
        <v>2237</v>
      </c>
      <c r="B201">
        <v>34.192586978082659</v>
      </c>
      <c r="C201">
        <v>1567.7473819284121</v>
      </c>
    </row>
    <row r="202" spans="1:3" x14ac:dyDescent="0.25">
      <c r="A202" t="s">
        <v>2240</v>
      </c>
      <c r="B202">
        <v>8.5481467445206665</v>
      </c>
      <c r="C202">
        <v>391.93684548210308</v>
      </c>
    </row>
    <row r="203" spans="1:3" x14ac:dyDescent="0.25">
      <c r="A203" t="s">
        <v>2243</v>
      </c>
      <c r="B203">
        <v>10.847699220946176</v>
      </c>
      <c r="C203">
        <v>497.37248791635233</v>
      </c>
    </row>
    <row r="204" spans="1:3" x14ac:dyDescent="0.25">
      <c r="A204" t="s">
        <v>2246</v>
      </c>
      <c r="B204">
        <v>43.390796883784695</v>
      </c>
      <c r="C204">
        <v>1989.4899516654089</v>
      </c>
    </row>
    <row r="205" spans="1:3" x14ac:dyDescent="0.25">
      <c r="A205" t="s">
        <v>2249</v>
      </c>
      <c r="B205">
        <v>10.847699220946176</v>
      </c>
      <c r="C205">
        <v>497.37248791635233</v>
      </c>
    </row>
    <row r="206" spans="1:3" x14ac:dyDescent="0.25">
      <c r="A206" t="s">
        <v>2252</v>
      </c>
      <c r="B206">
        <v>12.892940196636886</v>
      </c>
      <c r="C206">
        <v>591.14781960175912</v>
      </c>
    </row>
    <row r="207" spans="1:3" x14ac:dyDescent="0.25">
      <c r="A207" t="s">
        <v>2255</v>
      </c>
      <c r="B207">
        <v>51.571760786547529</v>
      </c>
      <c r="C207">
        <v>2364.5912784070356</v>
      </c>
    </row>
    <row r="208" spans="1:3" x14ac:dyDescent="0.25">
      <c r="A208" t="s">
        <v>2258</v>
      </c>
      <c r="B208">
        <v>12.892940196636886</v>
      </c>
      <c r="C208">
        <v>591.14781960175912</v>
      </c>
    </row>
    <row r="209" spans="1:3" x14ac:dyDescent="0.25">
      <c r="A209" t="s">
        <v>2261</v>
      </c>
      <c r="B209">
        <v>14.635964020959111</v>
      </c>
      <c r="C209">
        <v>671.06634226199594</v>
      </c>
    </row>
    <row r="210" spans="1:3" x14ac:dyDescent="0.25">
      <c r="A210" t="s">
        <v>2264</v>
      </c>
      <c r="B210">
        <v>58.543856083836438</v>
      </c>
      <c r="C210">
        <v>2684.2653690479833</v>
      </c>
    </row>
    <row r="211" spans="1:3" x14ac:dyDescent="0.25">
      <c r="A211" t="s">
        <v>2267</v>
      </c>
      <c r="B211">
        <v>14.635964020959111</v>
      </c>
      <c r="C211">
        <v>671.06634226199594</v>
      </c>
    </row>
    <row r="212" spans="1:3" x14ac:dyDescent="0.25">
      <c r="A212" t="s">
        <v>2270</v>
      </c>
      <c r="B212">
        <v>16.035925755136923</v>
      </c>
      <c r="C212">
        <v>735.25529482542947</v>
      </c>
    </row>
    <row r="213" spans="1:3" x14ac:dyDescent="0.25">
      <c r="A213" t="s">
        <v>2273</v>
      </c>
      <c r="B213">
        <v>64.14370302054769</v>
      </c>
      <c r="C213">
        <v>2941.0211793017179</v>
      </c>
    </row>
    <row r="214" spans="1:3" x14ac:dyDescent="0.25">
      <c r="A214" t="s">
        <v>2276</v>
      </c>
      <c r="B214">
        <v>16.035925755136923</v>
      </c>
      <c r="C214">
        <v>735.25529482542947</v>
      </c>
    </row>
    <row r="215" spans="1:3" x14ac:dyDescent="0.25">
      <c r="A215" t="s">
        <v>2279</v>
      </c>
      <c r="B215">
        <v>17.060015222690669</v>
      </c>
      <c r="C215">
        <v>782.21031412967159</v>
      </c>
    </row>
    <row r="216" spans="1:3" x14ac:dyDescent="0.25">
      <c r="A216" t="s">
        <v>2282</v>
      </c>
      <c r="B216">
        <v>68.240060890762663</v>
      </c>
      <c r="C216">
        <v>3128.8412565186854</v>
      </c>
    </row>
    <row r="217" spans="1:3" x14ac:dyDescent="0.25">
      <c r="A217" t="s">
        <v>2285</v>
      </c>
      <c r="B217">
        <v>17.060015222690669</v>
      </c>
      <c r="C217">
        <v>782.21031412967159</v>
      </c>
    </row>
    <row r="218" spans="1:3" x14ac:dyDescent="0.25">
      <c r="A218" t="s">
        <v>2288</v>
      </c>
      <c r="B218">
        <v>17.684230198087338</v>
      </c>
      <c r="C218">
        <v>810.83088601169743</v>
      </c>
    </row>
    <row r="219" spans="1:3" x14ac:dyDescent="0.25">
      <c r="A219" t="s">
        <v>2291</v>
      </c>
      <c r="B219">
        <v>70.736920792349338</v>
      </c>
      <c r="C219">
        <v>3243.3235440467888</v>
      </c>
    </row>
    <row r="220" spans="1:3" x14ac:dyDescent="0.25">
      <c r="A220" t="s">
        <v>2294</v>
      </c>
      <c r="B220">
        <v>17.684230198087338</v>
      </c>
      <c r="C220">
        <v>810.83088601169743</v>
      </c>
    </row>
    <row r="221" spans="1:3" x14ac:dyDescent="0.25">
      <c r="A221" t="s">
        <v>2297</v>
      </c>
      <c r="B221">
        <v>17.893940270587521</v>
      </c>
      <c r="C221">
        <v>820.44619875000876</v>
      </c>
    </row>
    <row r="222" spans="1:3" x14ac:dyDescent="0.25">
      <c r="A222" t="s">
        <v>2299</v>
      </c>
      <c r="B222">
        <v>71.575761082350084</v>
      </c>
      <c r="C222">
        <v>3281.784795000035</v>
      </c>
    </row>
    <row r="223" spans="1:3" x14ac:dyDescent="0.25">
      <c r="A223" t="s">
        <v>2302</v>
      </c>
      <c r="B223">
        <v>17.893940270587521</v>
      </c>
      <c r="C223">
        <v>820.44619875000876</v>
      </c>
    </row>
    <row r="224" spans="1:3" x14ac:dyDescent="0.25">
      <c r="A224" t="s">
        <v>2305</v>
      </c>
      <c r="B224">
        <v>17.684230198087338</v>
      </c>
      <c r="C224">
        <v>810.83088601169743</v>
      </c>
    </row>
    <row r="225" spans="1:3" x14ac:dyDescent="0.25">
      <c r="A225" t="s">
        <v>2308</v>
      </c>
      <c r="B225">
        <v>70.736920792349338</v>
      </c>
      <c r="C225">
        <v>3243.3235440467888</v>
      </c>
    </row>
    <row r="226" spans="1:3" x14ac:dyDescent="0.25">
      <c r="A226" t="s">
        <v>2311</v>
      </c>
      <c r="B226">
        <v>17.684230198087338</v>
      </c>
      <c r="C226">
        <v>810.83088601169743</v>
      </c>
    </row>
    <row r="227" spans="1:3" x14ac:dyDescent="0.25">
      <c r="A227" t="s">
        <v>2314</v>
      </c>
      <c r="B227">
        <v>17.060015222690669</v>
      </c>
      <c r="C227">
        <v>782.21031412967159</v>
      </c>
    </row>
    <row r="228" spans="1:3" x14ac:dyDescent="0.25">
      <c r="A228" t="s">
        <v>2317</v>
      </c>
      <c r="B228">
        <v>68.240060890762663</v>
      </c>
      <c r="C228">
        <v>3128.8412565186854</v>
      </c>
    </row>
    <row r="229" spans="1:3" x14ac:dyDescent="0.25">
      <c r="A229" t="s">
        <v>2320</v>
      </c>
      <c r="B229">
        <v>17.060015222690669</v>
      </c>
      <c r="C229">
        <v>782.21031412967159</v>
      </c>
    </row>
    <row r="230" spans="1:3" x14ac:dyDescent="0.25">
      <c r="A230" t="s">
        <v>2323</v>
      </c>
      <c r="B230">
        <v>16.035925755136923</v>
      </c>
      <c r="C230">
        <v>735.25529482542947</v>
      </c>
    </row>
    <row r="231" spans="1:3" x14ac:dyDescent="0.25">
      <c r="A231" t="s">
        <v>2326</v>
      </c>
      <c r="B231">
        <v>64.14370302054769</v>
      </c>
      <c r="C231">
        <v>2941.0211793017179</v>
      </c>
    </row>
    <row r="232" spans="1:3" x14ac:dyDescent="0.25">
      <c r="A232" t="s">
        <v>2329</v>
      </c>
      <c r="B232">
        <v>16.035925755136923</v>
      </c>
      <c r="C232">
        <v>735.25529482542947</v>
      </c>
    </row>
    <row r="233" spans="1:3" x14ac:dyDescent="0.25">
      <c r="A233" t="s">
        <v>2332</v>
      </c>
      <c r="B233">
        <v>14.635964020959111</v>
      </c>
      <c r="C233">
        <v>671.06634226199594</v>
      </c>
    </row>
    <row r="234" spans="1:3" x14ac:dyDescent="0.25">
      <c r="A234" t="s">
        <v>2335</v>
      </c>
      <c r="B234">
        <v>58.543856083836438</v>
      </c>
      <c r="C234">
        <v>2684.2653690479833</v>
      </c>
    </row>
    <row r="235" spans="1:3" x14ac:dyDescent="0.25">
      <c r="A235" t="s">
        <v>2338</v>
      </c>
      <c r="B235">
        <v>14.635964020959111</v>
      </c>
      <c r="C235">
        <v>671.06634226199594</v>
      </c>
    </row>
    <row r="236" spans="1:3" x14ac:dyDescent="0.25">
      <c r="A236" t="s">
        <v>2341</v>
      </c>
      <c r="B236">
        <v>12.892940196636886</v>
      </c>
      <c r="C236">
        <v>591.14781960175912</v>
      </c>
    </row>
    <row r="237" spans="1:3" x14ac:dyDescent="0.25">
      <c r="A237" t="s">
        <v>2344</v>
      </c>
      <c r="B237">
        <v>51.571760786547529</v>
      </c>
      <c r="C237">
        <v>2364.5912784070356</v>
      </c>
    </row>
    <row r="238" spans="1:3" x14ac:dyDescent="0.25">
      <c r="A238" t="s">
        <v>2347</v>
      </c>
      <c r="B238">
        <v>12.892940196636886</v>
      </c>
      <c r="C238">
        <v>591.14781960175912</v>
      </c>
    </row>
    <row r="239" spans="1:3" x14ac:dyDescent="0.25">
      <c r="A239" t="s">
        <v>2350</v>
      </c>
      <c r="B239">
        <v>10.847699220946176</v>
      </c>
      <c r="C239">
        <v>497.37248791635233</v>
      </c>
    </row>
    <row r="240" spans="1:3" x14ac:dyDescent="0.25">
      <c r="A240" t="s">
        <v>2353</v>
      </c>
      <c r="B240">
        <v>43.390796883784695</v>
      </c>
      <c r="C240">
        <v>1989.4899516654089</v>
      </c>
    </row>
    <row r="241" spans="1:3" x14ac:dyDescent="0.25">
      <c r="A241" t="s">
        <v>2356</v>
      </c>
      <c r="B241">
        <v>10.847699220946176</v>
      </c>
      <c r="C241">
        <v>497.37248791635233</v>
      </c>
    </row>
    <row r="242" spans="1:3" x14ac:dyDescent="0.25">
      <c r="A242" t="s">
        <v>2359</v>
      </c>
      <c r="B242">
        <v>8.5481467445206665</v>
      </c>
      <c r="C242">
        <v>391.93684548210308</v>
      </c>
    </row>
    <row r="243" spans="1:3" x14ac:dyDescent="0.25">
      <c r="A243" t="s">
        <v>2362</v>
      </c>
      <c r="B243">
        <v>34.192586978082659</v>
      </c>
      <c r="C243">
        <v>1567.7473819284121</v>
      </c>
    </row>
    <row r="244" spans="1:3" x14ac:dyDescent="0.25">
      <c r="A244" t="s">
        <v>2365</v>
      </c>
      <c r="B244">
        <v>8.5481467445206665</v>
      </c>
      <c r="C244">
        <v>391.93684548210308</v>
      </c>
    </row>
    <row r="245" spans="1:3" x14ac:dyDescent="0.25">
      <c r="A245" t="s">
        <v>2368</v>
      </c>
      <c r="B245">
        <v>6.0480321961342547</v>
      </c>
      <c r="C245">
        <v>277.30533075447079</v>
      </c>
    </row>
    <row r="246" spans="1:3" x14ac:dyDescent="0.25">
      <c r="A246" t="s">
        <v>2371</v>
      </c>
      <c r="B246">
        <v>24.192128784537012</v>
      </c>
      <c r="C246">
        <v>1109.2213230178829</v>
      </c>
    </row>
    <row r="247" spans="1:3" x14ac:dyDescent="0.25">
      <c r="A247" t="s">
        <v>2374</v>
      </c>
      <c r="B247">
        <v>6.0480321961342547</v>
      </c>
      <c r="C247">
        <v>277.30533075447079</v>
      </c>
    </row>
    <row r="248" spans="1:3" x14ac:dyDescent="0.25">
      <c r="A248" t="s">
        <v>2377</v>
      </c>
      <c r="B248">
        <v>3.4047080060229167</v>
      </c>
      <c r="C248">
        <v>156.10758162564872</v>
      </c>
    </row>
    <row r="249" spans="1:3" x14ac:dyDescent="0.25">
      <c r="A249" t="s">
        <v>2380</v>
      </c>
      <c r="B249">
        <v>13.618832024091663</v>
      </c>
      <c r="C249">
        <v>624.43032650259465</v>
      </c>
    </row>
    <row r="250" spans="1:3" x14ac:dyDescent="0.25">
      <c r="A250" t="s">
        <v>2383</v>
      </c>
      <c r="B250">
        <v>3.4047080060229167</v>
      </c>
      <c r="C250">
        <v>156.10758162564872</v>
      </c>
    </row>
    <row r="251" spans="1:3" x14ac:dyDescent="0.25">
      <c r="A251" t="s">
        <v>2386</v>
      </c>
      <c r="B251">
        <v>0.5555245535714286</v>
      </c>
      <c r="C251">
        <v>25.471081349206351</v>
      </c>
    </row>
    <row r="252" spans="1:3" x14ac:dyDescent="0.25">
      <c r="A252" t="s">
        <v>2389</v>
      </c>
      <c r="B252">
        <v>2.222098214285714</v>
      </c>
      <c r="C252">
        <v>101.88432539682537</v>
      </c>
    </row>
    <row r="253" spans="1:3" x14ac:dyDescent="0.25">
      <c r="A253" t="s">
        <v>2392</v>
      </c>
      <c r="B253">
        <v>0.5555245535714286</v>
      </c>
      <c r="C253">
        <v>25.471081349206351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Dashboard</vt:lpstr>
      <vt:lpstr>Floor Plan</vt:lpstr>
      <vt:lpstr>Tables</vt:lpstr>
      <vt:lpstr>Options</vt:lpstr>
      <vt:lpstr>recorders</vt:lpstr>
      <vt:lpstr>loadCases</vt:lpstr>
      <vt:lpstr>nodeLoads</vt:lpstr>
      <vt:lpstr>eleLoads</vt:lpstr>
      <vt:lpstr>eleProperties</vt:lpstr>
      <vt:lpstr>eleTransf</vt:lpstr>
      <vt:lpstr>integration_nodes</vt:lpstr>
      <vt:lpstr>integration_weights</vt:lpstr>
      <vt:lpstr>nodes</vt:lpstr>
      <vt:lpstr>nodeFix</vt:lpstr>
      <vt:lpstr>diaphragms</vt:lpstr>
      <vt:lpstr>nodeMass</vt:lpstr>
      <vt:lpstr>elements</vt:lpstr>
      <vt:lpstr>multispring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wroser;William Roser</dc:creator>
  <cp:lastModifiedBy>wroser</cp:lastModifiedBy>
  <cp:lastPrinted>2022-08-10T00:11:54Z</cp:lastPrinted>
  <dcterms:created xsi:type="dcterms:W3CDTF">2021-11-15T19:18:51Z</dcterms:created>
  <dcterms:modified xsi:type="dcterms:W3CDTF">2022-11-17T03:45:12Z</dcterms:modified>
</cp:coreProperties>
</file>