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wfros\Documents\Will\College\Code Workshop\Model_10_Story\"/>
    </mc:Choice>
  </mc:AlternateContent>
  <xr:revisionPtr revIDLastSave="0" documentId="13_ncr:1_{B5B1E3A9-0D27-44E7-993D-02C958ECF55C}" xr6:coauthVersionLast="47" xr6:coauthVersionMax="47" xr10:uidLastSave="{00000000-0000-0000-0000-000000000000}"/>
  <bookViews>
    <workbookView xWindow="-108" yWindow="-108" windowWidth="23256" windowHeight="12720" tabRatio="903" firstSheet="1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893" r:id="rId13"/>
    <sheet name="nodeFix" sheetId="894" r:id="rId14"/>
    <sheet name="diaphragms" sheetId="895" r:id="rId15"/>
    <sheet name="nodeMass" sheetId="896" r:id="rId16"/>
    <sheet name="elements" sheetId="897" r:id="rId17"/>
    <sheet name="multispring" sheetId="898" r:id="rId18"/>
  </sheets>
  <functionGroups builtInGroupCount="19"/>
  <externalReferences>
    <externalReference r:id="rId19"/>
  </externalReferences>
  <definedNames>
    <definedName name="Base_Spring_Table">OFFSET(Tables!$AI$3,0,0,COUNTA(Tables!$AI$3:$AI$1048567),7)</definedName>
    <definedName name="Case_List">OFFSET(loadCases!$A$2,0,0,COUNTA(loadCases!$A$2:$A$1048567),1)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" i="16" l="1"/>
  <c r="AN5" i="16"/>
  <c r="AL6" i="16"/>
  <c r="AL3" i="16"/>
  <c r="AL5" i="16"/>
  <c r="AL4" i="16"/>
  <c r="AN6" i="16"/>
  <c r="AN3" i="16"/>
  <c r="P37" i="238"/>
  <c r="P38" i="238"/>
  <c r="P39" i="238"/>
  <c r="P36" i="238"/>
  <c r="Q37" i="238"/>
  <c r="Q38" i="238"/>
  <c r="Q39" i="238"/>
  <c r="Q36" i="238"/>
  <c r="M18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A18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17" i="238"/>
  <c r="M17" i="238"/>
  <c r="D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17" i="238"/>
  <c r="T27" i="6"/>
  <c r="S28" i="6"/>
  <c r="S27" i="6"/>
  <c r="S26" i="6"/>
  <c r="R22" i="6"/>
  <c r="R21" i="6"/>
  <c r="E22" i="6"/>
  <c r="E21" i="6"/>
  <c r="E20" i="6"/>
  <c r="F20" i="6" s="1"/>
  <c r="G20" i="6"/>
  <c r="F13" i="14" l="1"/>
  <c r="F12" i="14"/>
  <c r="F11" i="14"/>
  <c r="F10" i="14"/>
  <c r="F9" i="14"/>
  <c r="F8" i="14"/>
  <c r="F7" i="14"/>
  <c r="F6" i="14"/>
  <c r="F5" i="14"/>
  <c r="F4" i="14"/>
  <c r="F3" i="14"/>
  <c r="S19" i="6" l="1"/>
  <c r="S18" i="6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13" i="14"/>
  <c r="E12" i="14"/>
  <c r="E11" i="14"/>
  <c r="E10" i="14"/>
  <c r="E9" i="14"/>
  <c r="E8" i="14"/>
  <c r="E7" i="14"/>
  <c r="E6" i="14"/>
  <c r="E5" i="14"/>
  <c r="E4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<sst xmlns="http://schemas.openxmlformats.org/spreadsheetml/2006/main" count="14771" uniqueCount="2776">
  <si>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</si>
  <si>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</si>
  <si>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</si>
  <si>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</si>
  <si>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</si>
  <si>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</si>
  <si>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</si>
  <si>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</si>
  <si>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</si>
  <si>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</si>
  <si>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</si>
  <si>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</si>
  <si>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</si>
  <si>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</si>
  <si>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</si>
  <si>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</si>
  <si>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</si>
  <si>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</si>
  <si>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</si>
  <si>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</si>
  <si>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</si>
  <si>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</si>
  <si>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</si>
  <si>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</si>
  <si>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</si>
  <si>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</si>
  <si>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</si>
  <si>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</si>
  <si>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</si>
  <si>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</si>
  <si>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</si>
  <si>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</si>
  <si>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</si>
  <si>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</si>
  <si>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</si>
  <si>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</si>
  <si>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</si>
  <si>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</si>
  <si>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</si>
  <si>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</si>
  <si>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</si>
  <si>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</si>
  <si>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</si>
  <si>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</si>
  <si>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</si>
  <si>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</si>
  <si>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</si>
  <si>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</si>
  <si>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</si>
  <si>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</si>
  <si>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</si>
  <si>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</si>
  <si>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</si>
  <si>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</si>
  <si>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</si>
  <si>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</si>
  <si>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</si>
  <si>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</si>
  <si>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</si>
  <si>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</si>
  <si>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</si>
  <si>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</si>
  <si>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</si>
  <si>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</si>
  <si>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</si>
  <si>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</si>
  <si>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</si>
  <si>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</si>
  <si>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</si>
  <si>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</si>
  <si>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</si>
  <si>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</si>
  <si>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</si>
  <si>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</si>
  <si>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</si>
  <si>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</si>
  <si>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</si>
  <si>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</si>
  <si>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</si>
  <si>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</si>
  <si>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</si>
  <si>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</si>
  <si>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</si>
  <si>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</si>
  <si>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</si>
  <si>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</si>
  <si>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</si>
  <si>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</si>
  <si>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</si>
  <si>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</si>
  <si>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</si>
  <si>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</si>
  <si>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</si>
  <si>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</si>
  <si>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</si>
  <si>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</si>
  <si>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</si>
  <si>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</si>
  <si>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</si>
  <si>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</si>
  <si>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</si>
  <si>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</si>
  <si>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</si>
  <si>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</si>
  <si>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</si>
  <si>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</si>
  <si>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</si>
  <si>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</si>
  <si>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</si>
  <si>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</si>
  <si>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</si>
  <si>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</si>
  <si>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</si>
  <si>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</si>
  <si>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</si>
  <si>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</si>
  <si>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</si>
  <si>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</si>
  <si>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</si>
  <si>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</si>
  <si>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</si>
  <si>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</si>
  <si>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</si>
  <si>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</si>
  <si>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</si>
  <si>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</si>
  <si>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</si>
  <si>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</si>
  <si>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</si>
  <si>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</si>
  <si>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</si>
  <si>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</si>
  <si>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</si>
  <si>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</si>
  <si>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</si>
  <si>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</si>
  <si>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</si>
  <si>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</si>
  <si>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</si>
  <si>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</si>
  <si>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</si>
  <si>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</si>
  <si>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</si>
  <si>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</si>
  <si>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</si>
  <si>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</si>
  <si>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</si>
  <si>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</si>
  <si>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</si>
  <si>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</si>
  <si>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</si>
  <si>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</si>
  <si>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</si>
  <si>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</si>
  <si>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</si>
  <si>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</si>
  <si>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</si>
  <si>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</si>
  <si>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</si>
  <si>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</si>
  <si>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</si>
  <si>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</si>
  <si>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</si>
  <si>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</si>
  <si>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</si>
  <si>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</si>
  <si>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</si>
  <si>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</si>
  <si>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</si>
  <si>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</si>
  <si>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</si>
  <si>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</si>
  <si>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</si>
  <si>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</si>
  <si>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</si>
  <si>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</si>
  <si>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</si>
  <si>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</si>
  <si>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</si>
  <si>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</si>
  <si>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</si>
  <si>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</si>
  <si>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</si>
  <si>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</si>
  <si>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</si>
  <si>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</si>
  <si>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</si>
  <si>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</si>
  <si>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</si>
  <si>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</si>
  <si>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</si>
  <si>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</si>
  <si>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</si>
  <si>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</si>
  <si>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</si>
  <si>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</si>
  <si>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</si>
  <si>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</si>
  <si>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</si>
  <si>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</si>
  <si>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</si>
  <si>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</si>
  <si>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</si>
  <si>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</si>
  <si>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</si>
  <si>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</si>
  <si>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</si>
  <si>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</si>
  <si>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</si>
  <si>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</si>
  <si>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</si>
  <si>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</si>
  <si>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</si>
  <si>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</si>
  <si>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</si>
  <si>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</si>
  <si>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</si>
  <si>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</si>
  <si>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</si>
  <si>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</si>
  <si>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</si>
  <si>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</si>
  <si>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</si>
  <si>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</si>
  <si>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</si>
  <si>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</si>
  <si>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</si>
  <si>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</si>
  <si>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</si>
  <si>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</si>
  <si>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</si>
  <si>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</si>
  <si>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</si>
  <si>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</si>
  <si>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</si>
  <si>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</si>
  <si>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</si>
  <si>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</si>
  <si>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</si>
  <si>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</si>
  <si>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</si>
  <si>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</si>
  <si>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</si>
  <si>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</si>
  <si>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</si>
  <si>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</si>
  <si>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</si>
  <si>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</si>
  <si>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</si>
  <si>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</si>
  <si>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</si>
  <si>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</si>
  <si>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</si>
  <si>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</si>
  <si>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</si>
  <si>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</si>
  <si>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</si>
  <si>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</si>
  <si>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</si>
  <si>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</si>
  <si>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</si>
  <si>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</si>
  <si>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</si>
  <si>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</si>
  <si>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</si>
  <si>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</si>
  <si>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</si>
  <si>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</si>
  <si>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</si>
  <si>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</si>
  <si>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</si>
  <si>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</si>
  <si>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</si>
  <si>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</si>
  <si>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</si>
  <si>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</si>
  <si>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</si>
  <si>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</si>
  <si>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</si>
  <si>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</si>
  <si>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</si>
  <si>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</si>
  <si>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</si>
  <si>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</si>
  <si>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</si>
  <si>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</si>
  <si>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</si>
  <si>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</si>
  <si>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</si>
  <si>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</si>
  <si>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</si>
  <si>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</si>
  <si>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</si>
  <si>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</si>
  <si>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</si>
  <si>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</si>
  <si>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</si>
  <si>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</si>
  <si>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</si>
  <si>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</si>
  <si>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</si>
  <si>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</si>
  <si>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</si>
  <si>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</si>
  <si>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</si>
  <si>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</si>
  <si>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</si>
  <si>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</si>
  <si>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</si>
  <si>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</si>
  <si>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</si>
  <si>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</si>
  <si>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</si>
  <si>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</si>
  <si>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</si>
  <si>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</si>
  <si>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</si>
  <si>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</si>
  <si>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</si>
  <si>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</si>
  <si>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</si>
  <si>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</si>
  <si>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</si>
  <si>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</si>
  <si>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</si>
  <si>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</si>
  <si>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</si>
  <si>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</si>
  <si>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</si>
  <si>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</si>
  <si>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</si>
  <si>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</si>
  <si>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</si>
  <si>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</si>
  <si>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</si>
  <si>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</si>
  <si>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</si>
  <si>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</si>
  <si>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</si>
  <si>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</si>
  <si>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</si>
  <si>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</si>
  <si>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</si>
  <si>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</si>
  <si>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</si>
  <si>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</si>
  <si>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</si>
  <si>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</si>
  <si>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</si>
  <si>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</si>
  <si>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</si>
  <si>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</si>
  <si>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</si>
  <si>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</si>
  <si>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</si>
  <si>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</si>
  <si>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</si>
  <si>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</si>
  <si>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</si>
  <si>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</si>
  <si>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</si>
  <si>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</si>
  <si>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</si>
  <si>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</si>
  <si>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</si>
  <si>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</si>
  <si>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</si>
  <si>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</si>
  <si>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</si>
  <si>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</si>
  <si>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</si>
  <si>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</si>
  <si>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</si>
  <si>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</si>
  <si>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</si>
  <si>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</si>
  <si>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</si>
  <si>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</si>
  <si>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</si>
  <si>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</si>
  <si>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</si>
  <si>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</si>
  <si>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</si>
  <si>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</si>
  <si>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</si>
  <si>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</si>
  <si>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</si>
  <si>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</si>
  <si>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</si>
  <si>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</si>
  <si>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</si>
  <si>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</si>
  <si>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</si>
  <si>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</si>
  <si>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</si>
  <si>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</si>
  <si>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</si>
  <si>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</si>
  <si>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</si>
  <si>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</si>
  <si>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</si>
  <si>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</si>
  <si>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</si>
  <si>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</si>
  <si>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</si>
  <si>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</si>
  <si>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</si>
  <si>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</si>
  <si>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</si>
  <si>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</si>
  <si>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</si>
  <si>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</si>
  <si>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</si>
  <si>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</si>
  <si>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</si>
  <si>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</si>
  <si>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</si>
  <si>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</si>
  <si>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</si>
  <si>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</si>
  <si>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</si>
  <si>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</si>
  <si>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</si>
  <si>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</si>
  <si>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</si>
  <si>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</si>
  <si>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</si>
  <si>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</si>
  <si>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</si>
  <si>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</si>
  <si>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</si>
  <si>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</si>
  <si>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</si>
  <si>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</si>
  <si>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</si>
  <si>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</si>
  <si>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</si>
  <si>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</si>
  <si>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</si>
  <si>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</si>
  <si>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</si>
  <si>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</si>
  <si>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</si>
  <si>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</si>
  <si>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</si>
  <si>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</si>
  <si>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</si>
  <si>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</si>
  <si>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</si>
  <si>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</si>
  <si>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</si>
  <si>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</si>
  <si>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</si>
  <si>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</si>
  <si>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</si>
  <si>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</si>
  <si>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</si>
  <si>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</si>
  <si>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</si>
  <si>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</si>
  <si>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</si>
  <si>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</si>
  <si>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</si>
  <si>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</si>
  <si>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</si>
  <si>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</si>
  <si>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</si>
  <si>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</si>
  <si>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</si>
  <si>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</si>
  <si>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</si>
  <si>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</si>
  <si>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</si>
  <si>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</si>
  <si>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</si>
  <si>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</si>
  <si>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</si>
  <si>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</si>
  <si>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</si>
  <si>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</si>
  <si>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</si>
  <si>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</si>
  <si>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</si>
  <si>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</si>
  <si>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</si>
  <si>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</si>
  <si>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</si>
  <si>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</si>
  <si>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</si>
  <si>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</si>
  <si>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</si>
  <si>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</si>
  <si>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</si>
  <si>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</si>
  <si>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</si>
  <si>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</si>
  <si>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</si>
  <si>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</si>
  <si>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</si>
  <si>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</si>
  <si>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</si>
  <si>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</si>
  <si>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</si>
  <si>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</si>
  <si>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</si>
  <si>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</si>
  <si>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</si>
  <si>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</si>
  <si>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</si>
  <si>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</si>
  <si>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</si>
  <si>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</si>
  <si>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</si>
  <si>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</si>
  <si>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</si>
  <si>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</si>
  <si>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</si>
  <si>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</si>
  <si>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</si>
  <si>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</si>
  <si>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</si>
  <si>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</si>
  <si>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</si>
  <si>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</si>
  <si>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</si>
  <si>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</si>
  <si>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</si>
  <si>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</si>
  <si>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</si>
  <si>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</si>
  <si>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</si>
  <si>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</si>
  <si>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</si>
  <si>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</si>
  <si>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</si>
  <si>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</si>
  <si>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</si>
  <si>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</si>
  <si>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</si>
  <si>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</si>
  <si>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</si>
  <si>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</si>
  <si>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</si>
  <si>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</si>
  <si>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</si>
  <si>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</si>
  <si>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</si>
  <si>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</si>
  <si>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</si>
  <si>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</si>
  <si>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</si>
  <si>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</si>
  <si>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</si>
  <si>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</si>
  <si>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</si>
  <si>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</si>
  <si>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</si>
  <si>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</si>
  <si>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</si>
  <si>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</si>
  <si>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</si>
  <si>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</si>
  <si>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</si>
  <si>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</si>
  <si>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</si>
  <si>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</si>
  <si>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</si>
  <si>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</si>
  <si>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</si>
  <si>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</si>
  <si>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</si>
  <si>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</si>
  <si>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</si>
  <si>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</si>
  <si>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</si>
  <si>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</si>
  <si>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</si>
  <si>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</si>
  <si>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</si>
  <si>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</si>
  <si>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</si>
  <si>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</si>
  <si>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</si>
  <si>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</si>
  <si>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</si>
  <si>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</si>
  <si>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</si>
  <si>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</si>
  <si>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</si>
  <si>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</si>
  <si>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</si>
  <si>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</si>
  <si>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</si>
  <si>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</si>
  <si>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</si>
  <si>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</si>
  <si>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</si>
  <si>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</si>
  <si>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</si>
  <si>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</si>
  <si>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</si>
  <si>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</si>
  <si>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</si>
  <si>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</si>
  <si>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</si>
  <si>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</si>
  <si>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</si>
  <si>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</si>
  <si>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</si>
  <si>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</si>
  <si>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</si>
  <si>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</si>
  <si>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</si>
  <si>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</si>
  <si>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</si>
  <si>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</si>
  <si>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</si>
  <si>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</si>
  <si>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</si>
  <si>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</si>
  <si>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</si>
  <si>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</si>
  <si>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</si>
  <si>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</si>
  <si>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</si>
  <si>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</si>
  <si>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</si>
  <si>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</si>
  <si>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</si>
  <si>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</si>
  <si>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</si>
  <si>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</si>
  <si>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</si>
  <si>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</si>
  <si>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</si>
  <si>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</si>
  <si>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</si>
  <si>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</si>
  <si>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</si>
  <si>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</si>
  <si>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</si>
  <si>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</si>
  <si>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</si>
  <si>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</si>
  <si>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</si>
  <si>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</si>
  <si>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</si>
  <si>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</si>
  <si>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</si>
  <si>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</si>
  <si>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</si>
  <si>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</si>
  <si>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</si>
  <si>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</si>
  <si>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</si>
  <si>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</si>
  <si>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</si>
  <si>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</si>
  <si>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</si>
  <si>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</si>
  <si>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</si>
  <si>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</si>
  <si>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</si>
  <si>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</si>
  <si>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</si>
  <si>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</si>
  <si>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</si>
  <si>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</si>
  <si>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</si>
  <si>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</si>
  <si>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</si>
  <si>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</si>
  <si>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</si>
  <si>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</si>
  <si>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</si>
  <si>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</si>
  <si>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</si>
  <si>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</si>
  <si>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</si>
  <si>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</si>
  <si>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</si>
  <si>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</si>
  <si>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</si>
  <si>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</si>
  <si>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</si>
  <si>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</si>
  <si>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</si>
  <si>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</si>
  <si>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</si>
  <si>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</si>
  <si>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</si>
  <si>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</si>
  <si>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</si>
  <si>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</si>
  <si>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</si>
  <si>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</si>
  <si>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</si>
  <si>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</si>
  <si>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</si>
  <si>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</si>
  <si>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</si>
  <si>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</si>
  <si>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</si>
  <si>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</si>
  <si>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</si>
  <si>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</si>
  <si>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</si>
  <si>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</si>
  <si>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</si>
  <si>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</si>
  <si>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</si>
  <si>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</si>
  <si>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</si>
  <si>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</si>
  <si>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</si>
  <si>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</si>
  <si>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</si>
  <si>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</si>
  <si>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</si>
  <si>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</si>
  <si>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</si>
  <si>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</si>
  <si>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</si>
  <si>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</si>
  <si>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</si>
  <si>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</si>
  <si>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</si>
  <si>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</si>
  <si>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</si>
  <si>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</si>
  <si>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</si>
  <si>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</si>
  <si>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</si>
  <si>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</si>
  <si>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</si>
  <si>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</si>
  <si>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</si>
  <si>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</si>
  <si>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</si>
  <si>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</si>
  <si>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</si>
  <si>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</si>
  <si>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</si>
  <si>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</si>
  <si>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</si>
  <si>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</si>
  <si>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</si>
  <si>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</si>
  <si>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</si>
  <si>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</si>
  <si>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</si>
  <si>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</si>
  <si>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</si>
  <si>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</si>
  <si>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</si>
  <si>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</si>
  <si>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</si>
  <si>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</si>
  <si>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</si>
  <si>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</si>
  <si>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</si>
  <si>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</si>
  <si>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</si>
  <si>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</si>
  <si>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</si>
  <si>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</si>
  <si>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</si>
  <si>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</si>
  <si>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</si>
  <si>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</si>
  <si>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</si>
  <si>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</si>
  <si>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</si>
  <si>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</si>
  <si>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</si>
  <si>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</si>
  <si>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</si>
  <si>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</si>
  <si>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</si>
  <si>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</si>
  <si>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</si>
  <si>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</si>
  <si>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</si>
  <si>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</si>
  <si>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</si>
  <si>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</si>
  <si>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</si>
  <si>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</si>
  <si>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</si>
  <si>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</si>
  <si>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</si>
  <si>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</si>
  <si>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</si>
  <si>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</si>
  <si>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</si>
  <si>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</si>
  <si>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</si>
  <si>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</si>
  <si>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</si>
  <si>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</si>
  <si>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</si>
  <si>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</si>
  <si>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</si>
  <si>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</si>
  <si>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</si>
  <si>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</si>
  <si>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</si>
  <si>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</si>
  <si>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</si>
  <si>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</si>
  <si>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</si>
  <si>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</si>
  <si>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</si>
  <si>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</si>
  <si>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</si>
  <si>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</si>
  <si>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</si>
  <si>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</si>
  <si>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</si>
  <si>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</si>
  <si>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</si>
  <si>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</si>
  <si>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</si>
  <si>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</si>
  <si>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</si>
  <si>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</si>
  <si>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</si>
  <si>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</si>
  <si>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</si>
  <si>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</si>
  <si>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</si>
  <si>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</si>
  <si>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</si>
  <si>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</si>
  <si>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</si>
  <si>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</si>
  <si>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</si>
  <si>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</si>
  <si>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</si>
  <si>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</si>
  <si>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</si>
  <si>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</si>
  <si>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</si>
  <si>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</si>
  <si>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</si>
  <si>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</si>
  <si>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</si>
  <si>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</si>
  <si>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</si>
  <si>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</si>
  <si>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</si>
  <si>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</si>
  <si>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</si>
  <si>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</si>
  <si>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</si>
  <si>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</si>
  <si>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</si>
  <si>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</si>
  <si>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</si>
  <si>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</si>
  <si>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</si>
  <si>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</si>
  <si>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</si>
  <si>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</si>
  <si>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</si>
  <si>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</si>
  <si>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</si>
  <si>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</si>
  <si>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</si>
  <si>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</si>
  <si>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</si>
  <si>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</si>
  <si>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</si>
  <si>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</si>
  <si>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</si>
  <si>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</si>
  <si>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</si>
  <si>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</si>
  <si>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</si>
  <si>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</si>
  <si>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</si>
  <si>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</si>
  <si>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</si>
  <si>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</si>
  <si>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</si>
  <si>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</si>
  <si>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</si>
  <si>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</si>
  <si>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</si>
  <si>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</si>
  <si>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</si>
  <si>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</si>
  <si>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</si>
  <si>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</si>
  <si>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</si>
  <si>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</si>
  <si>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</si>
  <si>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</si>
  <si>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</si>
  <si>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</si>
  <si>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</si>
  <si>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</si>
  <si>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</si>
  <si>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</si>
  <si>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</si>
  <si>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</si>
  <si>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</si>
  <si>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</si>
  <si>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</si>
  <si>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</si>
  <si>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</si>
  <si>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</si>
  <si>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</si>
  <si>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</si>
  <si>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</si>
  <si>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</si>
  <si>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</si>
  <si>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</si>
  <si>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</si>
  <si>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</si>
  <si>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</si>
  <si>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</si>
  <si>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</si>
  <si>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</si>
  <si>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</si>
  <si>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</si>
  <si>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</si>
  <si>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</si>
  <si>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</si>
  <si>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</si>
  <si>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</si>
  <si>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</si>
  <si>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</si>
  <si>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</si>
  <si>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</si>
  <si>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</si>
  <si>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</si>
  <si>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</si>
  <si>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</si>
  <si>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</si>
  <si>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</si>
  <si>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</si>
  <si>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</si>
  <si>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</si>
  <si>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</si>
  <si>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</si>
  <si>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</si>
  <si>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</si>
  <si>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</si>
  <si>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</si>
  <si>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</si>
  <si>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</si>
  <si>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</si>
  <si>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</si>
  <si>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</si>
  <si>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</si>
  <si>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</si>
  <si>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</si>
  <si>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</si>
  <si>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</si>
  <si>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</si>
  <si>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</si>
  <si>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</si>
  <si>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</si>
  <si>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</si>
  <si>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</si>
  <si>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</si>
  <si>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</si>
  <si>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</si>
  <si>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</si>
  <si>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</si>
  <si>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</si>
  <si>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</si>
  <si>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</si>
  <si>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</si>
  <si>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</si>
  <si>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</si>
  <si>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</si>
  <si>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</si>
  <si>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</si>
  <si>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</si>
  <si>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</si>
  <si>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</si>
  <si>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</si>
  <si>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</si>
  <si>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</si>
  <si>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</si>
  <si>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</si>
  <si>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</si>
  <si>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</si>
  <si>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</si>
  <si>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</si>
  <si>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</si>
  <si>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</si>
  <si>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</si>
  <si>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</si>
  <si>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</si>
  <si>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</si>
  <si>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</si>
  <si>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</si>
  <si>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</si>
  <si>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</si>
  <si>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</si>
  <si>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</si>
  <si>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</si>
  <si>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</si>
  <si>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</si>
  <si>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</si>
  <si>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</si>
  <si>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</si>
  <si>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</si>
  <si>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</si>
  <si>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</si>
  <si>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</si>
  <si>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</si>
  <si>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</si>
  <si>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</si>
  <si>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</si>
  <si>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</si>
  <si>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</si>
  <si>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</si>
  <si>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</si>
  <si>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</si>
  <si>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</si>
  <si>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</si>
  <si>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</si>
  <si>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</si>
  <si>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</si>
  <si>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</si>
  <si>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</si>
  <si>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</si>
  <si>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</si>
  <si>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</si>
  <si>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</si>
  <si>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</si>
  <si>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</si>
  <si>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</si>
  <si>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</si>
  <si>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</si>
  <si>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</si>
  <si>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</si>
  <si>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</si>
  <si>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</si>
  <si>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</si>
  <si>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</si>
  <si>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</si>
  <si>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</si>
  <si>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</si>
  <si>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</si>
  <si>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</si>
  <si>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</si>
  <si>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</si>
  <si>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</si>
  <si>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</si>
  <si>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</si>
  <si>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</si>
  <si>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</si>
  <si>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</si>
  <si>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</si>
  <si>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</si>
  <si>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</si>
  <si>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</si>
  <si>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</si>
  <si>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</si>
  <si>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</si>
  <si>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</si>
  <si>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</si>
  <si>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</si>
  <si>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</si>
  <si>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</si>
  <si>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</si>
  <si>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</si>
  <si>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</si>
  <si>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</si>
  <si>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</si>
  <si>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</si>
  <si>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</si>
  <si>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</si>
  <si>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</si>
  <si>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</si>
  <si>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</si>
  <si>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</si>
  <si>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</si>
  <si>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</si>
  <si>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</si>
  <si>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</si>
  <si>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</si>
  <si>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</si>
  <si>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</si>
  <si>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</si>
  <si>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</si>
  <si>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</si>
  <si>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</si>
  <si>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</si>
  <si>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</si>
  <si>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</si>
  <si>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</si>
  <si>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</si>
  <si>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</si>
  <si>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</si>
  <si>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</si>
  <si>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</si>
  <si>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</si>
  <si>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</si>
  <si>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</si>
  <si>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</si>
  <si>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</si>
  <si>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</si>
  <si>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</si>
  <si>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</si>
  <si>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</si>
  <si>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</si>
  <si>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</si>
  <si>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</si>
  <si>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</si>
  <si>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</si>
  <si>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</si>
  <si>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</si>
  <si>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</si>
  <si>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</si>
  <si>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</si>
  <si>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</si>
  <si>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</si>
  <si>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</si>
  <si>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</si>
  <si>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</si>
  <si>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</si>
  <si>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</si>
  <si>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</si>
  <si>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</si>
  <si>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</si>
  <si>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</si>
  <si>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</si>
  <si>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</si>
  <si>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</si>
  <si>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</si>
  <si>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</si>
  <si>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</si>
  <si>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</si>
  <si>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</si>
  <si>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</si>
  <si>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</si>
  <si>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</si>
  <si>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</si>
  <si>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</si>
  <si>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</si>
  <si>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</si>
  <si>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</si>
  <si>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</si>
  <si>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</si>
  <si>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</si>
  <si>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</si>
  <si>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</si>
  <si>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</si>
  <si>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</si>
  <si>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</si>
  <si>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</si>
  <si>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</si>
  <si>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</si>
  <si>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</si>
  <si>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</si>
  <si>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</si>
  <si>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</si>
  <si>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</si>
  <si>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</si>
  <si>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</si>
  <si>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</si>
  <si>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</si>
  <si>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</si>
  <si>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</si>
  <si>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</si>
  <si>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</si>
  <si>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</si>
  <si>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</si>
  <si>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</si>
  <si>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</si>
  <si>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</si>
  <si>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</si>
  <si>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</si>
  <si>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</si>
  <si>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</si>
  <si>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</si>
  <si>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</si>
  <si>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</si>
  <si>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</si>
  <si>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</si>
  <si>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</si>
  <si>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</si>
  <si>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</si>
  <si>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</si>
  <si>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</si>
  <si>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</si>
  <si>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</si>
  <si>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</si>
  <si>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</si>
  <si>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</si>
  <si>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</si>
  <si>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</si>
  <si>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</si>
  <si>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</si>
  <si>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</si>
  <si>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</si>
  <si>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</si>
  <si>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</si>
  <si>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</si>
  <si>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</si>
  <si>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</si>
  <si>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</si>
  <si>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</si>
  <si>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</si>
  <si>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</si>
  <si>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</si>
  <si>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</si>
  <si>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</si>
  <si>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</si>
  <si>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</si>
  <si>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</si>
  <si>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</si>
  <si>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</si>
  <si>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</si>
  <si>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</si>
  <si>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</si>
  <si>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</si>
  <si>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</si>
  <si>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</si>
  <si>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</si>
  <si>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</si>
  <si>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</si>
  <si>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</si>
  <si>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</si>
  <si>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</si>
  <si>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</si>
  <si>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</si>
  <si>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</si>
  <si>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</si>
  <si>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</si>
  <si>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</si>
  <si>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</si>
  <si>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</si>
  <si>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</si>
  <si>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</si>
  <si>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</si>
  <si>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</si>
  <si>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</si>
  <si>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</si>
  <si>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</si>
  <si>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</si>
  <si>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</si>
  <si>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</si>
  <si>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</si>
  <si>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</si>
  <si>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</si>
  <si>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</si>
  <si>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</si>
  <si>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</si>
  <si>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</si>
  <si>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</si>
  <si>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</si>
  <si>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</si>
  <si>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</si>
  <si>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</si>
  <si>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</si>
  <si>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</si>
  <si>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</si>
  <si>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</si>
  <si>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</si>
  <si>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</si>
  <si>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</si>
  <si>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</si>
  <si>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</si>
  <si>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</si>
  <si>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</si>
  <si>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</si>
  <si>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</si>
  <si>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</si>
  <si>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</si>
  <si>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</si>
  <si>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</si>
  <si>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</si>
  <si>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</si>
  <si>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</si>
  <si>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</si>
  <si>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</si>
  <si>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</si>
  <si>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</si>
  <si>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</si>
  <si>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</si>
  <si>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</si>
  <si>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</si>
  <si>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</si>
  <si>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</si>
  <si>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</si>
  <si>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</si>
  <si>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</si>
  <si>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</si>
  <si>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</si>
  <si>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</si>
  <si>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</si>
  <si>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</si>
  <si>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</si>
  <si>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</si>
  <si>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</si>
  <si>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</si>
  <si>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</si>
  <si>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</si>
  <si>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</si>
  <si>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</si>
  <si>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</si>
  <si>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</si>
  <si>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</si>
  <si>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</si>
  <si>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</si>
  <si>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</si>
  <si>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</si>
  <si>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</si>
  <si>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</si>
  <si>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</si>
  <si>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</si>
  <si>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</si>
  <si>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</si>
  <si>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</si>
  <si>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</si>
  <si>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</si>
  <si>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</si>
  <si>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</si>
  <si>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</si>
  <si>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</si>
  <si>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</si>
  <si>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</si>
  <si>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</si>
  <si>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</si>
  <si>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</si>
  <si>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</si>
  <si>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</si>
  <si>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</si>
  <si>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</si>
  <si>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</si>
  <si>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</si>
  <si>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</si>
  <si>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</si>
  <si>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</si>
  <si>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</si>
  <si>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</si>
  <si>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</si>
  <si>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</si>
  <si>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</si>
  <si>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</si>
  <si>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</si>
  <si>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</si>
  <si>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</si>
  <si>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</si>
  <si>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</si>
  <si>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</si>
  <si>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</si>
  <si>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</si>
  <si>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</si>
  <si>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</si>
  <si>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</si>
  <si>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</si>
  <si>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</si>
  <si>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</si>
  <si>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</si>
  <si>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</si>
  <si>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</si>
  <si>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</si>
  <si>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</si>
  <si>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</si>
  <si>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</si>
  <si>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</si>
  <si>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</si>
  <si>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</si>
  <si>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</si>
  <si>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</si>
  <si>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</si>
  <si>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</si>
  <si>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</si>
  <si>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</si>
  <si>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</si>
  <si>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</si>
  <si>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</si>
  <si>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</si>
  <si>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</si>
  <si>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</si>
  <si>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</si>
  <si>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</si>
  <si>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</si>
  <si>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</si>
  <si>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</si>
  <si>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</si>
  <si>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</si>
  <si>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</si>
  <si>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</si>
  <si>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</si>
  <si>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</si>
  <si>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</si>
  <si>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</si>
  <si>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</si>
  <si>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</si>
  <si>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</si>
  <si>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</si>
  <si>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</si>
  <si>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</si>
  <si>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</si>
  <si>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</si>
  <si>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</si>
  <si>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</si>
  <si>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</si>
  <si>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</si>
  <si>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</si>
  <si>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</si>
  <si>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</si>
  <si>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</si>
  <si>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</si>
  <si>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</si>
  <si>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</si>
  <si>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</si>
  <si>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</si>
  <si>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</si>
  <si>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</si>
  <si>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</si>
  <si>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</si>
  <si>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</si>
  <si>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</si>
  <si>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</si>
  <si>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</si>
  <si>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</si>
  <si>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</si>
  <si>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</si>
  <si>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</si>
  <si>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</si>
  <si>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</si>
  <si>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</si>
  <si>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</si>
  <si>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</si>
  <si>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</si>
  <si>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</si>
  <si>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</si>
  <si>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</si>
  <si>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</si>
  <si>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</si>
  <si>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</si>
  <si>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</si>
  <si>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</si>
  <si>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</si>
  <si>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</si>
  <si>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</si>
  <si>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</si>
  <si>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</si>
  <si>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</si>
  <si>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</si>
  <si>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</si>
  <si>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</si>
  <si>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</si>
  <si>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</si>
  <si>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</si>
  <si>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</si>
  <si>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</si>
  <si>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</si>
  <si>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</si>
  <si>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</si>
  <si>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</si>
  <si>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</si>
  <si>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</si>
  <si>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</si>
  <si>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</si>
  <si>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</si>
  <si>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</si>
  <si>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</si>
  <si>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</si>
  <si>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</si>
  <si>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</si>
  <si>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</si>
  <si>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</si>
  <si>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</si>
  <si>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</si>
  <si>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</si>
  <si>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</si>
  <si>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</si>
  <si>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</si>
  <si>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</si>
  <si>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</si>
  <si>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</si>
  <si>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</si>
  <si>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</si>
  <si>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</si>
  <si>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</si>
  <si>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</si>
  <si>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</si>
  <si>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</si>
  <si>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</si>
  <si>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</si>
  <si>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</si>
  <si>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</si>
  <si>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</si>
  <si>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</si>
  <si>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</si>
  <si>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</si>
  <si>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</si>
  <si>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</si>
  <si>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</si>
  <si>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</si>
  <si>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</si>
  <si>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</si>
  <si>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</si>
  <si>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</si>
  <si>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</si>
  <si>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</si>
  <si>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</si>
  <si>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</si>
  <si>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</si>
  <si>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</si>
  <si>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</si>
  <si>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</si>
  <si>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</si>
  <si>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</si>
  <si>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</si>
  <si>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</si>
  <si>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</si>
  <si>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</si>
  <si>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</si>
  <si>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</si>
  <si>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</si>
  <si>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</si>
  <si>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</si>
  <si>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</si>
  <si>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</si>
  <si>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</si>
  <si>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</si>
  <si>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</si>
  <si>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</si>
  <si>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</si>
  <si>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</si>
  <si>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</si>
  <si>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</si>
  <si>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</si>
  <si>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</si>
  <si>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</si>
  <si>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</si>
  <si>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</si>
  <si>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</si>
  <si>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</si>
  <si>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</si>
  <si>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</si>
  <si>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</si>
  <si>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</si>
  <si>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</si>
  <si>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</si>
  <si>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</si>
  <si>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</si>
  <si>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</si>
  <si>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</si>
  <si>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</si>
  <si>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</si>
  <si>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</si>
  <si>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</si>
  <si>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</si>
  <si>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</si>
  <si>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</si>
  <si>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</si>
  <si>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</si>
  <si>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</si>
  <si>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</si>
  <si>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</si>
  <si>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</si>
  <si>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</si>
  <si>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</si>
  <si>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</si>
  <si>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</si>
  <si>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</si>
  <si>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</si>
  <si>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</si>
  <si>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</si>
  <si>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</si>
  <si>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</si>
  <si>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</si>
  <si>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</si>
  <si>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</si>
  <si>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</si>
  <si>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</si>
  <si>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</si>
  <si>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</si>
  <si>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</si>
  <si>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</si>
  <si>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</si>
  <si>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</si>
  <si>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</si>
  <si>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</si>
  <si>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</si>
  <si>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</si>
  <si>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</si>
  <si>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</si>
  <si>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</si>
  <si>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</si>
  <si>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</si>
  <si>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</si>
  <si>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</si>
  <si>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</si>
  <si>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</si>
  <si>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</si>
  <si>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</si>
  <si>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</si>
  <si>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</si>
  <si>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</si>
  <si>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</si>
  <si>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</si>
  <si>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</si>
  <si>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</si>
  <si>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</si>
  <si>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</si>
  <si>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</si>
  <si>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</si>
  <si>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</si>
  <si>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</si>
  <si>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</si>
  <si>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</si>
  <si>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</si>
  <si>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</si>
  <si>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</si>
  <si>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</si>
  <si>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</si>
  <si>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</si>
  <si>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</si>
  <si>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</si>
  <si>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</si>
  <si>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</si>
  <si>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</si>
  <si>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</si>
  <si>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</si>
  <si>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</si>
  <si>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</si>
  <si>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</si>
  <si>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</si>
  <si>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</si>
  <si>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</si>
  <si>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</si>
  <si>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</si>
  <si>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</si>
  <si>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</si>
  <si>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</si>
  <si>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</si>
  <si>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</si>
  <si>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</si>
  <si>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</si>
  <si>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</si>
  <si>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</si>
  <si>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</si>
  <si>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</si>
  <si>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</si>
  <si>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</si>
  <si>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</si>
  <si>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</si>
  <si>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</si>
  <si>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</si>
  <si>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</si>
  <si>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</si>
  <si>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</si>
  <si>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</si>
  <si>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</si>
  <si>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</si>
  <si>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</si>
  <si>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</si>
  <si>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</si>
  <si>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</si>
  <si>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</si>
  <si>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</si>
  <si>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</si>
  <si>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</si>
  <si>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</si>
  <si>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</si>
  <si>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</si>
  <si>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</si>
  <si>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</si>
  <si>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</si>
  <si>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</si>
  <si>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</si>
  <si>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</si>
  <si>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</si>
  <si>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</si>
  <si>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</si>
  <si>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</si>
  <si>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</si>
  <si>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</si>
  <si>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</si>
  <si>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</si>
  <si>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</si>
  <si>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</si>
  <si>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</si>
  <si>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</si>
  <si>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</si>
  <si>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</si>
  <si>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</si>
  <si>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</si>
  <si>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</si>
  <si>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</si>
  <si>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</si>
  <si>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</si>
  <si>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</si>
  <si>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</si>
  <si>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</si>
  <si>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</si>
  <si>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</si>
  <si>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</si>
  <si>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</si>
  <si>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</si>
  <si>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</si>
  <si>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</si>
  <si>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</si>
  <si>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</si>
  <si>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</si>
  <si>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</si>
  <si>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</si>
  <si>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</si>
  <si>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</si>
  <si>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</si>
  <si>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</si>
  <si>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</si>
  <si>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</si>
  <si>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</si>
  <si>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</si>
  <si>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</si>
  <si>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</si>
  <si>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</si>
  <si>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</si>
  <si>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</si>
  <si>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</si>
  <si>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</si>
  <si>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</si>
  <si>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</si>
  <si>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</si>
  <si>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</si>
  <si>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</si>
  <si>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</si>
  <si>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</si>
  <si>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</si>
  <si>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</si>
  <si>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</si>
  <si>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</si>
  <si>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</si>
  <si>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</si>
  <si>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</si>
  <si>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</si>
  <si>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</si>
  <si>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</si>
  <si>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</si>
  <si>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</si>
  <si>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</si>
  <si>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</si>
  <si>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</si>
  <si>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</si>
  <si>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</si>
  <si>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</si>
  <si>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</si>
  <si>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</si>
  <si>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</si>
  <si>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</si>
  <si>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</si>
  <si>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</si>
  <si>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</si>
  <si>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</si>
  <si>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</si>
  <si>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</si>
  <si>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</si>
  <si>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</si>
  <si>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</si>
  <si>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</si>
  <si>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</si>
  <si>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</si>
  <si>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</si>
  <si>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</si>
  <si>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</si>
  <si>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</si>
  <si>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</si>
  <si>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</si>
  <si>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</si>
  <si>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</si>
  <si>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</si>
  <si>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</si>
  <si>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</si>
  <si>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</si>
  <si>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</si>
  <si>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</si>
  <si>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</si>
  <si>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</si>
  <si>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</si>
  <si>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</si>
  <si>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</si>
  <si>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</si>
  <si>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</si>
  <si>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</si>
  <si>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</si>
  <si>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</si>
  <si>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</si>
  <si>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</si>
  <si>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</si>
  <si>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</si>
  <si>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</si>
  <si>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</si>
  <si>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</si>
  <si>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</si>
  <si>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</si>
  <si>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</si>
  <si>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</si>
  <si>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</si>
  <si>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</si>
  <si>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</si>
  <si>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</si>
  <si>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</si>
  <si>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</si>
  <si>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</si>
  <si>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</si>
  <si>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</si>
  <si>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</si>
  <si>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</si>
  <si>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</si>
  <si>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</si>
  <si>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</si>
  <si>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</si>
  <si>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</si>
  <si>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</si>
  <si>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</si>
  <si>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</si>
  <si>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</si>
  <si>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</si>
  <si>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</si>
  <si>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</si>
  <si>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</si>
  <si>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</si>
  <si>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</si>
  <si>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</si>
  <si>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</si>
  <si>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</si>
  <si>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</si>
  <si>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</si>
  <si>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</si>
  <si>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</si>
  <si>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</si>
  <si>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</si>
  <si>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</si>
  <si>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</si>
  <si>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</si>
  <si>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</si>
  <si>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</si>
  <si>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</si>
  <si>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</si>
  <si>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</si>
  <si>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</si>
  <si>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</si>
  <si>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</si>
  <si>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</si>
  <si>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</si>
  <si>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</si>
  <si>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</si>
  <si>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</si>
  <si>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</si>
  <si>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</si>
  <si>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</si>
  <si>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</si>
  <si>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</si>
  <si>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</si>
  <si>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</si>
  <si>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</si>
  <si>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</si>
  <si>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</si>
  <si>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</si>
  <si>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</si>
  <si>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</si>
  <si>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</si>
  <si>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</si>
  <si>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</si>
  <si>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</si>
  <si>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</si>
  <si>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</si>
  <si>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</si>
  <si>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</si>
  <si>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</si>
  <si>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</si>
  <si>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</si>
  <si>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</si>
  <si>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</si>
  <si>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</si>
  <si>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</si>
  <si>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</si>
  <si>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</si>
  <si>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</si>
  <si>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</si>
  <si>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</si>
  <si>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</si>
  <si>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</si>
  <si>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</si>
  <si>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</si>
  <si>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</si>
  <si>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</si>
  <si>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</si>
  <si>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</si>
  <si>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</si>
  <si>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</si>
  <si>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</si>
  <si>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</si>
  <si>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</si>
  <si>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</si>
  <si>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</si>
  <si>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</si>
  <si>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</si>
  <si>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</si>
  <si>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</si>
  <si>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</si>
  <si>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</si>
  <si>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</si>
  <si>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</si>
  <si>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</si>
  <si>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</si>
  <si>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</si>
  <si>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</si>
  <si>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</si>
  <si>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</si>
  <si>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</si>
  <si>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</si>
  <si>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</si>
  <si>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</si>
  <si>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</si>
  <si>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</si>
  <si>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</si>
  <si>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</si>
  <si>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</si>
  <si>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</si>
  <si>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</si>
  <si>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</si>
  <si>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</si>
  <si>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</si>
  <si>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</si>
  <si>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</si>
  <si>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</si>
  <si>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</si>
  <si>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</si>
  <si>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</si>
  <si>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</si>
  <si>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</si>
  <si>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</si>
  <si>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</si>
  <si>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</si>
  <si>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</si>
  <si>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</si>
  <si>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</si>
  <si>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</si>
  <si>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</si>
  <si>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</si>
  <si>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</si>
  <si>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</si>
  <si>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</si>
  <si>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</si>
  <si>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</si>
  <si>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</si>
  <si>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</si>
  <si>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</si>
  <si>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</si>
  <si>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</si>
  <si>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</si>
  <si>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</si>
  <si>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</si>
  <si>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</si>
  <si>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</si>
  <si>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</si>
  <si>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</si>
  <si>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</si>
  <si>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</si>
  <si>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</si>
  <si>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</si>
  <si>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</si>
  <si>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</si>
  <si>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</si>
  <si>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</si>
  <si>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</si>
  <si>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</si>
  <si>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</si>
  <si>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</si>
  <si>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</si>
  <si>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</si>
  <si>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</si>
  <si>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</si>
  <si>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</si>
  <si>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</si>
  <si>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</si>
  <si>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</si>
  <si>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</si>
  <si>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</si>
  <si>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</si>
  <si>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</si>
  <si>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</si>
  <si>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</si>
  <si>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</si>
  <si>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</si>
  <si>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</si>
  <si>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</si>
  <si>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</si>
  <si>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</si>
  <si>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</si>
  <si>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</si>
  <si>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</si>
  <si>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</si>
  <si>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</si>
  <si>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</si>
  <si>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</si>
  <si>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</si>
  <si>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</si>
  <si>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</si>
  <si>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</si>
  <si>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</si>
  <si>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</si>
  <si>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</si>
  <si>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</si>
  <si>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</si>
  <si>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</si>
  <si>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</si>
  <si>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</si>
  <si>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</si>
  <si>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</si>
  <si>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</si>
  <si>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</si>
  <si>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</si>
  <si>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</si>
  <si>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</si>
  <si>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</si>
  <si>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</si>
  <si>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</si>
  <si>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</si>
  <si>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</si>
  <si>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</si>
  <si>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</si>
  <si>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</si>
  <si>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</si>
  <si>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</si>
  <si>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</si>
  <si>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</si>
  <si>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</si>
  <si>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</si>
  <si>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</si>
  <si>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</si>
  <si>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</si>
  <si>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</si>
  <si>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</si>
  <si>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</si>
  <si>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</si>
  <si>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</si>
  <si>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</si>
  <si>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</si>
  <si>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</si>
  <si>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</si>
  <si>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</si>
  <si>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</si>
  <si>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</si>
  <si>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</si>
  <si>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</si>
  <si>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</si>
  <si>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</si>
  <si>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</si>
  <si>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</si>
  <si>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</si>
  <si>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</si>
  <si>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</si>
  <si>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</si>
  <si>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</si>
  <si>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</si>
  <si>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</si>
  <si>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</si>
  <si>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</si>
  <si>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</si>
  <si>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</si>
  <si>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</si>
  <si>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</si>
  <si>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</si>
  <si>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</si>
  <si>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</si>
  <si>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</si>
  <si>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</si>
  <si>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</si>
  <si>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</si>
  <si>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</si>
  <si>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</si>
  <si>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</si>
  <si>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</si>
  <si>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</si>
  <si>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</si>
  <si>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</si>
  <si>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</si>
  <si>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</si>
  <si>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</si>
  <si>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</si>
  <si>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</si>
  <si>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</si>
  <si>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</si>
  <si>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</si>
  <si>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</si>
  <si>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</si>
  <si>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</si>
  <si>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</si>
  <si>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</si>
  <si>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</si>
  <si>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</si>
  <si>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</si>
  <si>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</si>
  <si>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</si>
  <si>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</si>
  <si>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</si>
  <si>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</si>
  <si>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</si>
  <si>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</si>
  <si>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</si>
  <si>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</si>
  <si>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</si>
  <si>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</si>
  <si>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</si>
  <si>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</si>
  <si>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</si>
  <si>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</si>
  <si>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</si>
  <si>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</si>
  <si>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</si>
  <si>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</si>
  <si>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</si>
  <si>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</si>
  <si>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</si>
  <si>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</si>
  <si>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</si>
  <si>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</si>
  <si>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</si>
  <si>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</si>
  <si>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</si>
  <si>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</si>
  <si>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</si>
  <si>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</si>
  <si>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</si>
  <si>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</si>
  <si>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</si>
  <si>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</si>
  <si>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</si>
  <si>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</si>
  <si>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</si>
  <si>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</si>
  <si>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</si>
  <si>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</si>
  <si>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</si>
  <si>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</si>
  <si>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</si>
  <si>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</si>
  <si>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</si>
  <si>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</si>
  <si>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</si>
  <si>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</si>
  <si>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</si>
  <si>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</si>
  <si>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</si>
  <si>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</si>
  <si>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</si>
  <si>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</si>
  <si>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</si>
  <si>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</si>
  <si>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</si>
  <si>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</si>
  <si>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</si>
  <si>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</si>
  <si>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</si>
  <si>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</si>
  <si>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</si>
  <si>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</si>
  <si>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</si>
  <si>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</si>
  <si>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</si>
  <si>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</si>
  <si>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</si>
  <si>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</si>
  <si>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</si>
  <si>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</si>
  <si>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</si>
  <si>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</si>
  <si>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</si>
  <si>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</si>
  <si>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</si>
  <si>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</si>
  <si>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</si>
  <si>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</si>
  <si>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</si>
  <si>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</si>
  <si>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</si>
  <si>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</si>
  <si>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</si>
  <si>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</si>
  <si>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</si>
  <si>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</si>
  <si>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</si>
  <si>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</si>
  <si>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</si>
  <si>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</si>
  <si>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</si>
  <si>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</si>
  <si>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</si>
  <si>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</si>
  <si>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</si>
  <si>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</si>
  <si>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</si>
  <si>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</si>
  <si>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</si>
  <si>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</si>
  <si>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</si>
  <si>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</si>
  <si>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</si>
  <si>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</si>
  <si>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</si>
  <si>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</si>
  <si>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</si>
  <si>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</si>
  <si>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</si>
  <si>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</si>
  <si>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</si>
  <si>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</si>
  <si>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</si>
  <si>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</si>
  <si>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</si>
  <si>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</si>
  <si>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</si>
  <si>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</si>
  <si>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</si>
  <si>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</si>
  <si>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</si>
  <si>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</si>
  <si>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</si>
  <si>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</si>
  <si>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</si>
  <si>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</si>
  <si>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</si>
  <si>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</si>
  <si>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</si>
  <si>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</si>
  <si>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</si>
  <si>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</si>
  <si>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</si>
  <si>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</si>
  <si>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</si>
  <si>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</si>
  <si>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</si>
  <si>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</si>
  <si>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</si>
  <si>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</si>
  <si>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</si>
  <si>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</si>
  <si>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</si>
  <si>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</si>
  <si>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</si>
  <si>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</si>
  <si>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</si>
  <si>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</si>
  <si>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</si>
  <si>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</si>
  <si>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</si>
  <si>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</si>
  <si>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</si>
  <si>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</si>
  <si>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</si>
  <si>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</si>
  <si>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</si>
  <si>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</si>
  <si>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</si>
  <si>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</si>
  <si>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</si>
  <si>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</si>
  <si>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</si>
  <si>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</si>
  <si>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</si>
  <si>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</si>
  <si>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</si>
  <si>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</si>
  <si>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</si>
  <si>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</si>
  <si>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</si>
  <si>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</si>
  <si>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</si>
  <si>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</si>
  <si>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</si>
  <si>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</si>
  <si>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</si>
  <si>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</si>
  <si>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</si>
  <si>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</si>
  <si>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</si>
  <si>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</si>
  <si>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</si>
  <si>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</si>
  <si>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</si>
  <si>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</si>
  <si>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</si>
  <si>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</si>
  <si>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</si>
  <si>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</si>
  <si>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</si>
  <si>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</si>
  <si>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</si>
  <si>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</si>
  <si>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</si>
  <si>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</si>
  <si>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</si>
  <si>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</si>
  <si>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</si>
  <si>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</si>
  <si>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</si>
  <si>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</si>
  <si>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</si>
  <si>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</si>
  <si>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</si>
  <si>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</si>
  <si>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</si>
  <si>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</si>
  <si>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</si>
  <si>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</si>
  <si>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</si>
  <si>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</si>
  <si>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</si>
  <si>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</si>
  <si>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</si>
  <si>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</si>
  <si>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</si>
  <si>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</si>
  <si>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</si>
  <si>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</si>
  <si>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</si>
  <si>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</si>
  <si>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</si>
  <si>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</si>
  <si>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</si>
  <si>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</si>
  <si>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</si>
  <si>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</si>
  <si>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</si>
  <si>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</si>
  <si>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</si>
  <si>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</si>
  <si>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</si>
  <si>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</si>
  <si>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</si>
  <si>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</si>
  <si>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</si>
  <si>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</si>
  <si>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</si>
  <si>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</si>
  <si>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</si>
  <si>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</si>
  <si>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</si>
  <si>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</si>
  <si>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</si>
  <si>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</si>
  <si>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</si>
  <si>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</si>
  <si>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</si>
  <si>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</si>
  <si>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</si>
  <si>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</si>
  <si>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</si>
  <si>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</si>
  <si>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</si>
  <si>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</si>
  <si>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</si>
  <si>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</si>
  <si>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</si>
  <si>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</si>
  <si>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</si>
  <si>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</si>
  <si>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</si>
  <si>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</si>
  <si>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</si>
  <si>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</si>
  <si>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</si>
  <si>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</si>
  <si>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</si>
  <si>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</si>
  <si>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</si>
  <si>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</si>
  <si>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</si>
  <si>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</si>
  <si>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</si>
  <si>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</si>
  <si>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</si>
  <si>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</si>
  <si>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</si>
  <si>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</si>
  <si>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</si>
  <si>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</si>
  <si>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</si>
  <si>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</si>
  <si>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</si>
  <si>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</si>
  <si>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</si>
  <si>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</si>
  <si>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</si>
  <si>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</si>
  <si>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</si>
  <si>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</si>
  <si>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</si>
  <si>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</si>
  <si>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</si>
  <si>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</si>
  <si>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</si>
  <si>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</si>
  <si>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</si>
  <si>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</si>
  <si>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</si>
  <si>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</si>
  <si>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</si>
  <si>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</si>
  <si>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</si>
  <si>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</si>
  <si>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</si>
  <si>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</si>
  <si>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</si>
  <si>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</si>
  <si>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</si>
  <si>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</si>
  <si>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</si>
  <si>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</si>
  <si>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</si>
  <si>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</si>
  <si>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</si>
  <si>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</si>
  <si>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</si>
  <si>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</si>
  <si>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</si>
  <si>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</si>
  <si>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</si>
  <si>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</si>
  <si>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</si>
  <si>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</si>
  <si>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</si>
  <si>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</si>
  <si>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</si>
  <si>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</si>
  <si>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</si>
  <si>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</si>
  <si>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</si>
  <si>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</si>
  <si>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</si>
  <si>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</si>
  <si>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</si>
  <si>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</si>
  <si>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</si>
  <si>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</si>
  <si>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</si>
  <si>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</si>
  <si>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</si>
  <si>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</si>
  <si>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</si>
  <si>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</si>
  <si>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</si>
  <si>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</si>
  <si>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</si>
  <si>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</si>
  <si>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</si>
  <si>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</si>
  <si>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</si>
  <si>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</si>
  <si>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</si>
  <si>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</si>
  <si>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</si>
  <si>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</si>
  <si>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</si>
  <si>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</si>
  <si>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</si>
  <si>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</si>
  <si>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</si>
  <si>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</si>
  <si>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</si>
  <si>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</si>
  <si>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</si>
  <si>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</si>
  <si>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</si>
  <si>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</si>
  <si>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</si>
  <si>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</si>
  <si>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</si>
  <si>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</si>
  <si>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</si>
  <si>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</si>
  <si>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</si>
  <si>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</si>
  <si>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</si>
  <si>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</si>
  <si>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</si>
  <si>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</si>
  <si>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</si>
  <si>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</si>
  <si>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</si>
  <si>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</si>
  <si>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</si>
  <si>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</si>
  <si>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</si>
  <si>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</si>
  <si>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</si>
  <si>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</si>
  <si>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</si>
  <si>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</si>
  <si>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</si>
  <si>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</si>
  <si>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</si>
  <si>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</si>
  <si>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</si>
  <si>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</si>
  <si>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</si>
  <si>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</si>
  <si>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</si>
  <si>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</si>
  <si>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</si>
  <si>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</si>
  <si>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</si>
  <si>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</si>
  <si>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</si>
  <si>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</si>
  <si>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</si>
  <si>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</si>
  <si>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</si>
  <si>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</si>
  <si>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</si>
  <si>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</si>
  <si>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</si>
  <si>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</si>
  <si>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</si>
  <si>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</si>
  <si>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</si>
  <si>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</si>
  <si>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</si>
  <si>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</si>
  <si>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</si>
  <si>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</si>
  <si>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</si>
  <si>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</si>
  <si>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</si>
  <si>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</si>
  <si>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</si>
  <si>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</si>
  <si>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</si>
  <si>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</si>
  <si>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</si>
  <si>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</si>
  <si>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</si>
  <si>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</si>
  <si>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</si>
  <si>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</si>
  <si>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</si>
  <si>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</si>
  <si>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</si>
  <si>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</si>
  <si>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</si>
  <si>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</si>
  <si>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</si>
  <si>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</si>
  <si>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</si>
  <si>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</si>
  <si>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</si>
  <si>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</si>
  <si>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</si>
  <si>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</si>
  <si>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</si>
  <si>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</si>
  <si>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</si>
  <si>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</si>
  <si>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</si>
  <si>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</si>
  <si>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</si>
  <si>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</si>
  <si>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</si>
  <si>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</si>
  <si>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</si>
  <si>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</si>
  <si>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</si>
  <si>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</si>
  <si>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</si>
  <si>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</si>
  <si>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</si>
  <si>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</si>
  <si>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</si>
  <si>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</si>
  <si>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</si>
  <si>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</si>
  <si>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</si>
  <si>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</si>
  <si>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</si>
  <si>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</si>
  <si>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</si>
  <si>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</si>
  <si>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</si>
  <si>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</si>
  <si>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</si>
  <si>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</si>
  <si>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</si>
  <si>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</si>
  <si>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</si>
  <si>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</si>
  <si>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</si>
  <si>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</si>
  <si>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</si>
  <si>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</si>
  <si>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</si>
  <si>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</si>
  <si>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</si>
  <si>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</si>
  <si>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</si>
  <si>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</si>
  <si>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</si>
  <si>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</si>
  <si>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</si>
  <si>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</si>
  <si>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</si>
  <si>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</si>
  <si>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</si>
  <si>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</si>
  <si>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</si>
  <si>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</si>
  <si>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</si>
  <si>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</si>
  <si>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</si>
  <si>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</si>
  <si>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</si>
  <si>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</si>
  <si>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</si>
  <si>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</si>
  <si>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</si>
  <si>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</si>
  <si>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</si>
  <si>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</si>
  <si>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</si>
  <si>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</si>
  <si>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</si>
  <si>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</si>
  <si>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</si>
  <si>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</si>
  <si>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</si>
  <si>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</si>
  <si>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</si>
  <si>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</si>
  <si>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</si>
  <si>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</si>
  <si>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</si>
  <si>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</si>
  <si>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</si>
  <si>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</si>
  <si>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</si>
  <si>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</si>
  <si>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</si>
  <si>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</si>
  <si>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</si>
  <si>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</si>
  <si>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</si>
  <si>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</si>
  <si>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</si>
  <si>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</si>
  <si>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</si>
  <si>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</si>
  <si>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</si>
  <si>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</si>
  <si>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</si>
  <si>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</si>
  <si>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</si>
  <si>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</si>
  <si>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</si>
  <si>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</si>
  <si>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</si>
  <si>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</si>
  <si>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</si>
  <si>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</si>
  <si>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</si>
  <si>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</si>
  <si>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</si>
  <si>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</si>
  <si>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</si>
  <si>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</si>
  <si>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</si>
  <si>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</si>
  <si>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</si>
  <si>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</si>
  <si>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</si>
  <si>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</si>
  <si>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</si>
  <si>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</si>
  <si>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</si>
  <si>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</si>
  <si>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</si>
  <si>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hysteresis_force</t>
  </si>
  <si>
    <t>25;45;60;80;100, ASCE_X</t>
  </si>
  <si>
    <t>hystY</t>
  </si>
  <si>
    <t>hysteresis</t>
  </si>
  <si>
    <t>F11_center, Y, 2;4;6;10;15;20;25;30, ASCE_Y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</si>
  <si>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</si>
  <si>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</si>
  <si>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</si>
  <si>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</si>
  <si>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</si>
  <si>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</si>
  <si>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</si>
  <si>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UFP_force</t>
  </si>
  <si>
    <t>UFP_deformations</t>
  </si>
  <si>
    <t>UFP_FD</t>
  </si>
  <si>
    <t>GRP:PT</t>
  </si>
  <si>
    <t>PT_force</t>
  </si>
  <si>
    <t>PT_globalforces</t>
  </si>
  <si>
    <t>PT_defo</t>
  </si>
  <si>
    <t>F11_center, Y, 100, 0.1, ASCE_Y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</si>
  <si>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</si>
  <si>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</si>
  <si>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</si>
  <si>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</si>
  <si>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</si>
  <si>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</si>
  <si>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</si>
  <si>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</si>
  <si>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</si>
  <si>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</si>
  <si>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</si>
  <si>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</si>
  <si>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</si>
  <si>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0.2, ASCE_Y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</si>
  <si>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</si>
  <si>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</si>
  <si>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</si>
  <si>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</si>
  <si>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</si>
  <si>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</si>
  <si>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</si>
  <si>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</si>
  <si>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</si>
  <si>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</si>
  <si>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</si>
  <si>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</si>
  <si>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</si>
  <si>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</si>
  <si>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</si>
  <si>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</si>
  <si>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</si>
  <si>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</si>
  <si>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</si>
  <si>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</si>
  <si>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</si>
  <si>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</si>
  <si>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</si>
  <si>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</si>
  <si>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</si>
  <si>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</si>
  <si>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</si>
  <si>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</si>
  <si>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</si>
  <si>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</si>
  <si>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</si>
  <si>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</si>
  <si>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</si>
  <si>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</si>
  <si>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</si>
  <si>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</si>
  <si>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</si>
  <si>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</si>
  <si>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</si>
  <si>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</si>
  <si>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</si>
  <si>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</si>
  <si>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</si>
  <si>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</si>
  <si>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</si>
  <si>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</si>
  <si>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</si>
  <si>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</si>
  <si>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</si>
  <si>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</si>
  <si>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Tocachi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</si>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</sst>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4" borderId="0" applyNumberFormat="0" applyBorder="0" applyAlignment="0" applyProtection="0"/>
    <xf numFmtId="0" fontId="8" fillId="5" borderId="0" applyNumberFormat="0" applyAlignment="0" applyProtection="0"/>
    <xf numFmtId="9" fontId="9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8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5" borderId="0" xfId="2" applyNumberFormat="1"/>
    <xf numFmtId="0" fontId="7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3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</xdr:row>
          <xdr:rowOff>60960</xdr:rowOff>
        </xdr:from>
        <xdr:to>
          <xdr:col>5</xdr:col>
          <xdr:colOff>106680</xdr:colOff>
          <xdr:row>4</xdr:row>
          <xdr:rowOff>182880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7</xdr:row>
          <xdr:rowOff>60960</xdr:rowOff>
        </xdr:from>
        <xdr:to>
          <xdr:col>5</xdr:col>
          <xdr:colOff>106680</xdr:colOff>
          <xdr:row>9</xdr:row>
          <xdr:rowOff>182880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11</xdr:row>
          <xdr:rowOff>60960</xdr:rowOff>
        </xdr:from>
        <xdr:to>
          <xdr:col>5</xdr:col>
          <xdr:colOff>106680</xdr:colOff>
          <xdr:row>13</xdr:row>
          <xdr:rowOff>182880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7</xdr:row>
          <xdr:rowOff>68580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15</xdr:row>
          <xdr:rowOff>60960</xdr:rowOff>
        </xdr:from>
        <xdr:to>
          <xdr:col>5</xdr:col>
          <xdr:colOff>106680</xdr:colOff>
          <xdr:row>17</xdr:row>
          <xdr:rowOff>182880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19</xdr:row>
          <xdr:rowOff>60960</xdr:rowOff>
        </xdr:from>
        <xdr:to>
          <xdr:col>5</xdr:col>
          <xdr:colOff>106680</xdr:colOff>
          <xdr:row>21</xdr:row>
          <xdr:rowOff>182880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cs/Stiffness%20Che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Properties"/>
      <sheetName val="Sheet1"/>
    </sheetNames>
    <sheetDataSet>
      <sheetData sheetId="0"/>
      <sheetData sheetId="1">
        <row r="37">
          <cell r="C37">
            <v>97635757.401887834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4.4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137160</xdr:colOff>
                    <xdr:row>2</xdr:row>
                    <xdr:rowOff>60960</xdr:rowOff>
                  </from>
                  <to>
                    <xdr:col>5</xdr:col>
                    <xdr:colOff>106680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137160</xdr:colOff>
                    <xdr:row>7</xdr:row>
                    <xdr:rowOff>60960</xdr:rowOff>
                  </from>
                  <to>
                    <xdr:col>5</xdr:col>
                    <xdr:colOff>106680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137160</xdr:colOff>
                    <xdr:row>11</xdr:row>
                    <xdr:rowOff>60960</xdr:rowOff>
                  </from>
                  <to>
                    <xdr:col>5</xdr:col>
                    <xdr:colOff>106680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30480</xdr:colOff>
                    <xdr:row>7</xdr:row>
                    <xdr:rowOff>68580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137160</xdr:colOff>
                    <xdr:row>15</xdr:row>
                    <xdr:rowOff>60960</xdr:rowOff>
                  </from>
                  <to>
                    <xdr:col>5</xdr:col>
                    <xdr:colOff>106680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137160</xdr:colOff>
                    <xdr:row>19</xdr:row>
                    <xdr:rowOff>60960</xdr:rowOff>
                  </from>
                  <to>
                    <xdr:col>5</xdr:col>
                    <xdr:colOff>106680</xdr:colOff>
                    <xdr:row>21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workbookViewId="0">
      <selection activeCell="E15" sqref="E15"/>
    </sheetView>
  </sheetViews>
  <sheetFormatPr defaultColWidth="0" defaultRowHeight="14.4"/>
  <cols>
    <col min="1" max="1" width="11.44140625" customWidth="1"/>
    <col min="2" max="6" width="9.109375" customWidth="1"/>
    <col min="7" max="7" width="3" style="3" customWidth="1"/>
    <col min="8" max="8" width="14.109375" customWidth="1"/>
    <col min="9" max="9" width="9.109375" style="2" customWidth="1"/>
    <col min="10" max="10" width="9.109375" customWidth="1"/>
    <col min="11" max="13" width="16.109375" customWidth="1"/>
    <col min="14" max="14" width="15.6640625" customWidth="1"/>
    <col min="15" max="15" width="3" style="3" customWidth="1"/>
    <col min="16" max="16" width="12.109375" customWidth="1"/>
    <col min="17" max="17" width="14.5546875" customWidth="1"/>
    <col min="18" max="18" width="13.33203125" customWidth="1"/>
    <col min="19" max="19" width="14.5546875" customWidth="1"/>
    <col min="20" max="20" width="15.33203125" customWidth="1"/>
    <col min="21" max="22" width="25.5546875" customWidth="1"/>
    <col min="23" max="23" width="3" style="3" customWidth="1"/>
    <col min="24" max="24" width="9.109375" customWidth="1"/>
    <col min="25" max="25" width="15.44140625" customWidth="1"/>
    <col min="26" max="26" width="9.109375" customWidth="1"/>
    <col min="27" max="27" width="21.33203125" customWidth="1"/>
    <col min="28" max="28" width="16.44140625" customWidth="1"/>
    <col min="29" max="29" width="24" customWidth="1"/>
    <col min="30" max="30" width="19" customWidth="1"/>
    <col min="31" max="31" width="0" hidden="1" customWidth="1"/>
    <col min="32" max="16384" width="9.109375" hidden="1"/>
  </cols>
  <sheetData>
    <row r="1" spans="1:30">
      <c r="A1" s="22" t="s">
        <v>67</v>
      </c>
      <c r="B1" s="22"/>
      <c r="C1" s="22"/>
      <c r="D1" s="22"/>
      <c r="E1" s="22"/>
      <c r="F1" s="22"/>
      <c r="H1" s="22" t="s">
        <v>154</v>
      </c>
      <c r="I1" s="22"/>
      <c r="J1" s="22"/>
      <c r="K1" s="22"/>
      <c r="L1" s="22"/>
      <c r="M1" s="22"/>
      <c r="N1" s="22"/>
      <c r="P1" s="22" t="s">
        <v>74</v>
      </c>
      <c r="Q1" s="22"/>
      <c r="R1" s="22"/>
      <c r="S1" s="22"/>
      <c r="T1" s="22"/>
      <c r="U1" s="22"/>
      <c r="V1" s="22"/>
      <c r="X1" s="22" t="s">
        <v>73</v>
      </c>
      <c r="Y1" s="22"/>
      <c r="Z1" s="22"/>
      <c r="AA1" s="22"/>
      <c r="AB1" s="22"/>
      <c r="AC1" s="22"/>
      <c r="AD1" s="22"/>
    </row>
    <row r="2" spans="1:30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2654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>
      <c r="A4" t="s">
        <v>152</v>
      </c>
      <c r="B4" t="s">
        <v>56</v>
      </c>
      <c r="C4">
        <v>189.7</v>
      </c>
      <c r="D4">
        <v>-115.9</v>
      </c>
      <c r="E4" s="6">
        <f>71.7/32.2/12</f>
        <v>0.18555900621118013</v>
      </c>
      <c r="F4" s="6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>
      <c r="A5" t="s">
        <v>153</v>
      </c>
      <c r="B5" t="s">
        <v>57</v>
      </c>
      <c r="C5">
        <v>194.3</v>
      </c>
      <c r="D5">
        <v>-123.9</v>
      </c>
      <c r="E5" s="6">
        <f>67.6/32.2/12</f>
        <v>0.17494824016563146</v>
      </c>
      <c r="F5" s="6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>
      <c r="A6" t="s">
        <v>166</v>
      </c>
      <c r="B6" t="s">
        <v>58</v>
      </c>
      <c r="C6">
        <v>197.3</v>
      </c>
      <c r="D6">
        <v>-128.1</v>
      </c>
      <c r="E6" s="6">
        <f>58.8/32.2/12</f>
        <v>0.15217391304347824</v>
      </c>
      <c r="F6" s="6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>
      <c r="A7" t="s">
        <v>167</v>
      </c>
      <c r="B7" t="s">
        <v>59</v>
      </c>
      <c r="C7">
        <v>191.7</v>
      </c>
      <c r="D7">
        <v>-124.3</v>
      </c>
      <c r="E7" s="6">
        <f>56.1/32.2/12</f>
        <v>0.14518633540372669</v>
      </c>
      <c r="F7" s="6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>
      <c r="A8" t="s">
        <v>168</v>
      </c>
      <c r="B8" t="s">
        <v>60</v>
      </c>
      <c r="C8">
        <v>191.8</v>
      </c>
      <c r="D8">
        <v>-129.1</v>
      </c>
      <c r="E8" s="6">
        <f>61.5/32.2/12</f>
        <v>0.15916149068322979</v>
      </c>
      <c r="F8" s="6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>
      <c r="A9" t="s">
        <v>169</v>
      </c>
      <c r="B9" t="s">
        <v>61</v>
      </c>
      <c r="C9">
        <v>191.6</v>
      </c>
      <c r="D9">
        <v>-120.9</v>
      </c>
      <c r="E9" s="6">
        <f>55.6/32.2/12</f>
        <v>0.14389233954451344</v>
      </c>
      <c r="F9" s="6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>
      <c r="A10" t="s">
        <v>170</v>
      </c>
      <c r="B10" t="s">
        <v>62</v>
      </c>
      <c r="C10">
        <v>192.3</v>
      </c>
      <c r="D10">
        <v>-122.1</v>
      </c>
      <c r="E10" s="6">
        <f>59.2/32.2/12</f>
        <v>0.15320910973084886</v>
      </c>
      <c r="F10" s="6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>
      <c r="A11" t="s">
        <v>171</v>
      </c>
      <c r="B11" t="s">
        <v>63</v>
      </c>
      <c r="C11">
        <v>192.3</v>
      </c>
      <c r="D11">
        <v>-120.9</v>
      </c>
      <c r="E11" s="6">
        <f>57.7/32.2/12</f>
        <v>0.14932712215320912</v>
      </c>
      <c r="F11" s="6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>
      <c r="A12" t="s">
        <v>172</v>
      </c>
      <c r="B12" t="s">
        <v>64</v>
      </c>
      <c r="C12">
        <v>192.3</v>
      </c>
      <c r="D12">
        <v>-122.3</v>
      </c>
      <c r="E12" s="6">
        <f>55.5/32.2/12</f>
        <v>0.14363354037267079</v>
      </c>
      <c r="F12" s="6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>
      <c r="A13" t="s">
        <v>173</v>
      </c>
      <c r="B13" t="s">
        <v>66</v>
      </c>
      <c r="C13">
        <v>192.2</v>
      </c>
      <c r="D13">
        <v>-123.4</v>
      </c>
      <c r="E13" s="6">
        <f>44.3/32.2/12</f>
        <v>0.11464803312629397</v>
      </c>
      <c r="F13" s="6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31</v>
      </c>
      <c r="AC17" t="s">
        <v>1477</v>
      </c>
      <c r="AD17" t="b">
        <v>1</v>
      </c>
    </row>
    <row r="18" spans="8:30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31</v>
      </c>
      <c r="AC18" t="s">
        <v>1479</v>
      </c>
      <c r="AD18" t="b">
        <v>1</v>
      </c>
    </row>
    <row r="19" spans="8:30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32</v>
      </c>
      <c r="AC19" t="s">
        <v>1480</v>
      </c>
      <c r="AD19" t="b">
        <v>1</v>
      </c>
    </row>
    <row r="20" spans="8:30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32</v>
      </c>
      <c r="AC20" t="s">
        <v>1478</v>
      </c>
      <c r="AD20" t="b">
        <v>1</v>
      </c>
    </row>
    <row r="21" spans="8:30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2" priority="1" operator="equal">
      <formula>TRUE</formula>
    </cfRule>
    <cfRule type="cellIs" dxfId="11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AB3:AB1048576 U3:U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X1" workbookViewId="0">
      <selection activeCell="AB10" sqref="AB10"/>
    </sheetView>
  </sheetViews>
  <sheetFormatPr defaultRowHeight="14.4"/>
  <cols>
    <col min="1" max="1" width="11" customWidth="1"/>
    <col min="8" max="8" width="2.88671875" style="3" customWidth="1"/>
    <col min="11" max="11" width="2.88671875" style="3" customWidth="1"/>
    <col min="12" max="12" width="13.33203125" customWidth="1"/>
    <col min="13" max="13" width="11" customWidth="1"/>
    <col min="14" max="14" width="12.6640625" customWidth="1"/>
    <col min="15" max="15" width="82.33203125" customWidth="1"/>
    <col min="16" max="16" width="2.88671875" style="3" customWidth="1"/>
    <col min="17" max="17" width="13.5546875" customWidth="1"/>
    <col min="22" max="22" width="15.44140625" customWidth="1"/>
    <col min="23" max="23" width="2.88671875" style="3" customWidth="1"/>
    <col min="24" max="24" width="15.88671875" customWidth="1"/>
    <col min="25" max="25" width="11.33203125" customWidth="1"/>
    <col min="26" max="26" width="12" customWidth="1"/>
    <col min="30" max="30" width="10.6640625" customWidth="1"/>
    <col min="33" max="33" width="9.109375" style="1"/>
    <col min="34" max="34" width="2.88671875" style="3" customWidth="1"/>
    <col min="35" max="35" width="12.109375" customWidth="1"/>
    <col min="36" max="37" width="12.44140625" customWidth="1"/>
    <col min="40" max="40" width="10.5546875" customWidth="1"/>
    <col min="41" max="41" width="11.5546875" customWidth="1"/>
    <col min="42" max="42" width="2.88671875" style="3" customWidth="1"/>
  </cols>
  <sheetData>
    <row r="1" spans="1:41">
      <c r="A1" s="23" t="s">
        <v>163</v>
      </c>
      <c r="B1" s="23"/>
      <c r="C1" s="23"/>
      <c r="D1" s="23"/>
      <c r="E1" s="23"/>
      <c r="F1" s="23"/>
      <c r="G1" s="23"/>
      <c r="I1" s="22" t="s">
        <v>45</v>
      </c>
      <c r="J1" s="22"/>
      <c r="L1" s="22" t="s">
        <v>50</v>
      </c>
      <c r="M1" s="22"/>
      <c r="N1" s="22"/>
      <c r="O1" s="22"/>
      <c r="Q1" s="23" t="s">
        <v>876</v>
      </c>
      <c r="R1" s="23"/>
      <c r="S1" s="23"/>
      <c r="T1" s="23"/>
      <c r="U1" s="23"/>
      <c r="V1" s="23"/>
      <c r="X1" s="22" t="s">
        <v>34</v>
      </c>
      <c r="Y1" s="22"/>
      <c r="Z1" s="22"/>
      <c r="AA1" s="22"/>
      <c r="AB1" s="22"/>
      <c r="AC1" s="22"/>
      <c r="AD1" s="22"/>
      <c r="AE1" s="22"/>
      <c r="AF1" s="22"/>
      <c r="AG1" s="22"/>
      <c r="AI1" s="22" t="s">
        <v>1615</v>
      </c>
      <c r="AJ1" s="22"/>
      <c r="AK1" s="22"/>
      <c r="AL1" s="22"/>
      <c r="AM1" s="22"/>
      <c r="AN1" s="22"/>
      <c r="AO1" s="22"/>
    </row>
    <row r="2" spans="1:41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1637</v>
      </c>
      <c r="AL2" t="s">
        <v>1617</v>
      </c>
      <c r="AM2" t="s">
        <v>1620</v>
      </c>
      <c r="AN2" t="s">
        <v>1618</v>
      </c>
      <c r="AO2" t="s">
        <v>1619</v>
      </c>
    </row>
    <row r="3" spans="1:41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2648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2648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2648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2648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>
      <c r="A7" t="s">
        <v>2668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2648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2648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2648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2648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2649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2649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2649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2649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2649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2649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2649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2649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4.4"/>
  <cols>
    <col min="1" max="1" width="31" customWidth="1"/>
    <col min="2" max="2" width="23.109375" customWidth="1"/>
    <col min="3" max="3" width="96.88671875" customWidth="1"/>
    <col min="4" max="16384" width="9.109375" hidden="1"/>
  </cols>
  <sheetData>
    <row r="1" spans="1:3">
      <c r="A1" s="8" t="s">
        <v>1623</v>
      </c>
      <c r="B1" s="8" t="s">
        <v>1622</v>
      </c>
      <c r="C1" s="8" t="s">
        <v>177</v>
      </c>
    </row>
    <row r="2" spans="1:3">
      <c r="A2" t="s">
        <v>1624</v>
      </c>
    </row>
    <row r="3" spans="1:3">
      <c r="A3" t="s">
        <v>1625</v>
      </c>
    </row>
    <row r="4" spans="1:3">
      <c r="A4" t="s">
        <v>1626</v>
      </c>
    </row>
    <row r="5" spans="1:3">
      <c r="A5" t="s">
        <v>1627</v>
      </c>
      <c r="B5" t="b">
        <v>1</v>
      </c>
      <c r="C5" t="s">
        <v>1628</v>
      </c>
    </row>
    <row r="8" spans="1:3">
      <c r="A8" t="s">
        <v>1636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topLeftCell="A22" workbookViewId="0">
      <selection activeCell="D35" sqref="D35"/>
    </sheetView>
  </sheetViews>
  <sheetFormatPr defaultRowHeight="14.4"/>
  <cols>
    <col min="1" max="1" width="23.5546875" customWidth="1"/>
    <col min="2" max="2" width="30.109375" customWidth="1"/>
    <col min="3" max="3" width="16.6640625" customWidth="1"/>
    <col min="4" max="5" width="17.44140625" customWidth="1"/>
    <col min="6" max="6" width="10.88671875" style="2" customWidth="1"/>
    <col min="7" max="7" width="9.109375" style="1"/>
    <col min="8" max="8" width="2.88671875" style="3" customWidth="1"/>
    <col min="11" max="11" width="16.109375" customWidth="1"/>
  </cols>
  <sheetData>
    <row r="1" spans="1:21">
      <c r="A1" t="s">
        <v>1</v>
      </c>
      <c r="B1" t="s">
        <v>1459</v>
      </c>
      <c r="C1" t="s">
        <v>867</v>
      </c>
      <c r="D1" t="s">
        <v>854</v>
      </c>
      <c r="E1" t="s">
        <v>865</v>
      </c>
      <c r="F1" s="2" t="s">
        <v>863</v>
      </c>
      <c r="G1" t="s">
        <v>866</v>
      </c>
    </row>
    <row r="2" spans="1:21">
      <c r="A2" t="s">
        <v>826</v>
      </c>
      <c r="B2" t="s">
        <v>1461</v>
      </c>
      <c r="C2" t="s">
        <v>829</v>
      </c>
      <c r="D2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>
      <c r="A3" t="s">
        <v>826</v>
      </c>
      <c r="B3" t="s">
        <v>2669</v>
      </c>
      <c r="C3" t="s">
        <v>833</v>
      </c>
      <c r="D3" t="s">
        <v>1469</v>
      </c>
      <c r="G3" s="1" t="s">
        <v>790</v>
      </c>
      <c r="K3" t="s">
        <v>826</v>
      </c>
      <c r="L3" t="s">
        <v>829</v>
      </c>
    </row>
    <row r="4" spans="1:21">
      <c r="A4" t="s">
        <v>1519</v>
      </c>
      <c r="B4" t="s">
        <v>1521</v>
      </c>
      <c r="C4" t="s">
        <v>855</v>
      </c>
      <c r="D4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>
      <c r="A5" t="s">
        <v>1519</v>
      </c>
      <c r="B5" t="s">
        <v>1523</v>
      </c>
      <c r="C5" t="s">
        <v>855</v>
      </c>
      <c r="D5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>
      <c r="A6" t="s">
        <v>826</v>
      </c>
      <c r="B6" t="s">
        <v>1460</v>
      </c>
      <c r="C6" t="s">
        <v>829</v>
      </c>
      <c r="D6" t="s">
        <v>864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>
      <c r="A7" t="s">
        <v>1519</v>
      </c>
      <c r="B7" t="s">
        <v>2651</v>
      </c>
      <c r="C7" t="s">
        <v>855</v>
      </c>
      <c r="D7" t="s">
        <v>2686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>
      <c r="A8" t="s">
        <v>1519</v>
      </c>
      <c r="B8" t="s">
        <v>2652</v>
      </c>
      <c r="C8" t="s">
        <v>855</v>
      </c>
      <c r="D8" t="s">
        <v>2687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>
      <c r="A9" t="s">
        <v>1519</v>
      </c>
      <c r="B9" t="s">
        <v>1523</v>
      </c>
      <c r="C9" t="s">
        <v>855</v>
      </c>
      <c r="D9" t="s">
        <v>1524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>
      <c r="A10" t="s">
        <v>1519</v>
      </c>
      <c r="B10" t="s">
        <v>1521</v>
      </c>
      <c r="C10" t="s">
        <v>855</v>
      </c>
      <c r="D10" t="s">
        <v>1522</v>
      </c>
      <c r="Q10" t="str">
        <v>eigen 1</v>
      </c>
      <c r="R10" t="str">
        <v>yaxis</v>
      </c>
    </row>
    <row r="11" spans="1:21">
      <c r="A11" t="s">
        <v>1519</v>
      </c>
      <c r="B11" t="s">
        <v>2688</v>
      </c>
      <c r="C11" t="s">
        <v>855</v>
      </c>
      <c r="D11" t="s">
        <v>2689</v>
      </c>
      <c r="Q11" t="str">
        <v>eigen 2</v>
      </c>
      <c r="R11" t="str">
        <v>zaxis</v>
      </c>
    </row>
    <row r="12" spans="1:21">
      <c r="A12" t="s">
        <v>826</v>
      </c>
      <c r="C12" t="s">
        <v>834</v>
      </c>
      <c r="D12" t="s">
        <v>2656</v>
      </c>
      <c r="E12" t="s">
        <v>2657</v>
      </c>
      <c r="F12" s="2" t="s">
        <v>2659</v>
      </c>
      <c r="G12" s="1" t="s">
        <v>790</v>
      </c>
      <c r="Q12" t="str">
        <v>eigen 3</v>
      </c>
    </row>
    <row r="13" spans="1:21">
      <c r="A13" t="s">
        <v>826</v>
      </c>
      <c r="C13" t="s">
        <v>835</v>
      </c>
      <c r="D13" t="s">
        <v>2660</v>
      </c>
      <c r="E13" t="s">
        <v>2657</v>
      </c>
      <c r="F13" s="2" t="s">
        <v>2659</v>
      </c>
      <c r="G13" s="1" t="s">
        <v>790</v>
      </c>
      <c r="Q13" t="str">
        <v>eigen 4</v>
      </c>
    </row>
    <row r="14" spans="1:21">
      <c r="A14" t="s">
        <v>826</v>
      </c>
      <c r="C14" t="s">
        <v>836</v>
      </c>
      <c r="D14" t="s">
        <v>2661</v>
      </c>
      <c r="E14" t="s">
        <v>2657</v>
      </c>
      <c r="F14" s="2" t="s">
        <v>2659</v>
      </c>
      <c r="G14" s="1" t="s">
        <v>790</v>
      </c>
      <c r="Q14" t="str">
        <v>eigen 5</v>
      </c>
    </row>
    <row r="15" spans="1:21">
      <c r="A15" t="s">
        <v>826</v>
      </c>
      <c r="C15" t="s">
        <v>837</v>
      </c>
      <c r="D15" t="s">
        <v>2662</v>
      </c>
      <c r="E15" t="s">
        <v>2657</v>
      </c>
      <c r="F15" s="2" t="s">
        <v>2659</v>
      </c>
      <c r="G15" s="1" t="s">
        <v>790</v>
      </c>
      <c r="Q15" t="str">
        <v>eigen 6</v>
      </c>
    </row>
    <row r="16" spans="1:21">
      <c r="A16" t="s">
        <v>826</v>
      </c>
      <c r="C16" t="s">
        <v>838</v>
      </c>
      <c r="D16" t="s">
        <v>2663</v>
      </c>
      <c r="E16" t="s">
        <v>2657</v>
      </c>
      <c r="F16" s="2" t="s">
        <v>2659</v>
      </c>
      <c r="G16" s="1" t="s">
        <v>790</v>
      </c>
      <c r="Q16" t="str">
        <v>eigen 7</v>
      </c>
    </row>
    <row r="17" spans="1:17">
      <c r="A17" t="s">
        <v>826</v>
      </c>
      <c r="C17" t="s">
        <v>839</v>
      </c>
      <c r="D17" t="s">
        <v>2664</v>
      </c>
      <c r="E17" t="s">
        <v>2657</v>
      </c>
      <c r="F17" s="2" t="s">
        <v>2659</v>
      </c>
      <c r="G17" s="1" t="s">
        <v>790</v>
      </c>
      <c r="Q17" t="str">
        <v>eigen 8</v>
      </c>
    </row>
    <row r="18" spans="1:17">
      <c r="A18" t="s">
        <v>826</v>
      </c>
      <c r="C18" t="s">
        <v>840</v>
      </c>
      <c r="D18" t="s">
        <v>2665</v>
      </c>
      <c r="E18" t="s">
        <v>2657</v>
      </c>
      <c r="F18" s="2" t="s">
        <v>2659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>
      <c r="A19" t="s">
        <v>826</v>
      </c>
      <c r="C19" t="s">
        <v>841</v>
      </c>
      <c r="D19" t="s">
        <v>2666</v>
      </c>
      <c r="E19" t="s">
        <v>2657</v>
      </c>
      <c r="F19" s="2" t="s">
        <v>2659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>
      <c r="A20" t="s">
        <v>826</v>
      </c>
      <c r="C20" t="s">
        <v>842</v>
      </c>
      <c r="D20" t="s">
        <v>2667</v>
      </c>
      <c r="E20" t="s">
        <v>2657</v>
      </c>
      <c r="F20" s="2" t="s">
        <v>2659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>
      <c r="A21" t="s">
        <v>826</v>
      </c>
      <c r="B21" t="s">
        <v>2674</v>
      </c>
      <c r="C21" t="s">
        <v>829</v>
      </c>
      <c r="D21" t="s">
        <v>2675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>
      <c r="A22" t="s">
        <v>826</v>
      </c>
      <c r="B22" t="s">
        <v>2674</v>
      </c>
      <c r="C22" t="s">
        <v>833</v>
      </c>
      <c r="D22" t="s">
        <v>2676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>
      <c r="A23" t="s">
        <v>826</v>
      </c>
      <c r="B23" t="s">
        <v>2658</v>
      </c>
      <c r="C23" t="s">
        <v>829</v>
      </c>
      <c r="D23" t="s">
        <v>2677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>
      <c r="A24" t="s">
        <v>1465</v>
      </c>
      <c r="B24" t="s">
        <v>2678</v>
      </c>
      <c r="C24" t="s">
        <v>855</v>
      </c>
      <c r="D24" t="s">
        <v>2679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>
      <c r="A25" t="s">
        <v>1465</v>
      </c>
      <c r="B25" t="s">
        <v>2690</v>
      </c>
      <c r="C25" t="s">
        <v>2701</v>
      </c>
      <c r="D25" t="s">
        <v>2693</v>
      </c>
      <c r="K25" t="s">
        <v>826</v>
      </c>
      <c r="L25" t="s">
        <v>839</v>
      </c>
      <c r="Q25" t="str">
        <v>eigen 16</v>
      </c>
    </row>
    <row r="26" spans="1:17">
      <c r="A26" t="s">
        <v>1465</v>
      </c>
      <c r="B26" t="s">
        <v>2690</v>
      </c>
      <c r="C26" t="s">
        <v>2691</v>
      </c>
      <c r="D26" t="s">
        <v>2694</v>
      </c>
      <c r="K26" t="s">
        <v>826</v>
      </c>
      <c r="L26" t="s">
        <v>840</v>
      </c>
      <c r="Q26" t="str">
        <v>eigen 17</v>
      </c>
    </row>
    <row r="27" spans="1:17">
      <c r="A27" t="s">
        <v>1465</v>
      </c>
      <c r="B27" t="s">
        <v>2690</v>
      </c>
      <c r="C27" t="s">
        <v>2692</v>
      </c>
      <c r="D27" t="s">
        <v>2695</v>
      </c>
      <c r="K27" t="s">
        <v>826</v>
      </c>
      <c r="L27" t="s">
        <v>841</v>
      </c>
      <c r="Q27" t="str">
        <v>eigen 18</v>
      </c>
    </row>
    <row r="28" spans="1:17">
      <c r="A28" t="s">
        <v>1466</v>
      </c>
      <c r="B28" t="s">
        <v>2696</v>
      </c>
      <c r="C28" t="s">
        <v>1467</v>
      </c>
      <c r="D28" t="s">
        <v>2697</v>
      </c>
      <c r="K28" t="s">
        <v>826</v>
      </c>
      <c r="L28" t="s">
        <v>842</v>
      </c>
      <c r="Q28" t="str">
        <v>eigen 19</v>
      </c>
    </row>
    <row r="29" spans="1:17">
      <c r="A29" t="s">
        <v>1466</v>
      </c>
      <c r="B29" t="s">
        <v>2696</v>
      </c>
      <c r="C29" t="s">
        <v>855</v>
      </c>
      <c r="D29" t="s">
        <v>2698</v>
      </c>
      <c r="K29" t="s">
        <v>826</v>
      </c>
      <c r="L29" t="s">
        <v>843</v>
      </c>
      <c r="Q29" t="str">
        <v>eigen 20</v>
      </c>
    </row>
    <row r="30" spans="1:17">
      <c r="A30" t="s">
        <v>1466</v>
      </c>
      <c r="B30" t="s">
        <v>2696</v>
      </c>
      <c r="C30" t="s">
        <v>2691</v>
      </c>
      <c r="D30" t="s">
        <v>2699</v>
      </c>
      <c r="K30" t="s">
        <v>826</v>
      </c>
      <c r="L30" t="s">
        <v>844</v>
      </c>
    </row>
    <row r="31" spans="1:17">
      <c r="A31" t="s">
        <v>1465</v>
      </c>
      <c r="B31" t="s">
        <v>2678</v>
      </c>
      <c r="C31" t="s">
        <v>2692</v>
      </c>
      <c r="D31" t="s">
        <v>2712</v>
      </c>
      <c r="K31" t="s">
        <v>826</v>
      </c>
      <c r="L31" t="s">
        <v>845</v>
      </c>
    </row>
    <row r="32" spans="1:17">
      <c r="A32" t="s">
        <v>826</v>
      </c>
      <c r="B32" t="s">
        <v>1461</v>
      </c>
      <c r="C32" t="s">
        <v>831</v>
      </c>
      <c r="D32" t="s">
        <v>2716</v>
      </c>
      <c r="F32" s="2" t="s">
        <v>1525</v>
      </c>
      <c r="K32" t="s">
        <v>826</v>
      </c>
      <c r="L32" t="s">
        <v>846</v>
      </c>
    </row>
    <row r="33" spans="1:12">
      <c r="A33" t="s">
        <v>1519</v>
      </c>
      <c r="B33" t="s">
        <v>2754</v>
      </c>
      <c r="C33" t="s">
        <v>855</v>
      </c>
      <c r="D33" t="s">
        <v>2753</v>
      </c>
      <c r="K33" t="s">
        <v>826</v>
      </c>
      <c r="L33" t="s">
        <v>847</v>
      </c>
    </row>
    <row r="34" spans="1:12">
      <c r="A34" t="s">
        <v>1519</v>
      </c>
      <c r="B34" t="s">
        <v>2658</v>
      </c>
      <c r="C34" t="s">
        <v>2701</v>
      </c>
      <c r="D34" t="s">
        <v>2755</v>
      </c>
      <c r="K34" t="s">
        <v>826</v>
      </c>
      <c r="L34" t="s">
        <v>848</v>
      </c>
    </row>
    <row r="35" spans="1:12">
      <c r="A35" t="s">
        <v>1519</v>
      </c>
      <c r="B35" t="s">
        <v>2754</v>
      </c>
      <c r="C35" t="s">
        <v>2701</v>
      </c>
      <c r="D35" t="s">
        <v>2756</v>
      </c>
      <c r="K35" t="s">
        <v>826</v>
      </c>
      <c r="L35" t="s">
        <v>849</v>
      </c>
    </row>
    <row r="36" spans="1:12">
      <c r="K36" t="s">
        <v>826</v>
      </c>
      <c r="L36" t="s">
        <v>850</v>
      </c>
    </row>
    <row r="37" spans="1:12">
      <c r="K37" t="s">
        <v>826</v>
      </c>
      <c r="L37" t="s">
        <v>851</v>
      </c>
    </row>
    <row r="38" spans="1:12">
      <c r="K38" t="s">
        <v>826</v>
      </c>
      <c r="L38" t="s">
        <v>852</v>
      </c>
    </row>
    <row r="39" spans="1:12">
      <c r="K39" t="s">
        <v>826</v>
      </c>
      <c r="L39" t="s">
        <v>853</v>
      </c>
    </row>
    <row r="40" spans="1:12">
      <c r="K40" t="s">
        <v>1519</v>
      </c>
      <c r="L40" t="s">
        <v>855</v>
      </c>
    </row>
    <row r="41" spans="1:12">
      <c r="K41" t="s">
        <v>1519</v>
      </c>
      <c r="L41" t="s">
        <v>856</v>
      </c>
    </row>
    <row r="42" spans="1:12">
      <c r="K42" t="s">
        <v>1519</v>
      </c>
      <c r="L42" t="s">
        <v>2701</v>
      </c>
    </row>
    <row r="43" spans="1:12">
      <c r="K43" t="s">
        <v>1519</v>
      </c>
      <c r="L43" t="s">
        <v>857</v>
      </c>
    </row>
    <row r="44" spans="1:12">
      <c r="K44" t="s">
        <v>1519</v>
      </c>
      <c r="L44" t="s">
        <v>858</v>
      </c>
    </row>
    <row r="45" spans="1:12">
      <c r="K45" t="s">
        <v>1519</v>
      </c>
      <c r="L45" t="s">
        <v>859</v>
      </c>
    </row>
    <row r="46" spans="1:12">
      <c r="K46" t="s">
        <v>1519</v>
      </c>
      <c r="L46" t="s">
        <v>860</v>
      </c>
    </row>
    <row r="47" spans="1:12">
      <c r="K47" t="s">
        <v>1519</v>
      </c>
      <c r="L47" t="s">
        <v>861</v>
      </c>
    </row>
    <row r="48" spans="1:12">
      <c r="K48" t="s">
        <v>862</v>
      </c>
      <c r="L48" t="s">
        <v>855</v>
      </c>
    </row>
    <row r="49" spans="11:12">
      <c r="K49" t="s">
        <v>862</v>
      </c>
      <c r="L49" t="s">
        <v>856</v>
      </c>
    </row>
    <row r="50" spans="11:12">
      <c r="K50" t="s">
        <v>1465</v>
      </c>
      <c r="L50" t="s">
        <v>855</v>
      </c>
    </row>
    <row r="51" spans="11:12">
      <c r="K51" t="s">
        <v>1465</v>
      </c>
      <c r="L51" t="s">
        <v>856</v>
      </c>
    </row>
    <row r="52" spans="11:12">
      <c r="K52" t="s">
        <v>1465</v>
      </c>
      <c r="L52" t="s">
        <v>857</v>
      </c>
    </row>
    <row r="53" spans="11:12">
      <c r="K53" t="s">
        <v>1465</v>
      </c>
      <c r="L53" t="s">
        <v>1462</v>
      </c>
    </row>
    <row r="54" spans="11:12">
      <c r="K54" t="s">
        <v>1465</v>
      </c>
      <c r="L54" t="s">
        <v>1463</v>
      </c>
    </row>
    <row r="55" spans="11:12">
      <c r="K55" t="s">
        <v>1465</v>
      </c>
      <c r="L55" t="s">
        <v>1464</v>
      </c>
    </row>
    <row r="56" spans="11:12">
      <c r="K56" t="s">
        <v>1466</v>
      </c>
      <c r="L56" t="s">
        <v>855</v>
      </c>
    </row>
    <row r="57" spans="11:12">
      <c r="K57" t="s">
        <v>1466</v>
      </c>
      <c r="L57" t="s">
        <v>1467</v>
      </c>
    </row>
    <row r="58" spans="11:12">
      <c r="K58" t="s">
        <v>1466</v>
      </c>
      <c r="L58" t="s">
        <v>857</v>
      </c>
    </row>
    <row r="59" spans="11:12">
      <c r="K59" t="s">
        <v>1466</v>
      </c>
      <c r="L59" t="s">
        <v>1462</v>
      </c>
    </row>
    <row r="60" spans="11:12">
      <c r="K60" t="s">
        <v>1466</v>
      </c>
      <c r="L60" t="s">
        <v>1463</v>
      </c>
    </row>
    <row r="61" spans="11:12">
      <c r="K61" t="s">
        <v>1466</v>
      </c>
      <c r="L61" t="s">
        <v>1464</v>
      </c>
    </row>
    <row r="62" spans="11:12">
      <c r="K62" t="s">
        <v>1520</v>
      </c>
      <c r="L62" t="s">
        <v>855</v>
      </c>
    </row>
  </sheetData>
  <phoneticPr fontId="1" type="noConversion"/>
  <conditionalFormatting sqref="G3 G6:G11">
    <cfRule type="cellIs" dxfId="10" priority="27" operator="equal">
      <formula>"N"</formula>
    </cfRule>
    <cfRule type="cellIs" dxfId="9" priority="28" operator="equal">
      <formula>"Y"</formula>
    </cfRule>
  </conditionalFormatting>
  <conditionalFormatting sqref="G4:G5">
    <cfRule type="cellIs" dxfId="8" priority="25" operator="equal">
      <formula>"N"</formula>
    </cfRule>
    <cfRule type="cellIs" dxfId="7" priority="26" operator="equal">
      <formula>"Y"</formula>
    </cfRule>
  </conditionalFormatting>
  <conditionalFormatting sqref="G12:G1048576">
    <cfRule type="cellIs" dxfId="6" priority="19" operator="equal">
      <formula>"N"</formula>
    </cfRule>
    <cfRule type="cellIs" dxfId="5" priority="20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3:E1048576 E2:E11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Q42"/>
  <sheetViews>
    <sheetView tabSelected="1" topLeftCell="A19" workbookViewId="0">
      <selection activeCell="C38" sqref="C38"/>
    </sheetView>
  </sheetViews>
  <sheetFormatPr defaultColWidth="9.109375" defaultRowHeight="14.4"/>
  <cols>
    <col min="1" max="1" width="27.33203125" customWidth="1"/>
    <col min="2" max="2" width="6.6640625" style="1" customWidth="1"/>
    <col min="3" max="3" width="32.5546875" style="5" customWidth="1"/>
    <col min="4" max="4" width="52.5546875" style="5" customWidth="1"/>
    <col min="5" max="5" width="29.44140625" customWidth="1"/>
    <col min="6" max="6" width="23.44140625" customWidth="1"/>
    <col min="7" max="7" width="9.109375" customWidth="1"/>
    <col min="8" max="8" width="18.88671875" customWidth="1"/>
    <col min="9" max="9" width="14" customWidth="1"/>
    <col min="10" max="16379" width="9.109375" customWidth="1"/>
  </cols>
  <sheetData>
    <row r="1" spans="1:17">
      <c r="A1" t="s">
        <v>49</v>
      </c>
      <c r="B1" s="1" t="s">
        <v>791</v>
      </c>
      <c r="C1" s="5" t="s">
        <v>2655</v>
      </c>
      <c r="D1" s="5" t="s">
        <v>1459</v>
      </c>
      <c r="E1" s="5" t="s">
        <v>177</v>
      </c>
    </row>
    <row r="2" spans="1:17">
      <c r="A2" t="s">
        <v>789</v>
      </c>
      <c r="B2" s="1" t="s">
        <v>19</v>
      </c>
      <c r="C2" s="5" t="s">
        <v>789</v>
      </c>
    </row>
    <row r="3" spans="1:17">
      <c r="A3" t="s">
        <v>868</v>
      </c>
      <c r="B3" s="1" t="s">
        <v>790</v>
      </c>
      <c r="C3" s="5" t="s">
        <v>2670</v>
      </c>
      <c r="D3" s="5" t="s">
        <v>2713</v>
      </c>
    </row>
    <row r="4" spans="1:17">
      <c r="A4" t="s">
        <v>869</v>
      </c>
      <c r="B4" s="1" t="s">
        <v>790</v>
      </c>
      <c r="C4" s="5" t="s">
        <v>2670</v>
      </c>
      <c r="D4" s="5" t="s">
        <v>2714</v>
      </c>
    </row>
    <row r="5" spans="1:17">
      <c r="A5" t="s">
        <v>2711</v>
      </c>
      <c r="B5" s="1" t="s">
        <v>790</v>
      </c>
      <c r="C5" s="5" t="s">
        <v>2670</v>
      </c>
      <c r="D5" s="5" t="s">
        <v>2715</v>
      </c>
    </row>
    <row r="6" spans="1:17">
      <c r="A6" t="s">
        <v>869</v>
      </c>
      <c r="B6" s="1" t="s">
        <v>790</v>
      </c>
      <c r="C6" s="5" t="s">
        <v>2671</v>
      </c>
      <c r="D6" s="5" t="s">
        <v>2700</v>
      </c>
    </row>
    <row r="7" spans="1:17">
      <c r="A7" t="s">
        <v>1468</v>
      </c>
      <c r="B7" s="1" t="s">
        <v>790</v>
      </c>
      <c r="C7" s="5" t="s">
        <v>408</v>
      </c>
    </row>
    <row r="8" spans="1:17">
      <c r="A8" t="s">
        <v>792</v>
      </c>
      <c r="B8" s="1" t="s">
        <v>790</v>
      </c>
      <c r="C8" s="5" t="s">
        <v>873</v>
      </c>
    </row>
    <row r="9" spans="1:17">
      <c r="A9" t="s">
        <v>875</v>
      </c>
      <c r="B9" s="1" t="s">
        <v>790</v>
      </c>
    </row>
    <row r="10" spans="1:17">
      <c r="A10" t="s">
        <v>1526</v>
      </c>
      <c r="B10" s="1" t="s">
        <v>790</v>
      </c>
      <c r="C10" s="5" t="s">
        <v>408</v>
      </c>
    </row>
    <row r="11" spans="1:17">
      <c r="A11" t="s">
        <v>2680</v>
      </c>
      <c r="B11" s="1" t="s">
        <v>790</v>
      </c>
      <c r="C11" s="5" t="s">
        <v>2681</v>
      </c>
      <c r="D11" s="5" t="s">
        <v>2682</v>
      </c>
    </row>
    <row r="12" spans="1:17">
      <c r="A12" t="s">
        <v>2683</v>
      </c>
      <c r="B12" s="1" t="s">
        <v>790</v>
      </c>
      <c r="C12" s="5" t="s">
        <v>2684</v>
      </c>
      <c r="D12" s="5" t="s">
        <v>2685</v>
      </c>
    </row>
    <row r="13" spans="1:17">
      <c r="A13" t="s">
        <v>2703</v>
      </c>
      <c r="B13" s="1" t="s">
        <v>790</v>
      </c>
      <c r="C13" s="5" t="s">
        <v>2702</v>
      </c>
      <c r="D13" s="5" t="s">
        <v>2707</v>
      </c>
    </row>
    <row r="14" spans="1:17">
      <c r="A14" t="s">
        <v>2704</v>
      </c>
      <c r="B14" s="1" t="s">
        <v>790</v>
      </c>
      <c r="C14" s="5" t="s">
        <v>2702</v>
      </c>
      <c r="D14" s="5" t="s">
        <v>2710</v>
      </c>
    </row>
    <row r="15" spans="1:17">
      <c r="A15" t="s">
        <v>2705</v>
      </c>
      <c r="B15" s="1" t="s">
        <v>790</v>
      </c>
      <c r="C15" s="5" t="s">
        <v>2702</v>
      </c>
      <c r="D15" s="5" t="s">
        <v>2708</v>
      </c>
    </row>
    <row r="16" spans="1:17">
      <c r="A16" t="s">
        <v>2706</v>
      </c>
      <c r="B16" s="1" t="s">
        <v>790</v>
      </c>
      <c r="C16" s="5" t="s">
        <v>2702</v>
      </c>
      <c r="D16" s="5" t="s">
        <v>2709</v>
      </c>
      <c r="M16" t="s">
        <v>2757</v>
      </c>
      <c r="N16" t="s">
        <v>2772</v>
      </c>
      <c r="O16" t="s">
        <v>2773</v>
      </c>
      <c r="P16" t="s">
        <v>2774</v>
      </c>
      <c r="Q16" t="s">
        <v>2775</v>
      </c>
    </row>
    <row r="17" spans="1:13">
      <c r="A17" t="str">
        <f>LEFT(F17,2)&amp;"_"&amp;I17&amp;"_"&amp;G17</f>
        <v>01_Ferndale_43</v>
      </c>
      <c r="B17" s="1" t="s">
        <v>790</v>
      </c>
      <c r="C17" s="5" t="s">
        <v>2744</v>
      </c>
      <c r="D17" s="5" t="str">
        <f>F17&amp;"_"&amp;G17&amp;"_"&amp;H17&amp;", "&amp;J17&amp;", "&amp;L17</f>
        <v>01 TallWoodEqs_43_subRSN2000890, 0.005, 11942</v>
      </c>
      <c r="F17" t="s">
        <v>2717</v>
      </c>
      <c r="G17">
        <v>43</v>
      </c>
      <c r="H17" t="s">
        <v>2718</v>
      </c>
      <c r="I17" t="s">
        <v>2766</v>
      </c>
      <c r="J17">
        <v>5.0000000000000001E-3</v>
      </c>
      <c r="K17">
        <v>11942</v>
      </c>
      <c r="L17">
        <v>11942</v>
      </c>
      <c r="M17">
        <f>J17*L17</f>
        <v>59.71</v>
      </c>
    </row>
    <row r="18" spans="1:13">
      <c r="A18" t="str">
        <f t="shared" ref="A18:A42" si="0">LEFT(F18,2)&amp;"_"&amp;I18&amp;"_"&amp;G18</f>
        <v>02_ChiChi_43</v>
      </c>
      <c r="B18" s="1" t="s">
        <v>790</v>
      </c>
      <c r="C18" s="5" t="s">
        <v>2744</v>
      </c>
      <c r="D18" s="5" t="str">
        <f t="shared" ref="D18:D42" si="1">F18&amp;"_"&amp;G18&amp;"_"&amp;H18&amp;", "&amp;J18&amp;", "&amp;L18</f>
        <v>02 TallWoodEqs_43_3320, 0.004, 36750</v>
      </c>
      <c r="F18" t="s">
        <v>2745</v>
      </c>
      <c r="G18">
        <v>43</v>
      </c>
      <c r="H18">
        <v>3320</v>
      </c>
      <c r="I18" t="s">
        <v>2768</v>
      </c>
      <c r="J18">
        <v>4.0000000000000001E-3</v>
      </c>
      <c r="K18">
        <v>36750</v>
      </c>
      <c r="L18">
        <v>36750</v>
      </c>
      <c r="M18">
        <f t="shared" ref="M18:M42" si="2">J18*L18</f>
        <v>147</v>
      </c>
    </row>
    <row r="19" spans="1:13">
      <c r="A19" t="str">
        <f t="shared" si="0"/>
        <v>03_TohokuAftershock_43</v>
      </c>
      <c r="B19" s="1" t="s">
        <v>790</v>
      </c>
      <c r="C19" s="5" t="s">
        <v>2744</v>
      </c>
      <c r="D19" s="5" t="str">
        <f t="shared" si="1"/>
        <v>03 TallWoodEqs_43_CHB0121103111526, 0.01, 30000</v>
      </c>
      <c r="F19" t="s">
        <v>2746</v>
      </c>
      <c r="G19">
        <v>43</v>
      </c>
      <c r="H19" t="s">
        <v>2719</v>
      </c>
      <c r="I19" t="s">
        <v>2760</v>
      </c>
      <c r="J19">
        <v>0.01</v>
      </c>
      <c r="K19">
        <v>30000</v>
      </c>
      <c r="L19">
        <v>30000</v>
      </c>
      <c r="M19">
        <f t="shared" si="2"/>
        <v>300</v>
      </c>
    </row>
    <row r="20" spans="1:13">
      <c r="A20" t="str">
        <f t="shared" si="0"/>
        <v>04_Northridge_43</v>
      </c>
      <c r="B20" s="1" t="s">
        <v>790</v>
      </c>
      <c r="C20" s="5" t="s">
        <v>2744</v>
      </c>
      <c r="D20" s="5" t="str">
        <f t="shared" si="1"/>
        <v>04 TallWoodEqs_43_975, 0.01, 5000</v>
      </c>
      <c r="F20" t="s">
        <v>2747</v>
      </c>
      <c r="G20">
        <v>43</v>
      </c>
      <c r="H20">
        <v>975</v>
      </c>
      <c r="I20" t="s">
        <v>2743</v>
      </c>
      <c r="J20">
        <v>0.01</v>
      </c>
      <c r="K20">
        <v>2999</v>
      </c>
      <c r="L20">
        <v>5000</v>
      </c>
      <c r="M20">
        <f t="shared" si="2"/>
        <v>50</v>
      </c>
    </row>
    <row r="21" spans="1:13">
      <c r="A21" t="str">
        <f t="shared" si="0"/>
        <v>05_SanSimeon_43</v>
      </c>
      <c r="B21" s="1" t="s">
        <v>790</v>
      </c>
      <c r="C21" s="5" t="s">
        <v>2744</v>
      </c>
      <c r="D21" s="5" t="str">
        <f t="shared" si="1"/>
        <v>05 TallWoodEqs_43_4031, 0.005, 20224</v>
      </c>
      <c r="F21" t="s">
        <v>2748</v>
      </c>
      <c r="G21">
        <v>43</v>
      </c>
      <c r="H21">
        <v>4031</v>
      </c>
      <c r="I21" t="s">
        <v>2761</v>
      </c>
      <c r="J21">
        <v>5.0000000000000001E-3</v>
      </c>
      <c r="K21">
        <v>20224</v>
      </c>
      <c r="L21">
        <v>20224</v>
      </c>
      <c r="M21">
        <f t="shared" si="2"/>
        <v>101.12</v>
      </c>
    </row>
    <row r="22" spans="1:13">
      <c r="A22" t="str">
        <f t="shared" si="0"/>
        <v>06_FerndaleA_225</v>
      </c>
      <c r="B22" s="1" t="s">
        <v>790</v>
      </c>
      <c r="C22" s="5" t="s">
        <v>2744</v>
      </c>
      <c r="D22" s="5" t="str">
        <f t="shared" si="1"/>
        <v>06 TallWoodEqs_225_subRSN2000890, 0.005, 11942</v>
      </c>
      <c r="F22" t="s">
        <v>2749</v>
      </c>
      <c r="G22">
        <v>225</v>
      </c>
      <c r="H22" t="s">
        <v>2718</v>
      </c>
      <c r="I22" t="s">
        <v>2758</v>
      </c>
      <c r="J22">
        <v>5.0000000000000001E-3</v>
      </c>
      <c r="K22">
        <v>11942</v>
      </c>
      <c r="L22">
        <v>11942</v>
      </c>
      <c r="M22">
        <f t="shared" si="2"/>
        <v>59.71</v>
      </c>
    </row>
    <row r="23" spans="1:13">
      <c r="A23" t="str">
        <f t="shared" si="0"/>
        <v>07_FerndaleB_225</v>
      </c>
      <c r="B23" s="1" t="s">
        <v>790</v>
      </c>
      <c r="C23" s="5" t="s">
        <v>2744</v>
      </c>
      <c r="D23" s="5" t="str">
        <f t="shared" si="1"/>
        <v>07 TallWoodEqs_225_subRSN2000905, 0.005, 16187</v>
      </c>
      <c r="F23" t="s">
        <v>2750</v>
      </c>
      <c r="G23">
        <v>225</v>
      </c>
      <c r="H23" t="s">
        <v>2720</v>
      </c>
      <c r="I23" t="s">
        <v>2762</v>
      </c>
      <c r="J23">
        <v>5.0000000000000001E-3</v>
      </c>
      <c r="K23">
        <v>16187</v>
      </c>
      <c r="L23">
        <v>16187</v>
      </c>
      <c r="M23">
        <f t="shared" si="2"/>
        <v>80.935000000000002</v>
      </c>
    </row>
    <row r="24" spans="1:13">
      <c r="A24" t="str">
        <f t="shared" si="0"/>
        <v>08_Tohoku_225</v>
      </c>
      <c r="B24" s="1" t="s">
        <v>790</v>
      </c>
      <c r="C24" s="5" t="s">
        <v>2744</v>
      </c>
      <c r="D24" s="5" t="str">
        <f t="shared" si="1"/>
        <v>08 TallWoodEqs_225_CHBH041103111446, 0.01, 30000</v>
      </c>
      <c r="F24" t="s">
        <v>2751</v>
      </c>
      <c r="G24">
        <v>225</v>
      </c>
      <c r="H24" t="s">
        <v>2721</v>
      </c>
      <c r="I24" t="s">
        <v>2763</v>
      </c>
      <c r="J24">
        <v>0.01</v>
      </c>
      <c r="K24">
        <v>30000</v>
      </c>
      <c r="L24">
        <v>30000</v>
      </c>
      <c r="M24">
        <f t="shared" si="2"/>
        <v>300</v>
      </c>
    </row>
    <row r="25" spans="1:13">
      <c r="A25" t="str">
        <f t="shared" si="0"/>
        <v>09_Niigata_225</v>
      </c>
      <c r="B25" s="1" t="s">
        <v>790</v>
      </c>
      <c r="C25" s="5" t="s">
        <v>2744</v>
      </c>
      <c r="D25" s="5" t="str">
        <f t="shared" si="1"/>
        <v>09 TallWoodEqs_225_4213, 0.01, 16588</v>
      </c>
      <c r="F25" t="s">
        <v>2752</v>
      </c>
      <c r="G25">
        <v>225</v>
      </c>
      <c r="H25">
        <v>4213</v>
      </c>
      <c r="I25" t="s">
        <v>2764</v>
      </c>
      <c r="J25">
        <v>0.01</v>
      </c>
      <c r="K25">
        <v>16588</v>
      </c>
      <c r="L25">
        <v>16588</v>
      </c>
      <c r="M25">
        <f t="shared" si="2"/>
        <v>165.88</v>
      </c>
    </row>
    <row r="26" spans="1:13">
      <c r="A26" t="str">
        <f t="shared" si="0"/>
        <v>10_Tocachi_225</v>
      </c>
      <c r="B26" s="1" t="s">
        <v>790</v>
      </c>
      <c r="C26" s="5" t="s">
        <v>2744</v>
      </c>
      <c r="D26" s="5" t="str">
        <f t="shared" si="1"/>
        <v>10 TallWoodEqs_225_HKD1310309260450, 0.01, 14400</v>
      </c>
      <c r="F26" t="s">
        <v>2724</v>
      </c>
      <c r="G26">
        <v>225</v>
      </c>
      <c r="H26" t="s">
        <v>2722</v>
      </c>
      <c r="I26" t="s">
        <v>2765</v>
      </c>
      <c r="J26">
        <v>0.01</v>
      </c>
      <c r="K26">
        <v>14400</v>
      </c>
      <c r="L26">
        <v>14400</v>
      </c>
      <c r="M26">
        <f t="shared" si="2"/>
        <v>144</v>
      </c>
    </row>
    <row r="27" spans="1:13">
      <c r="A27" t="str">
        <f t="shared" si="0"/>
        <v>11_ChiChiA_475</v>
      </c>
      <c r="B27" s="1" t="s">
        <v>790</v>
      </c>
      <c r="C27" s="5" t="s">
        <v>2744</v>
      </c>
      <c r="D27" s="5" t="str">
        <f t="shared" si="1"/>
        <v>11 TallWoodEqs_475_3471, 0.005, 15197</v>
      </c>
      <c r="F27" t="s">
        <v>2725</v>
      </c>
      <c r="G27">
        <v>475</v>
      </c>
      <c r="H27">
        <v>3471</v>
      </c>
      <c r="I27" t="s">
        <v>2759</v>
      </c>
      <c r="J27">
        <v>5.0000000000000001E-3</v>
      </c>
      <c r="K27">
        <v>15197</v>
      </c>
      <c r="L27">
        <v>15197</v>
      </c>
      <c r="M27">
        <f t="shared" si="2"/>
        <v>75.984999999999999</v>
      </c>
    </row>
    <row r="28" spans="1:13">
      <c r="A28" t="str">
        <f t="shared" si="0"/>
        <v>12_ChiChiB_475</v>
      </c>
      <c r="B28" s="1" t="s">
        <v>790</v>
      </c>
      <c r="C28" s="5" t="s">
        <v>2744</v>
      </c>
      <c r="D28" s="5" t="str">
        <f t="shared" si="1"/>
        <v>12 TallWoodEqs_475_2951, 0.005, 17999</v>
      </c>
      <c r="F28" t="s">
        <v>2726</v>
      </c>
      <c r="G28">
        <v>475</v>
      </c>
      <c r="H28">
        <v>2951</v>
      </c>
      <c r="I28" t="s">
        <v>2767</v>
      </c>
      <c r="J28">
        <v>5.0000000000000001E-3</v>
      </c>
      <c r="K28">
        <v>17999</v>
      </c>
      <c r="L28">
        <v>17999</v>
      </c>
      <c r="M28">
        <f t="shared" si="2"/>
        <v>89.995000000000005</v>
      </c>
    </row>
    <row r="29" spans="1:13">
      <c r="A29" t="str">
        <f t="shared" si="0"/>
        <v>13_Ferndale_475</v>
      </c>
      <c r="B29" s="1" t="s">
        <v>790</v>
      </c>
      <c r="C29" s="5" t="s">
        <v>2744</v>
      </c>
      <c r="D29" s="5" t="str">
        <f t="shared" si="1"/>
        <v>13 TallWoodEqs_475_subRSN2000905, 0.005, 16187</v>
      </c>
      <c r="F29" t="s">
        <v>2727</v>
      </c>
      <c r="G29">
        <v>475</v>
      </c>
      <c r="H29" t="s">
        <v>2720</v>
      </c>
      <c r="I29" t="s">
        <v>2766</v>
      </c>
      <c r="J29">
        <v>5.0000000000000001E-3</v>
      </c>
      <c r="K29">
        <v>16187</v>
      </c>
      <c r="L29">
        <v>16187</v>
      </c>
      <c r="M29">
        <f t="shared" si="2"/>
        <v>80.935000000000002</v>
      </c>
    </row>
    <row r="30" spans="1:13">
      <c r="A30" t="str">
        <f t="shared" si="0"/>
        <v>14_Niigata_475</v>
      </c>
      <c r="B30" s="1" t="s">
        <v>790</v>
      </c>
      <c r="C30" s="5" t="s">
        <v>2744</v>
      </c>
      <c r="D30" s="5" t="str">
        <f t="shared" si="1"/>
        <v>14 TallWoodEqs_475_4213, 0.01, 16588</v>
      </c>
      <c r="F30" t="s">
        <v>2728</v>
      </c>
      <c r="G30">
        <v>475</v>
      </c>
      <c r="H30">
        <v>4213</v>
      </c>
      <c r="I30" t="s">
        <v>2764</v>
      </c>
      <c r="J30">
        <v>0.01</v>
      </c>
      <c r="K30">
        <v>16588</v>
      </c>
      <c r="L30">
        <v>16588</v>
      </c>
      <c r="M30">
        <f t="shared" si="2"/>
        <v>165.88</v>
      </c>
    </row>
    <row r="31" spans="1:13">
      <c r="A31" t="str">
        <f t="shared" si="0"/>
        <v>15_Tokachi_475</v>
      </c>
      <c r="B31" s="1" t="s">
        <v>790</v>
      </c>
      <c r="C31" s="5" t="s">
        <v>2744</v>
      </c>
      <c r="D31" s="5" t="str">
        <f t="shared" si="1"/>
        <v>15 TallWoodEqs_475_HKD1310309260450, 0.01, 14400</v>
      </c>
      <c r="F31" t="s">
        <v>2729</v>
      </c>
      <c r="G31">
        <v>475</v>
      </c>
      <c r="H31" t="s">
        <v>2722</v>
      </c>
      <c r="I31" t="s">
        <v>2769</v>
      </c>
      <c r="J31">
        <v>0.01</v>
      </c>
      <c r="K31">
        <v>14400</v>
      </c>
      <c r="L31">
        <v>14400</v>
      </c>
      <c r="M31">
        <f t="shared" si="2"/>
        <v>144</v>
      </c>
    </row>
    <row r="32" spans="1:13">
      <c r="A32" t="str">
        <f t="shared" si="0"/>
        <v>16_Victoria_975</v>
      </c>
      <c r="B32" s="1" t="s">
        <v>19</v>
      </c>
      <c r="C32" s="5" t="s">
        <v>2744</v>
      </c>
      <c r="D32" s="5" t="str">
        <f t="shared" si="1"/>
        <v>16 TallWoodEqs_975_268, 0.01, 5000</v>
      </c>
      <c r="F32" t="s">
        <v>2730</v>
      </c>
      <c r="G32">
        <v>975</v>
      </c>
      <c r="H32">
        <v>268</v>
      </c>
      <c r="I32" t="s">
        <v>2770</v>
      </c>
      <c r="J32">
        <v>0.01</v>
      </c>
      <c r="K32">
        <v>1566</v>
      </c>
      <c r="L32">
        <v>5000</v>
      </c>
      <c r="M32">
        <f t="shared" si="2"/>
        <v>50</v>
      </c>
    </row>
    <row r="33" spans="1:17">
      <c r="A33" t="str">
        <f t="shared" si="0"/>
        <v>19_Northridge_975</v>
      </c>
      <c r="B33" s="1" t="s">
        <v>790</v>
      </c>
      <c r="C33" s="5" t="s">
        <v>2744</v>
      </c>
      <c r="D33" s="5" t="str">
        <f t="shared" si="1"/>
        <v>19 TallWoodEqs_975_964, 0.01, 5000</v>
      </c>
      <c r="F33" t="s">
        <v>2731</v>
      </c>
      <c r="G33">
        <v>975</v>
      </c>
      <c r="H33">
        <v>964</v>
      </c>
      <c r="I33" t="s">
        <v>2743</v>
      </c>
      <c r="J33">
        <v>0.01</v>
      </c>
      <c r="K33">
        <v>3979</v>
      </c>
      <c r="L33">
        <v>5000</v>
      </c>
      <c r="M33">
        <f t="shared" si="2"/>
        <v>50</v>
      </c>
    </row>
    <row r="34" spans="1:17">
      <c r="A34" t="str">
        <f t="shared" si="0"/>
        <v>20_Tohoku_975</v>
      </c>
      <c r="B34" s="1" t="s">
        <v>790</v>
      </c>
      <c r="C34" s="5" t="s">
        <v>2744</v>
      </c>
      <c r="D34" s="5" t="str">
        <f t="shared" si="1"/>
        <v>20 TallWoodEqs_975_CHBH041103111446, 0.01, 30000</v>
      </c>
      <c r="F34" t="s">
        <v>2732</v>
      </c>
      <c r="G34">
        <v>975</v>
      </c>
      <c r="H34" t="s">
        <v>2721</v>
      </c>
      <c r="I34" t="s">
        <v>2763</v>
      </c>
      <c r="J34">
        <v>0.01</v>
      </c>
      <c r="K34">
        <v>30000</v>
      </c>
      <c r="L34">
        <v>30000</v>
      </c>
      <c r="M34">
        <f t="shared" si="2"/>
        <v>300</v>
      </c>
    </row>
    <row r="35" spans="1:17">
      <c r="A35" t="str">
        <f t="shared" si="0"/>
        <v>21_Tokachi_975</v>
      </c>
      <c r="B35" s="1" t="s">
        <v>790</v>
      </c>
      <c r="C35" s="5" t="s">
        <v>2744</v>
      </c>
      <c r="D35" s="5" t="str">
        <f t="shared" si="1"/>
        <v>21 TallWoodEqs_975_HKD1270309260450, 0.01, 20500</v>
      </c>
      <c r="F35" t="s">
        <v>2733</v>
      </c>
      <c r="G35">
        <v>975</v>
      </c>
      <c r="H35" t="s">
        <v>2723</v>
      </c>
      <c r="I35" t="s">
        <v>2769</v>
      </c>
      <c r="J35">
        <v>0.01</v>
      </c>
      <c r="K35">
        <v>20500</v>
      </c>
      <c r="L35">
        <v>20500</v>
      </c>
      <c r="M35">
        <f t="shared" si="2"/>
        <v>205</v>
      </c>
    </row>
    <row r="36" spans="1:17">
      <c r="A36" t="str">
        <f t="shared" si="0"/>
        <v>22_Tohoku_MCE</v>
      </c>
      <c r="B36" s="1" t="s">
        <v>790</v>
      </c>
      <c r="C36" s="5" t="s">
        <v>2744</v>
      </c>
      <c r="D36" s="5" t="str">
        <f t="shared" si="1"/>
        <v>22 TallWoodEqs_MCE_CHBH041103111446, 0.01, 30000</v>
      </c>
      <c r="F36" t="s">
        <v>2734</v>
      </c>
      <c r="G36" t="s">
        <v>2739</v>
      </c>
      <c r="H36" t="s">
        <v>2721</v>
      </c>
      <c r="I36" t="s">
        <v>2763</v>
      </c>
      <c r="J36">
        <v>0.01</v>
      </c>
      <c r="K36">
        <v>30000</v>
      </c>
      <c r="L36">
        <v>30000</v>
      </c>
      <c r="M36">
        <f t="shared" si="2"/>
        <v>300</v>
      </c>
      <c r="N36">
        <v>2.7</v>
      </c>
      <c r="O36" s="20">
        <v>4.6527777777777779E-2</v>
      </c>
      <c r="P36" s="10">
        <f>L36/(HOUR(O36)*60+MINUTE(O36))</f>
        <v>447.76119402985074</v>
      </c>
      <c r="Q36">
        <f>N36*10000/L36</f>
        <v>0.9</v>
      </c>
    </row>
    <row r="37" spans="1:17">
      <c r="A37" t="str">
        <f t="shared" si="0"/>
        <v>23_Niigata_MCE</v>
      </c>
      <c r="B37" s="1" t="s">
        <v>790</v>
      </c>
      <c r="C37" s="5" t="s">
        <v>2744</v>
      </c>
      <c r="D37" s="5" t="str">
        <f t="shared" si="1"/>
        <v>23 TallWoodEqs_MCE_4228, 0.005, 36000</v>
      </c>
      <c r="F37" t="s">
        <v>2735</v>
      </c>
      <c r="G37" t="s">
        <v>2739</v>
      </c>
      <c r="H37">
        <v>4228</v>
      </c>
      <c r="I37" t="s">
        <v>2764</v>
      </c>
      <c r="J37">
        <v>5.0000000000000001E-3</v>
      </c>
      <c r="K37">
        <v>36000</v>
      </c>
      <c r="L37">
        <v>36000</v>
      </c>
      <c r="M37">
        <f t="shared" si="2"/>
        <v>180</v>
      </c>
      <c r="N37">
        <v>3.2</v>
      </c>
      <c r="O37" s="21">
        <v>5.8333333333333327E-2</v>
      </c>
      <c r="P37" s="10">
        <f t="shared" ref="P37:P39" si="3">L37/(HOUR(O37)*60+MINUTE(O37))</f>
        <v>428.57142857142856</v>
      </c>
      <c r="Q37">
        <f t="shared" ref="Q37:Q39" si="4">N37*10000/L37</f>
        <v>0.88888888888888884</v>
      </c>
    </row>
    <row r="38" spans="1:17">
      <c r="A38" t="str">
        <f t="shared" si="0"/>
        <v>24_LomaPrieta_MCE</v>
      </c>
      <c r="B38" s="1" t="s">
        <v>790</v>
      </c>
      <c r="C38" s="5" t="s">
        <v>2744</v>
      </c>
      <c r="D38" s="5" t="str">
        <f t="shared" si="1"/>
        <v>24 TallWoodEqs_MCE_761, 0.005, 10000</v>
      </c>
      <c r="F38" t="s">
        <v>2736</v>
      </c>
      <c r="G38" t="s">
        <v>2739</v>
      </c>
      <c r="H38">
        <v>761</v>
      </c>
      <c r="I38" t="s">
        <v>2771</v>
      </c>
      <c r="J38">
        <v>5.0000000000000001E-3</v>
      </c>
      <c r="K38">
        <v>7957</v>
      </c>
      <c r="L38">
        <v>10000</v>
      </c>
      <c r="M38">
        <f t="shared" si="2"/>
        <v>50</v>
      </c>
      <c r="N38">
        <v>0.69330000000000003</v>
      </c>
      <c r="O38" s="21">
        <v>2.361111111111111E-2</v>
      </c>
      <c r="P38" s="10">
        <f t="shared" si="3"/>
        <v>294.11764705882354</v>
      </c>
      <c r="Q38">
        <f t="shared" si="4"/>
        <v>0.69330000000000003</v>
      </c>
    </row>
    <row r="39" spans="1:17">
      <c r="A39" t="str">
        <f t="shared" si="0"/>
        <v>25_Ferndale_MCE</v>
      </c>
      <c r="B39" s="1" t="s">
        <v>790</v>
      </c>
      <c r="C39" s="5" t="s">
        <v>2744</v>
      </c>
      <c r="D39" s="5" t="str">
        <f t="shared" si="1"/>
        <v>25 TallWoodEqs_MCE_subRSN2000890, 0.005, 11942</v>
      </c>
      <c r="F39" t="s">
        <v>2737</v>
      </c>
      <c r="G39" t="s">
        <v>2739</v>
      </c>
      <c r="H39" t="s">
        <v>2718</v>
      </c>
      <c r="I39" t="s">
        <v>2766</v>
      </c>
      <c r="J39">
        <v>5.0000000000000001E-3</v>
      </c>
      <c r="K39">
        <v>11942</v>
      </c>
      <c r="L39">
        <v>11942</v>
      </c>
      <c r="M39">
        <f t="shared" si="2"/>
        <v>59.71</v>
      </c>
      <c r="N39">
        <v>1.1000000000000001</v>
      </c>
      <c r="O39" s="21">
        <v>2.8472222222222222E-2</v>
      </c>
      <c r="P39" s="10">
        <f t="shared" si="3"/>
        <v>291.26829268292681</v>
      </c>
      <c r="Q39">
        <f t="shared" si="4"/>
        <v>0.92111874057946741</v>
      </c>
    </row>
    <row r="40" spans="1:17">
      <c r="A40" t="str">
        <f t="shared" si="0"/>
        <v>26_Tokachi_MCE</v>
      </c>
      <c r="B40" s="1" t="s">
        <v>790</v>
      </c>
      <c r="C40" s="5" t="s">
        <v>2744</v>
      </c>
      <c r="D40" s="5" t="str">
        <f t="shared" si="1"/>
        <v>26 TallWoodEqs_MCE_HKD1270309260450, 0.01, 20500</v>
      </c>
      <c r="F40" t="s">
        <v>2738</v>
      </c>
      <c r="G40" t="s">
        <v>2739</v>
      </c>
      <c r="H40" t="s">
        <v>2723</v>
      </c>
      <c r="I40" t="s">
        <v>2769</v>
      </c>
      <c r="J40">
        <v>0.01</v>
      </c>
      <c r="K40">
        <v>20500</v>
      </c>
      <c r="L40">
        <v>20500</v>
      </c>
      <c r="M40">
        <f t="shared" si="2"/>
        <v>205</v>
      </c>
    </row>
    <row r="41" spans="1:17">
      <c r="A41" t="str">
        <f t="shared" si="0"/>
        <v>27_Northridge_MCE</v>
      </c>
      <c r="B41" s="1" t="s">
        <v>790</v>
      </c>
      <c r="C41" s="5" t="s">
        <v>2744</v>
      </c>
      <c r="D41" s="5" t="str">
        <f t="shared" si="1"/>
        <v>27 TallWoodEqs_MCE_Northridge, 0.01, 5000</v>
      </c>
      <c r="F41" t="s">
        <v>2740</v>
      </c>
      <c r="G41" t="s">
        <v>2739</v>
      </c>
      <c r="H41" t="s">
        <v>2743</v>
      </c>
      <c r="I41" t="s">
        <v>2743</v>
      </c>
      <c r="J41">
        <v>0.01</v>
      </c>
      <c r="K41">
        <v>2499</v>
      </c>
      <c r="L41">
        <v>5000</v>
      </c>
      <c r="M41">
        <f t="shared" si="2"/>
        <v>50</v>
      </c>
    </row>
    <row r="42" spans="1:17">
      <c r="A42" t="str">
        <f t="shared" si="0"/>
        <v>28_SuperstitionHills_MCE</v>
      </c>
      <c r="B42" s="1" t="s">
        <v>790</v>
      </c>
      <c r="C42" s="5" t="s">
        <v>2744</v>
      </c>
      <c r="D42" s="5" t="str">
        <f t="shared" si="1"/>
        <v>28 TallWoodEqs_MCE_SuperstitionHills, 0.01, 5000</v>
      </c>
      <c r="F42" t="s">
        <v>2741</v>
      </c>
      <c r="G42" t="s">
        <v>2739</v>
      </c>
      <c r="H42" t="s">
        <v>2742</v>
      </c>
      <c r="I42" t="s">
        <v>2742</v>
      </c>
      <c r="J42">
        <v>0.01</v>
      </c>
      <c r="K42">
        <v>2230</v>
      </c>
      <c r="L42">
        <v>5000</v>
      </c>
      <c r="M42">
        <f t="shared" si="2"/>
        <v>50</v>
      </c>
      <c r="N42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11" workbookViewId="0">
      <selection activeCell="D224" sqref="D224"/>
    </sheetView>
  </sheetViews>
  <sheetFormatPr defaultColWidth="0" defaultRowHeight="14.4"/>
  <cols>
    <col min="1" max="1" width="14.88671875" customWidth="1"/>
    <col min="2" max="2" width="9.109375" customWidth="1"/>
    <col min="3" max="3" width="9.109375" style="1" customWidth="1"/>
    <col min="4" max="4" width="33.6640625" customWidth="1"/>
    <col min="5" max="16384" width="9.109375" hidden="1"/>
  </cols>
  <sheetData>
    <row r="1" spans="1:4">
      <c r="A1" t="s">
        <v>41</v>
      </c>
      <c r="B1" t="s">
        <v>44</v>
      </c>
      <c r="C1" s="5" t="s">
        <v>42</v>
      </c>
      <c r="D1" t="s">
        <v>43</v>
      </c>
    </row>
    <row r="2" spans="1:4">
      <c r="A2" t="s">
        <v>408</v>
      </c>
      <c r="B2">
        <v>10</v>
      </c>
      <c r="C2" s="1" t="s">
        <v>18</v>
      </c>
      <c r="D2" t="s">
        <v>870</v>
      </c>
    </row>
    <row r="3" spans="1:4">
      <c r="A3" t="s">
        <v>385</v>
      </c>
      <c r="B3">
        <v>9</v>
      </c>
      <c r="C3" s="1" t="s">
        <v>18</v>
      </c>
      <c r="D3" t="s">
        <v>870</v>
      </c>
    </row>
    <row r="4" spans="1:4">
      <c r="A4" t="s">
        <v>362</v>
      </c>
      <c r="B4">
        <v>8</v>
      </c>
      <c r="C4" s="1" t="s">
        <v>18</v>
      </c>
      <c r="D4" t="s">
        <v>870</v>
      </c>
    </row>
    <row r="5" spans="1:4">
      <c r="A5" t="s">
        <v>339</v>
      </c>
      <c r="B5">
        <v>7</v>
      </c>
      <c r="C5" s="1" t="s">
        <v>18</v>
      </c>
      <c r="D5" t="s">
        <v>870</v>
      </c>
    </row>
    <row r="6" spans="1:4">
      <c r="A6" t="s">
        <v>316</v>
      </c>
      <c r="B6">
        <v>6</v>
      </c>
      <c r="C6" s="1" t="s">
        <v>18</v>
      </c>
      <c r="D6" t="s">
        <v>870</v>
      </c>
    </row>
    <row r="7" spans="1:4">
      <c r="A7" t="s">
        <v>293</v>
      </c>
      <c r="B7">
        <v>5</v>
      </c>
      <c r="C7" s="1" t="s">
        <v>18</v>
      </c>
      <c r="D7" t="s">
        <v>870</v>
      </c>
    </row>
    <row r="8" spans="1:4">
      <c r="A8" t="s">
        <v>270</v>
      </c>
      <c r="B8">
        <v>4</v>
      </c>
      <c r="C8" s="1" t="s">
        <v>18</v>
      </c>
      <c r="D8" t="s">
        <v>870</v>
      </c>
    </row>
    <row r="9" spans="1:4">
      <c r="A9" t="s">
        <v>247</v>
      </c>
      <c r="B9">
        <v>3</v>
      </c>
      <c r="C9" s="1" t="s">
        <v>18</v>
      </c>
      <c r="D9" t="s">
        <v>870</v>
      </c>
    </row>
    <row r="10" spans="1:4">
      <c r="A10" t="s">
        <v>224</v>
      </c>
      <c r="B10">
        <v>2</v>
      </c>
      <c r="C10" s="1" t="s">
        <v>18</v>
      </c>
      <c r="D10" t="s">
        <v>870</v>
      </c>
    </row>
    <row r="11" spans="1:4">
      <c r="A11" t="s">
        <v>201</v>
      </c>
      <c r="B11">
        <v>1</v>
      </c>
      <c r="C11" s="1" t="s">
        <v>18</v>
      </c>
      <c r="D11" t="s">
        <v>870</v>
      </c>
    </row>
    <row r="12" spans="1:4">
      <c r="A12" t="s">
        <v>408</v>
      </c>
      <c r="B12">
        <v>-10</v>
      </c>
      <c r="C12" s="1" t="s">
        <v>19</v>
      </c>
      <c r="D12" t="s">
        <v>869</v>
      </c>
    </row>
    <row r="13" spans="1:4">
      <c r="A13" t="s">
        <v>385</v>
      </c>
      <c r="B13">
        <v>-9</v>
      </c>
      <c r="C13" s="1" t="s">
        <v>19</v>
      </c>
      <c r="D13" t="s">
        <v>869</v>
      </c>
    </row>
    <row r="14" spans="1:4">
      <c r="A14" t="s">
        <v>362</v>
      </c>
      <c r="B14">
        <v>-8</v>
      </c>
      <c r="C14" s="1" t="s">
        <v>19</v>
      </c>
      <c r="D14" t="s">
        <v>869</v>
      </c>
    </row>
    <row r="15" spans="1:4">
      <c r="A15" t="s">
        <v>339</v>
      </c>
      <c r="B15">
        <v>-7</v>
      </c>
      <c r="C15" s="1" t="s">
        <v>19</v>
      </c>
      <c r="D15" t="s">
        <v>869</v>
      </c>
    </row>
    <row r="16" spans="1:4">
      <c r="A16" t="s">
        <v>316</v>
      </c>
      <c r="B16">
        <v>-6</v>
      </c>
      <c r="C16" s="1" t="s">
        <v>19</v>
      </c>
      <c r="D16" t="s">
        <v>869</v>
      </c>
    </row>
    <row r="17" spans="1:4">
      <c r="A17" t="s">
        <v>293</v>
      </c>
      <c r="B17">
        <v>-5</v>
      </c>
      <c r="C17" s="1" t="s">
        <v>19</v>
      </c>
      <c r="D17" t="s">
        <v>869</v>
      </c>
    </row>
    <row r="18" spans="1:4">
      <c r="A18" t="s">
        <v>270</v>
      </c>
      <c r="B18">
        <v>-4</v>
      </c>
      <c r="C18" s="1" t="s">
        <v>19</v>
      </c>
      <c r="D18" t="s">
        <v>869</v>
      </c>
    </row>
    <row r="19" spans="1:4">
      <c r="A19" t="s">
        <v>247</v>
      </c>
      <c r="B19">
        <v>-3</v>
      </c>
      <c r="C19" s="1" t="s">
        <v>19</v>
      </c>
      <c r="D19" t="s">
        <v>869</v>
      </c>
    </row>
    <row r="20" spans="1:4">
      <c r="A20" t="s">
        <v>224</v>
      </c>
      <c r="B20">
        <v>-2</v>
      </c>
      <c r="C20" s="1" t="s">
        <v>19</v>
      </c>
      <c r="D20" t="s">
        <v>869</v>
      </c>
    </row>
    <row r="21" spans="1:4">
      <c r="A21" t="s">
        <v>201</v>
      </c>
      <c r="B21">
        <v>-1</v>
      </c>
      <c r="C21" s="1" t="s">
        <v>19</v>
      </c>
      <c r="D21" t="s">
        <v>869</v>
      </c>
    </row>
    <row r="22" spans="1:4">
      <c r="A22" t="s">
        <v>408</v>
      </c>
      <c r="B22">
        <v>10</v>
      </c>
      <c r="C22" s="1" t="s">
        <v>18</v>
      </c>
      <c r="D22" t="s">
        <v>868</v>
      </c>
    </row>
    <row r="23" spans="1:4">
      <c r="A23" t="s">
        <v>385</v>
      </c>
      <c r="B23">
        <v>9</v>
      </c>
      <c r="C23" s="1" t="s">
        <v>18</v>
      </c>
      <c r="D23" t="s">
        <v>868</v>
      </c>
    </row>
    <row r="24" spans="1:4">
      <c r="A24" t="s">
        <v>362</v>
      </c>
      <c r="B24">
        <v>8</v>
      </c>
      <c r="C24" s="1" t="s">
        <v>18</v>
      </c>
      <c r="D24" t="s">
        <v>868</v>
      </c>
    </row>
    <row r="25" spans="1:4">
      <c r="A25" t="s">
        <v>339</v>
      </c>
      <c r="B25">
        <v>7</v>
      </c>
      <c r="C25" s="1" t="s">
        <v>18</v>
      </c>
      <c r="D25" t="s">
        <v>868</v>
      </c>
    </row>
    <row r="26" spans="1:4">
      <c r="A26" t="s">
        <v>316</v>
      </c>
      <c r="B26">
        <v>6</v>
      </c>
      <c r="C26" s="1" t="s">
        <v>18</v>
      </c>
      <c r="D26" t="s">
        <v>868</v>
      </c>
    </row>
    <row r="27" spans="1:4">
      <c r="A27" t="s">
        <v>293</v>
      </c>
      <c r="B27">
        <v>5</v>
      </c>
      <c r="C27" s="1" t="s">
        <v>18</v>
      </c>
      <c r="D27" t="s">
        <v>868</v>
      </c>
    </row>
    <row r="28" spans="1:4">
      <c r="A28" t="s">
        <v>270</v>
      </c>
      <c r="B28">
        <v>4</v>
      </c>
      <c r="C28" s="1" t="s">
        <v>18</v>
      </c>
      <c r="D28" t="s">
        <v>868</v>
      </c>
    </row>
    <row r="29" spans="1:4">
      <c r="A29" t="s">
        <v>247</v>
      </c>
      <c r="B29">
        <v>3</v>
      </c>
      <c r="C29" s="1" t="s">
        <v>18</v>
      </c>
      <c r="D29" t="s">
        <v>868</v>
      </c>
    </row>
    <row r="30" spans="1:4">
      <c r="A30" t="s">
        <v>224</v>
      </c>
      <c r="B30">
        <v>2</v>
      </c>
      <c r="C30" s="1" t="s">
        <v>18</v>
      </c>
      <c r="D30" t="s">
        <v>868</v>
      </c>
    </row>
    <row r="31" spans="1:4">
      <c r="A31" t="s">
        <v>201</v>
      </c>
      <c r="B31">
        <v>1</v>
      </c>
      <c r="C31" s="1" t="s">
        <v>18</v>
      </c>
      <c r="D31" t="s">
        <v>868</v>
      </c>
    </row>
    <row r="32" spans="1:4">
      <c r="A32" t="s">
        <v>201</v>
      </c>
      <c r="B32">
        <v>71.7</v>
      </c>
      <c r="C32" s="1" t="s">
        <v>18</v>
      </c>
      <c r="D32" t="s">
        <v>875</v>
      </c>
    </row>
    <row r="33" spans="1:4">
      <c r="A33" t="s">
        <v>224</v>
      </c>
      <c r="B33">
        <v>67.599999999999994</v>
      </c>
      <c r="C33" s="1" t="s">
        <v>18</v>
      </c>
      <c r="D33" t="s">
        <v>875</v>
      </c>
    </row>
    <row r="34" spans="1:4">
      <c r="A34" t="s">
        <v>247</v>
      </c>
      <c r="B34">
        <v>58.8</v>
      </c>
      <c r="C34" s="1" t="s">
        <v>18</v>
      </c>
      <c r="D34" t="s">
        <v>875</v>
      </c>
    </row>
    <row r="35" spans="1:4">
      <c r="A35" t="s">
        <v>270</v>
      </c>
      <c r="B35">
        <v>56.099999999999994</v>
      </c>
      <c r="C35" s="1" t="s">
        <v>18</v>
      </c>
      <c r="D35" t="s">
        <v>875</v>
      </c>
    </row>
    <row r="36" spans="1:4">
      <c r="A36" t="s">
        <v>293</v>
      </c>
      <c r="B36">
        <v>61.499999999999993</v>
      </c>
      <c r="C36" s="1" t="s">
        <v>18</v>
      </c>
      <c r="D36" t="s">
        <v>875</v>
      </c>
    </row>
    <row r="37" spans="1:4">
      <c r="A37" t="s">
        <v>316</v>
      </c>
      <c r="B37">
        <v>55.6</v>
      </c>
      <c r="C37" s="1" t="s">
        <v>18</v>
      </c>
      <c r="D37" t="s">
        <v>875</v>
      </c>
    </row>
    <row r="38" spans="1:4">
      <c r="A38" t="s">
        <v>339</v>
      </c>
      <c r="B38">
        <v>59.2</v>
      </c>
      <c r="C38" s="1" t="s">
        <v>18</v>
      </c>
      <c r="D38" t="s">
        <v>875</v>
      </c>
    </row>
    <row r="39" spans="1:4">
      <c r="A39" t="s">
        <v>362</v>
      </c>
      <c r="B39">
        <v>57.70000000000001</v>
      </c>
      <c r="C39" s="1" t="s">
        <v>18</v>
      </c>
      <c r="D39" t="s">
        <v>875</v>
      </c>
    </row>
    <row r="40" spans="1:4">
      <c r="A40" t="s">
        <v>385</v>
      </c>
      <c r="B40">
        <v>55.5</v>
      </c>
      <c r="C40" s="1" t="s">
        <v>18</v>
      </c>
      <c r="D40" t="s">
        <v>875</v>
      </c>
    </row>
    <row r="41" spans="1:4">
      <c r="A41" t="s">
        <v>408</v>
      </c>
      <c r="B41">
        <v>44.3</v>
      </c>
      <c r="C41" s="1" t="s">
        <v>18</v>
      </c>
      <c r="D41" t="s">
        <v>875</v>
      </c>
    </row>
    <row r="42" spans="1:4">
      <c r="A42" t="s">
        <v>209</v>
      </c>
      <c r="B42">
        <v>1</v>
      </c>
      <c r="C42" s="1" t="s">
        <v>19</v>
      </c>
      <c r="D42" t="s">
        <v>1468</v>
      </c>
    </row>
    <row r="43" spans="1:4">
      <c r="A43" t="s">
        <v>232</v>
      </c>
      <c r="B43">
        <v>2</v>
      </c>
      <c r="C43" s="1" t="s">
        <v>19</v>
      </c>
      <c r="D43" t="s">
        <v>1468</v>
      </c>
    </row>
    <row r="44" spans="1:4">
      <c r="A44" t="s">
        <v>255</v>
      </c>
      <c r="B44">
        <v>3</v>
      </c>
      <c r="C44" s="1" t="s">
        <v>19</v>
      </c>
      <c r="D44" t="s">
        <v>1468</v>
      </c>
    </row>
    <row r="45" spans="1:4">
      <c r="A45" t="s">
        <v>278</v>
      </c>
      <c r="B45">
        <v>4</v>
      </c>
      <c r="C45" s="1" t="s">
        <v>19</v>
      </c>
      <c r="D45" t="s">
        <v>1468</v>
      </c>
    </row>
    <row r="46" spans="1:4">
      <c r="A46" t="s">
        <v>301</v>
      </c>
      <c r="B46">
        <v>5</v>
      </c>
      <c r="C46" s="1" t="s">
        <v>19</v>
      </c>
      <c r="D46" t="s">
        <v>1468</v>
      </c>
    </row>
    <row r="47" spans="1:4">
      <c r="A47" t="s">
        <v>324</v>
      </c>
      <c r="B47">
        <v>6</v>
      </c>
      <c r="C47" s="1" t="s">
        <v>19</v>
      </c>
      <c r="D47" t="s">
        <v>1468</v>
      </c>
    </row>
    <row r="48" spans="1:4">
      <c r="A48" t="s">
        <v>347</v>
      </c>
      <c r="B48">
        <v>7</v>
      </c>
      <c r="C48" s="1" t="s">
        <v>19</v>
      </c>
      <c r="D48" t="s">
        <v>1468</v>
      </c>
    </row>
    <row r="49" spans="1:4">
      <c r="A49" t="s">
        <v>370</v>
      </c>
      <c r="B49">
        <v>8</v>
      </c>
      <c r="C49" s="1" t="s">
        <v>19</v>
      </c>
      <c r="D49" t="s">
        <v>1468</v>
      </c>
    </row>
    <row r="50" spans="1:4">
      <c r="A50" t="s">
        <v>393</v>
      </c>
      <c r="B50">
        <v>9</v>
      </c>
      <c r="C50" s="1" t="s">
        <v>19</v>
      </c>
      <c r="D50" t="s">
        <v>1468</v>
      </c>
    </row>
    <row r="51" spans="1:4">
      <c r="A51" t="s">
        <v>416</v>
      </c>
      <c r="B51">
        <v>10</v>
      </c>
      <c r="C51" s="1" t="s">
        <v>19</v>
      </c>
      <c r="D51" t="s">
        <v>1468</v>
      </c>
    </row>
    <row r="52" spans="1:4">
      <c r="A52" t="s">
        <v>210</v>
      </c>
      <c r="B52">
        <v>1</v>
      </c>
      <c r="C52" s="1" t="s">
        <v>19</v>
      </c>
      <c r="D52" t="s">
        <v>1468</v>
      </c>
    </row>
    <row r="53" spans="1:4">
      <c r="A53" t="s">
        <v>233</v>
      </c>
      <c r="B53">
        <v>2</v>
      </c>
      <c r="C53" s="1" t="s">
        <v>19</v>
      </c>
      <c r="D53" t="s">
        <v>1468</v>
      </c>
    </row>
    <row r="54" spans="1:4">
      <c r="A54" t="s">
        <v>256</v>
      </c>
      <c r="B54">
        <v>3</v>
      </c>
      <c r="C54" s="1" t="s">
        <v>19</v>
      </c>
      <c r="D54" t="s">
        <v>1468</v>
      </c>
    </row>
    <row r="55" spans="1:4">
      <c r="A55" t="s">
        <v>279</v>
      </c>
      <c r="B55">
        <v>4</v>
      </c>
      <c r="C55" s="1" t="s">
        <v>19</v>
      </c>
      <c r="D55" t="s">
        <v>1468</v>
      </c>
    </row>
    <row r="56" spans="1:4">
      <c r="A56" t="s">
        <v>302</v>
      </c>
      <c r="B56">
        <v>5</v>
      </c>
      <c r="C56" s="1" t="s">
        <v>19</v>
      </c>
      <c r="D56" t="s">
        <v>1468</v>
      </c>
    </row>
    <row r="57" spans="1:4">
      <c r="A57" t="s">
        <v>325</v>
      </c>
      <c r="B57">
        <v>6</v>
      </c>
      <c r="C57" s="1" t="s">
        <v>19</v>
      </c>
      <c r="D57" t="s">
        <v>1468</v>
      </c>
    </row>
    <row r="58" spans="1:4">
      <c r="A58" t="s">
        <v>348</v>
      </c>
      <c r="B58">
        <v>7</v>
      </c>
      <c r="C58" s="1" t="s">
        <v>19</v>
      </c>
      <c r="D58" t="s">
        <v>1468</v>
      </c>
    </row>
    <row r="59" spans="1:4">
      <c r="A59" t="s">
        <v>371</v>
      </c>
      <c r="B59">
        <v>8</v>
      </c>
      <c r="C59" s="1" t="s">
        <v>19</v>
      </c>
      <c r="D59" t="s">
        <v>1468</v>
      </c>
    </row>
    <row r="60" spans="1:4">
      <c r="A60" t="s">
        <v>394</v>
      </c>
      <c r="B60">
        <v>9</v>
      </c>
      <c r="C60" s="1" t="s">
        <v>19</v>
      </c>
      <c r="D60" t="s">
        <v>1468</v>
      </c>
    </row>
    <row r="61" spans="1:4">
      <c r="A61" t="s">
        <v>417</v>
      </c>
      <c r="B61">
        <v>10</v>
      </c>
      <c r="C61" s="1" t="s">
        <v>19</v>
      </c>
      <c r="D61" t="s">
        <v>1468</v>
      </c>
    </row>
    <row r="62" spans="1:4">
      <c r="A62" t="s">
        <v>209</v>
      </c>
      <c r="B62">
        <v>-1</v>
      </c>
      <c r="C62" s="1" t="s">
        <v>19</v>
      </c>
      <c r="D62" t="s">
        <v>1526</v>
      </c>
    </row>
    <row r="63" spans="1:4">
      <c r="A63" t="s">
        <v>232</v>
      </c>
      <c r="B63">
        <v>-2</v>
      </c>
      <c r="C63" s="1" t="s">
        <v>19</v>
      </c>
      <c r="D63" t="s">
        <v>1526</v>
      </c>
    </row>
    <row r="64" spans="1:4">
      <c r="A64" t="s">
        <v>255</v>
      </c>
      <c r="B64">
        <v>-3</v>
      </c>
      <c r="C64" s="1" t="s">
        <v>19</v>
      </c>
      <c r="D64" t="s">
        <v>1526</v>
      </c>
    </row>
    <row r="65" spans="1:4">
      <c r="A65" t="s">
        <v>278</v>
      </c>
      <c r="B65">
        <v>-4</v>
      </c>
      <c r="C65" s="1" t="s">
        <v>19</v>
      </c>
      <c r="D65" t="s">
        <v>1526</v>
      </c>
    </row>
    <row r="66" spans="1:4">
      <c r="A66" t="s">
        <v>301</v>
      </c>
      <c r="B66">
        <v>-5</v>
      </c>
      <c r="C66" s="1" t="s">
        <v>19</v>
      </c>
      <c r="D66" t="s">
        <v>1526</v>
      </c>
    </row>
    <row r="67" spans="1:4">
      <c r="A67" t="s">
        <v>324</v>
      </c>
      <c r="B67">
        <v>-6</v>
      </c>
      <c r="C67" s="1" t="s">
        <v>19</v>
      </c>
      <c r="D67" t="s">
        <v>1526</v>
      </c>
    </row>
    <row r="68" spans="1:4">
      <c r="A68" t="s">
        <v>347</v>
      </c>
      <c r="B68">
        <v>-7</v>
      </c>
      <c r="C68" s="1" t="s">
        <v>19</v>
      </c>
      <c r="D68" t="s">
        <v>1526</v>
      </c>
    </row>
    <row r="69" spans="1:4">
      <c r="A69" t="s">
        <v>370</v>
      </c>
      <c r="B69">
        <v>-8</v>
      </c>
      <c r="C69" s="1" t="s">
        <v>19</v>
      </c>
      <c r="D69" t="s">
        <v>1526</v>
      </c>
    </row>
    <row r="70" spans="1:4">
      <c r="A70" t="s">
        <v>393</v>
      </c>
      <c r="B70">
        <v>-9</v>
      </c>
      <c r="C70" s="1" t="s">
        <v>19</v>
      </c>
      <c r="D70" t="s">
        <v>1526</v>
      </c>
    </row>
    <row r="71" spans="1:4">
      <c r="A71" t="s">
        <v>416</v>
      </c>
      <c r="B71">
        <v>-10</v>
      </c>
      <c r="C71" s="1" t="s">
        <v>19</v>
      </c>
      <c r="D71" t="s">
        <v>1526</v>
      </c>
    </row>
    <row r="72" spans="1:4">
      <c r="A72" t="s">
        <v>210</v>
      </c>
      <c r="B72">
        <v>-1</v>
      </c>
      <c r="C72" s="1" t="s">
        <v>19</v>
      </c>
      <c r="D72" t="s">
        <v>1526</v>
      </c>
    </row>
    <row r="73" spans="1:4">
      <c r="A73" t="s">
        <v>233</v>
      </c>
      <c r="B73">
        <v>-2</v>
      </c>
      <c r="C73" s="1" t="s">
        <v>19</v>
      </c>
      <c r="D73" t="s">
        <v>1526</v>
      </c>
    </row>
    <row r="74" spans="1:4">
      <c r="A74" t="s">
        <v>256</v>
      </c>
      <c r="B74">
        <v>-3</v>
      </c>
      <c r="C74" s="1" t="s">
        <v>19</v>
      </c>
      <c r="D74" t="s">
        <v>1526</v>
      </c>
    </row>
    <row r="75" spans="1:4">
      <c r="A75" t="s">
        <v>279</v>
      </c>
      <c r="B75">
        <v>-4</v>
      </c>
      <c r="C75" s="1" t="s">
        <v>19</v>
      </c>
      <c r="D75" t="s">
        <v>1526</v>
      </c>
    </row>
    <row r="76" spans="1:4">
      <c r="A76" t="s">
        <v>302</v>
      </c>
      <c r="B76">
        <v>-5</v>
      </c>
      <c r="C76" s="1" t="s">
        <v>19</v>
      </c>
      <c r="D76" t="s">
        <v>1526</v>
      </c>
    </row>
    <row r="77" spans="1:4">
      <c r="A77" t="s">
        <v>325</v>
      </c>
      <c r="B77">
        <v>-6</v>
      </c>
      <c r="C77" s="1" t="s">
        <v>19</v>
      </c>
      <c r="D77" t="s">
        <v>1526</v>
      </c>
    </row>
    <row r="78" spans="1:4">
      <c r="A78" t="s">
        <v>348</v>
      </c>
      <c r="B78">
        <v>-7</v>
      </c>
      <c r="C78" s="1" t="s">
        <v>19</v>
      </c>
      <c r="D78" t="s">
        <v>1526</v>
      </c>
    </row>
    <row r="79" spans="1:4">
      <c r="A79" t="s">
        <v>371</v>
      </c>
      <c r="B79">
        <v>-8</v>
      </c>
      <c r="C79" s="1" t="s">
        <v>19</v>
      </c>
      <c r="D79" t="s">
        <v>1526</v>
      </c>
    </row>
    <row r="80" spans="1:4">
      <c r="A80" t="s">
        <v>394</v>
      </c>
      <c r="B80">
        <v>-9</v>
      </c>
      <c r="C80" s="1" t="s">
        <v>19</v>
      </c>
      <c r="D80" t="s">
        <v>1526</v>
      </c>
    </row>
    <row r="81" spans="1:4">
      <c r="A81" t="s">
        <v>417</v>
      </c>
      <c r="B81">
        <v>-10</v>
      </c>
      <c r="C81" s="1" t="s">
        <v>19</v>
      </c>
      <c r="D81" t="s">
        <v>1526</v>
      </c>
    </row>
    <row r="82" spans="1:4">
      <c r="A82" t="s">
        <v>202</v>
      </c>
      <c r="B82">
        <v>-4.3737000000000004</v>
      </c>
      <c r="C82" s="1" t="s">
        <v>20</v>
      </c>
      <c r="D82" t="s">
        <v>789</v>
      </c>
    </row>
    <row r="83" spans="1:4">
      <c r="A83" t="s">
        <v>203</v>
      </c>
      <c r="B83">
        <v>-6.0228000000000002</v>
      </c>
      <c r="C83" s="1" t="s">
        <v>20</v>
      </c>
      <c r="D83" t="s">
        <v>789</v>
      </c>
    </row>
    <row r="84" spans="1:4">
      <c r="A84" t="s">
        <v>204</v>
      </c>
      <c r="B84">
        <v>-6.0228000000000002</v>
      </c>
      <c r="C84" s="1" t="s">
        <v>20</v>
      </c>
      <c r="D84" t="s">
        <v>789</v>
      </c>
    </row>
    <row r="85" spans="1:4">
      <c r="A85" t="s">
        <v>205</v>
      </c>
      <c r="B85">
        <v>-4.3737000000000004</v>
      </c>
      <c r="C85" s="1" t="s">
        <v>20</v>
      </c>
      <c r="D85" t="s">
        <v>789</v>
      </c>
    </row>
    <row r="86" spans="1:4">
      <c r="A86" t="s">
        <v>211</v>
      </c>
      <c r="B86">
        <v>-4.1585999999999999</v>
      </c>
      <c r="C86" s="1" t="s">
        <v>20</v>
      </c>
      <c r="D86" t="s">
        <v>789</v>
      </c>
    </row>
    <row r="87" spans="1:4">
      <c r="A87" t="s">
        <v>212</v>
      </c>
      <c r="B87">
        <v>-6.7397999999999998</v>
      </c>
      <c r="C87" s="1" t="s">
        <v>20</v>
      </c>
      <c r="D87" t="s">
        <v>789</v>
      </c>
    </row>
    <row r="88" spans="1:4">
      <c r="A88" t="s">
        <v>213</v>
      </c>
      <c r="B88">
        <v>-6.7397999999999998</v>
      </c>
      <c r="C88" s="1" t="s">
        <v>20</v>
      </c>
      <c r="D88" t="s">
        <v>789</v>
      </c>
    </row>
    <row r="89" spans="1:4">
      <c r="A89" t="s">
        <v>214</v>
      </c>
      <c r="B89">
        <v>-4.1585999999999999</v>
      </c>
      <c r="C89" s="1" t="s">
        <v>20</v>
      </c>
      <c r="D89" t="s">
        <v>789</v>
      </c>
    </row>
    <row r="90" spans="1:4">
      <c r="A90" t="s">
        <v>215</v>
      </c>
      <c r="B90">
        <v>-5.0907</v>
      </c>
      <c r="C90" s="1" t="s">
        <v>20</v>
      </c>
      <c r="D90" t="s">
        <v>789</v>
      </c>
    </row>
    <row r="91" spans="1:4">
      <c r="A91" t="s">
        <v>216</v>
      </c>
      <c r="B91">
        <v>-5.0907</v>
      </c>
      <c r="C91" s="1" t="s">
        <v>20</v>
      </c>
      <c r="D91" t="s">
        <v>789</v>
      </c>
    </row>
    <row r="92" spans="1:4">
      <c r="A92" t="s">
        <v>220</v>
      </c>
      <c r="B92">
        <v>-4.8756000000000004</v>
      </c>
      <c r="C92" s="1" t="s">
        <v>20</v>
      </c>
      <c r="D92" t="s">
        <v>789</v>
      </c>
    </row>
    <row r="93" spans="1:4">
      <c r="A93" t="s">
        <v>221</v>
      </c>
      <c r="B93">
        <v>-4.5888</v>
      </c>
      <c r="C93" s="1" t="s">
        <v>20</v>
      </c>
      <c r="D93" t="s">
        <v>789</v>
      </c>
    </row>
    <row r="94" spans="1:4">
      <c r="A94" t="s">
        <v>222</v>
      </c>
      <c r="B94">
        <v>-4.5888</v>
      </c>
      <c r="C94" s="1" t="s">
        <v>20</v>
      </c>
      <c r="D94" t="s">
        <v>789</v>
      </c>
    </row>
    <row r="95" spans="1:4">
      <c r="A95" t="s">
        <v>223</v>
      </c>
      <c r="B95">
        <v>-4.8756000000000004</v>
      </c>
      <c r="C95" s="1" t="s">
        <v>20</v>
      </c>
      <c r="D95" t="s">
        <v>789</v>
      </c>
    </row>
    <row r="96" spans="1:4">
      <c r="A96" t="s">
        <v>225</v>
      </c>
      <c r="B96">
        <v>-4.1235999999999997</v>
      </c>
      <c r="C96" s="1" t="s">
        <v>20</v>
      </c>
      <c r="D96" t="s">
        <v>789</v>
      </c>
    </row>
    <row r="97" spans="1:4">
      <c r="A97" t="s">
        <v>226</v>
      </c>
      <c r="B97">
        <v>-5.6783999999999999</v>
      </c>
      <c r="C97" s="1" t="s">
        <v>20</v>
      </c>
      <c r="D97" t="s">
        <v>789</v>
      </c>
    </row>
    <row r="98" spans="1:4">
      <c r="A98" t="s">
        <v>227</v>
      </c>
      <c r="B98">
        <v>-5.6783999999999999</v>
      </c>
      <c r="C98" s="1" t="s">
        <v>20</v>
      </c>
      <c r="D98" t="s">
        <v>789</v>
      </c>
    </row>
    <row r="99" spans="1:4">
      <c r="A99" t="s">
        <v>228</v>
      </c>
      <c r="B99">
        <v>-4.1235999999999997</v>
      </c>
      <c r="C99" s="1" t="s">
        <v>20</v>
      </c>
      <c r="D99" t="s">
        <v>789</v>
      </c>
    </row>
    <row r="100" spans="1:4">
      <c r="A100" t="s">
        <v>234</v>
      </c>
      <c r="B100">
        <v>-3.9207999999999998</v>
      </c>
      <c r="C100" s="1" t="s">
        <v>20</v>
      </c>
      <c r="D100" t="s">
        <v>789</v>
      </c>
    </row>
    <row r="101" spans="1:4">
      <c r="A101" t="s">
        <v>235</v>
      </c>
      <c r="B101">
        <v>-6.3544</v>
      </c>
      <c r="C101" s="1" t="s">
        <v>20</v>
      </c>
      <c r="D101" t="s">
        <v>789</v>
      </c>
    </row>
    <row r="102" spans="1:4">
      <c r="A102" t="s">
        <v>236</v>
      </c>
      <c r="B102">
        <v>-6.3544</v>
      </c>
      <c r="C102" s="1" t="s">
        <v>20</v>
      </c>
      <c r="D102" t="s">
        <v>789</v>
      </c>
    </row>
    <row r="103" spans="1:4">
      <c r="A103" t="s">
        <v>237</v>
      </c>
      <c r="B103">
        <v>-3.9207999999999998</v>
      </c>
      <c r="C103" s="1" t="s">
        <v>20</v>
      </c>
      <c r="D103" t="s">
        <v>789</v>
      </c>
    </row>
    <row r="104" spans="1:4">
      <c r="A104" t="s">
        <v>238</v>
      </c>
      <c r="B104">
        <v>-4.7995999999999999</v>
      </c>
      <c r="C104" s="1" t="s">
        <v>20</v>
      </c>
      <c r="D104" t="s">
        <v>789</v>
      </c>
    </row>
    <row r="105" spans="1:4">
      <c r="A105" t="s">
        <v>239</v>
      </c>
      <c r="B105">
        <v>-4.7995999999999999</v>
      </c>
      <c r="C105" s="1" t="s">
        <v>20</v>
      </c>
      <c r="D105" t="s">
        <v>789</v>
      </c>
    </row>
    <row r="106" spans="1:4">
      <c r="A106" t="s">
        <v>243</v>
      </c>
      <c r="B106">
        <v>-4.5968</v>
      </c>
      <c r="C106" s="1" t="s">
        <v>20</v>
      </c>
      <c r="D106" t="s">
        <v>789</v>
      </c>
    </row>
    <row r="107" spans="1:4">
      <c r="A107" t="s">
        <v>244</v>
      </c>
      <c r="B107">
        <v>-4.3263999999999996</v>
      </c>
      <c r="C107" s="1" t="s">
        <v>20</v>
      </c>
      <c r="D107" t="s">
        <v>789</v>
      </c>
    </row>
    <row r="108" spans="1:4">
      <c r="A108" t="s">
        <v>245</v>
      </c>
      <c r="B108">
        <v>-4.3263999999999996</v>
      </c>
      <c r="C108" s="1" t="s">
        <v>20</v>
      </c>
      <c r="D108" t="s">
        <v>789</v>
      </c>
    </row>
    <row r="109" spans="1:4">
      <c r="A109" t="s">
        <v>246</v>
      </c>
      <c r="B109">
        <v>-4.5968</v>
      </c>
      <c r="C109" s="1" t="s">
        <v>20</v>
      </c>
      <c r="D109" t="s">
        <v>789</v>
      </c>
    </row>
    <row r="110" spans="1:4">
      <c r="A110" t="s">
        <v>248</v>
      </c>
      <c r="B110">
        <v>-3.5868000000000002</v>
      </c>
      <c r="C110" s="1" t="s">
        <v>20</v>
      </c>
      <c r="D110" t="s">
        <v>789</v>
      </c>
    </row>
    <row r="111" spans="1:4">
      <c r="A111" t="s">
        <v>249</v>
      </c>
      <c r="B111">
        <v>-4.9391999999999996</v>
      </c>
      <c r="C111" s="1" t="s">
        <v>20</v>
      </c>
      <c r="D111" t="s">
        <v>789</v>
      </c>
    </row>
    <row r="112" spans="1:4">
      <c r="A112" t="s">
        <v>250</v>
      </c>
      <c r="B112">
        <v>-4.9391999999999996</v>
      </c>
      <c r="C112" s="1" t="s">
        <v>20</v>
      </c>
      <c r="D112" t="s">
        <v>789</v>
      </c>
    </row>
    <row r="113" spans="1:4">
      <c r="A113" t="s">
        <v>251</v>
      </c>
      <c r="B113">
        <v>-3.5868000000000002</v>
      </c>
      <c r="C113" s="1" t="s">
        <v>20</v>
      </c>
      <c r="D113" t="s">
        <v>789</v>
      </c>
    </row>
    <row r="114" spans="1:4">
      <c r="A114" t="s">
        <v>257</v>
      </c>
      <c r="B114">
        <v>-3.4104000000000001</v>
      </c>
      <c r="C114" s="1" t="s">
        <v>20</v>
      </c>
      <c r="D114" t="s">
        <v>789</v>
      </c>
    </row>
    <row r="115" spans="1:4">
      <c r="A115" t="s">
        <v>258</v>
      </c>
      <c r="B115">
        <v>-5.5271999999999997</v>
      </c>
      <c r="C115" s="1" t="s">
        <v>20</v>
      </c>
      <c r="D115" t="s">
        <v>789</v>
      </c>
    </row>
    <row r="116" spans="1:4">
      <c r="A116" t="s">
        <v>259</v>
      </c>
      <c r="B116">
        <v>-5.5271999999999997</v>
      </c>
      <c r="C116" s="1" t="s">
        <v>20</v>
      </c>
      <c r="D116" t="s">
        <v>789</v>
      </c>
    </row>
    <row r="117" spans="1:4">
      <c r="A117" t="s">
        <v>260</v>
      </c>
      <c r="B117">
        <v>-3.4104000000000001</v>
      </c>
      <c r="C117" s="1" t="s">
        <v>20</v>
      </c>
      <c r="D117" t="s">
        <v>789</v>
      </c>
    </row>
    <row r="118" spans="1:4">
      <c r="A118" t="s">
        <v>261</v>
      </c>
      <c r="B118">
        <v>-4.1748000000000003</v>
      </c>
      <c r="C118" s="1" t="s">
        <v>20</v>
      </c>
      <c r="D118" t="s">
        <v>789</v>
      </c>
    </row>
    <row r="119" spans="1:4">
      <c r="A119" t="s">
        <v>262</v>
      </c>
      <c r="B119">
        <v>-4.1748000000000003</v>
      </c>
      <c r="C119" s="1" t="s">
        <v>20</v>
      </c>
      <c r="D119" t="s">
        <v>789</v>
      </c>
    </row>
    <row r="120" spans="1:4">
      <c r="A120" t="s">
        <v>266</v>
      </c>
      <c r="B120">
        <v>-3.9984000000000002</v>
      </c>
      <c r="C120" s="1" t="s">
        <v>20</v>
      </c>
      <c r="D120" t="s">
        <v>789</v>
      </c>
    </row>
    <row r="121" spans="1:4">
      <c r="A121" t="s">
        <v>267</v>
      </c>
      <c r="B121">
        <v>-3.7631999999999999</v>
      </c>
      <c r="C121" s="1" t="s">
        <v>20</v>
      </c>
      <c r="D121" t="s">
        <v>789</v>
      </c>
    </row>
    <row r="122" spans="1:4">
      <c r="A122" t="s">
        <v>268</v>
      </c>
      <c r="B122">
        <v>-3.7631999999999999</v>
      </c>
      <c r="C122" s="1" t="s">
        <v>20</v>
      </c>
      <c r="D122" t="s">
        <v>789</v>
      </c>
    </row>
    <row r="123" spans="1:4">
      <c r="A123" t="s">
        <v>269</v>
      </c>
      <c r="B123">
        <v>-3.9984000000000002</v>
      </c>
      <c r="C123" s="1" t="s">
        <v>20</v>
      </c>
      <c r="D123" t="s">
        <v>789</v>
      </c>
    </row>
    <row r="124" spans="1:4">
      <c r="A124" t="s">
        <v>271</v>
      </c>
      <c r="B124">
        <v>-3.4220999999999999</v>
      </c>
      <c r="C124" s="1" t="s">
        <v>20</v>
      </c>
      <c r="D124" t="s">
        <v>789</v>
      </c>
    </row>
    <row r="125" spans="1:4">
      <c r="A125" t="s">
        <v>272</v>
      </c>
      <c r="B125">
        <v>-4.7123999999999997</v>
      </c>
      <c r="C125" s="1" t="s">
        <v>20</v>
      </c>
      <c r="D125" t="s">
        <v>789</v>
      </c>
    </row>
    <row r="126" spans="1:4">
      <c r="A126" t="s">
        <v>273</v>
      </c>
      <c r="B126">
        <v>-4.7123999999999997</v>
      </c>
      <c r="C126" s="1" t="s">
        <v>20</v>
      </c>
      <c r="D126" t="s">
        <v>789</v>
      </c>
    </row>
    <row r="127" spans="1:4">
      <c r="A127" t="s">
        <v>274</v>
      </c>
      <c r="B127">
        <v>-3.4220999999999999</v>
      </c>
      <c r="C127" s="1" t="s">
        <v>20</v>
      </c>
      <c r="D127" t="s">
        <v>789</v>
      </c>
    </row>
    <row r="128" spans="1:4">
      <c r="A128" t="s">
        <v>280</v>
      </c>
      <c r="B128">
        <v>-3.2538</v>
      </c>
      <c r="C128" s="1" t="s">
        <v>20</v>
      </c>
      <c r="D128" t="s">
        <v>789</v>
      </c>
    </row>
    <row r="129" spans="1:4">
      <c r="A129" t="s">
        <v>281</v>
      </c>
      <c r="B129">
        <v>-5.2733999999999996</v>
      </c>
      <c r="C129" s="1" t="s">
        <v>20</v>
      </c>
      <c r="D129" t="s">
        <v>789</v>
      </c>
    </row>
    <row r="130" spans="1:4">
      <c r="A130" t="s">
        <v>282</v>
      </c>
      <c r="B130">
        <v>-5.2733999999999996</v>
      </c>
      <c r="C130" s="1" t="s">
        <v>20</v>
      </c>
      <c r="D130" t="s">
        <v>789</v>
      </c>
    </row>
    <row r="131" spans="1:4">
      <c r="A131" t="s">
        <v>283</v>
      </c>
      <c r="B131">
        <v>-3.2538</v>
      </c>
      <c r="C131" s="1" t="s">
        <v>20</v>
      </c>
      <c r="D131" t="s">
        <v>789</v>
      </c>
    </row>
    <row r="132" spans="1:4">
      <c r="A132" t="s">
        <v>284</v>
      </c>
      <c r="B132">
        <v>-3.9830999999999999</v>
      </c>
      <c r="C132" s="1" t="s">
        <v>20</v>
      </c>
      <c r="D132" t="s">
        <v>789</v>
      </c>
    </row>
    <row r="133" spans="1:4">
      <c r="A133" t="s">
        <v>285</v>
      </c>
      <c r="B133">
        <v>-3.9830999999999999</v>
      </c>
      <c r="C133" s="1" t="s">
        <v>20</v>
      </c>
      <c r="D133" t="s">
        <v>789</v>
      </c>
    </row>
    <row r="134" spans="1:4">
      <c r="A134" t="s">
        <v>289</v>
      </c>
      <c r="B134">
        <v>-3.8148</v>
      </c>
      <c r="C134" s="1" t="s">
        <v>20</v>
      </c>
      <c r="D134" t="s">
        <v>789</v>
      </c>
    </row>
    <row r="135" spans="1:4">
      <c r="A135" t="s">
        <v>290</v>
      </c>
      <c r="B135">
        <v>-3.5903999999999998</v>
      </c>
      <c r="C135" s="1" t="s">
        <v>20</v>
      </c>
      <c r="D135" t="s">
        <v>789</v>
      </c>
    </row>
    <row r="136" spans="1:4">
      <c r="A136" t="s">
        <v>291</v>
      </c>
      <c r="B136">
        <v>-3.5903999999999998</v>
      </c>
      <c r="C136" s="1" t="s">
        <v>20</v>
      </c>
      <c r="D136" t="s">
        <v>789</v>
      </c>
    </row>
    <row r="137" spans="1:4">
      <c r="A137" t="s">
        <v>292</v>
      </c>
      <c r="B137">
        <v>-3.8148</v>
      </c>
      <c r="C137" s="1" t="s">
        <v>20</v>
      </c>
      <c r="D137" t="s">
        <v>789</v>
      </c>
    </row>
    <row r="138" spans="1:4">
      <c r="A138" t="s">
        <v>294</v>
      </c>
      <c r="B138">
        <v>-3.7515000000000001</v>
      </c>
      <c r="C138" s="1" t="s">
        <v>20</v>
      </c>
      <c r="D138" t="s">
        <v>789</v>
      </c>
    </row>
    <row r="139" spans="1:4">
      <c r="A139" t="s">
        <v>295</v>
      </c>
      <c r="B139">
        <v>-5.1660000000000004</v>
      </c>
      <c r="C139" s="1" t="s">
        <v>20</v>
      </c>
      <c r="D139" t="s">
        <v>789</v>
      </c>
    </row>
    <row r="140" spans="1:4">
      <c r="A140" t="s">
        <v>296</v>
      </c>
      <c r="B140">
        <v>-5.1660000000000004</v>
      </c>
      <c r="C140" s="1" t="s">
        <v>20</v>
      </c>
      <c r="D140" t="s">
        <v>789</v>
      </c>
    </row>
    <row r="141" spans="1:4">
      <c r="A141" t="s">
        <v>297</v>
      </c>
      <c r="B141">
        <v>-3.7515000000000001</v>
      </c>
      <c r="C141" s="1" t="s">
        <v>20</v>
      </c>
      <c r="D141" t="s">
        <v>789</v>
      </c>
    </row>
    <row r="142" spans="1:4">
      <c r="A142" t="s">
        <v>303</v>
      </c>
      <c r="B142">
        <v>-3.5670000000000002</v>
      </c>
      <c r="C142" s="1" t="s">
        <v>20</v>
      </c>
      <c r="D142" t="s">
        <v>789</v>
      </c>
    </row>
    <row r="143" spans="1:4">
      <c r="A143" t="s">
        <v>304</v>
      </c>
      <c r="B143">
        <v>-5.7809999999999997</v>
      </c>
      <c r="C143" s="1" t="s">
        <v>20</v>
      </c>
      <c r="D143" t="s">
        <v>789</v>
      </c>
    </row>
    <row r="144" spans="1:4">
      <c r="A144" t="s">
        <v>305</v>
      </c>
      <c r="B144">
        <v>-5.7809999999999997</v>
      </c>
      <c r="C144" s="1" t="s">
        <v>20</v>
      </c>
      <c r="D144" t="s">
        <v>789</v>
      </c>
    </row>
    <row r="145" spans="1:4">
      <c r="A145" t="s">
        <v>306</v>
      </c>
      <c r="B145">
        <v>-3.5670000000000002</v>
      </c>
      <c r="C145" s="1" t="s">
        <v>20</v>
      </c>
      <c r="D145" t="s">
        <v>789</v>
      </c>
    </row>
    <row r="146" spans="1:4">
      <c r="A146" t="s">
        <v>307</v>
      </c>
      <c r="B146">
        <v>-4.3665000000000003</v>
      </c>
      <c r="C146" s="1" t="s">
        <v>20</v>
      </c>
      <c r="D146" t="s">
        <v>789</v>
      </c>
    </row>
    <row r="147" spans="1:4">
      <c r="A147" t="s">
        <v>308</v>
      </c>
      <c r="B147">
        <v>-4.3665000000000003</v>
      </c>
      <c r="C147" s="1" t="s">
        <v>20</v>
      </c>
      <c r="D147" t="s">
        <v>789</v>
      </c>
    </row>
    <row r="148" spans="1:4">
      <c r="A148" t="s">
        <v>312</v>
      </c>
      <c r="B148">
        <v>-4.1820000000000004</v>
      </c>
      <c r="C148" s="1" t="s">
        <v>20</v>
      </c>
      <c r="D148" t="s">
        <v>789</v>
      </c>
    </row>
    <row r="149" spans="1:4">
      <c r="A149" t="s">
        <v>313</v>
      </c>
      <c r="B149">
        <v>-3.9359999999999999</v>
      </c>
      <c r="C149" s="1" t="s">
        <v>20</v>
      </c>
      <c r="D149" t="s">
        <v>789</v>
      </c>
    </row>
    <row r="150" spans="1:4">
      <c r="A150" t="s">
        <v>314</v>
      </c>
      <c r="B150">
        <v>-3.9359999999999999</v>
      </c>
      <c r="C150" s="1" t="s">
        <v>20</v>
      </c>
      <c r="D150" t="s">
        <v>789</v>
      </c>
    </row>
    <row r="151" spans="1:4">
      <c r="A151" t="s">
        <v>315</v>
      </c>
      <c r="B151">
        <v>-4.1820000000000004</v>
      </c>
      <c r="C151" s="1" t="s">
        <v>20</v>
      </c>
      <c r="D151" t="s">
        <v>789</v>
      </c>
    </row>
    <row r="152" spans="1:4">
      <c r="A152" t="s">
        <v>317</v>
      </c>
      <c r="B152">
        <v>-3.3915999999999999</v>
      </c>
      <c r="C152" s="1" t="s">
        <v>20</v>
      </c>
      <c r="D152" t="s">
        <v>789</v>
      </c>
    </row>
    <row r="153" spans="1:4">
      <c r="A153" t="s">
        <v>318</v>
      </c>
      <c r="B153">
        <v>-4.6703999999999999</v>
      </c>
      <c r="C153" s="1" t="s">
        <v>20</v>
      </c>
      <c r="D153" t="s">
        <v>789</v>
      </c>
    </row>
    <row r="154" spans="1:4">
      <c r="A154" t="s">
        <v>319</v>
      </c>
      <c r="B154">
        <v>-4.6703999999999999</v>
      </c>
      <c r="C154" s="1" t="s">
        <v>20</v>
      </c>
      <c r="D154" t="s">
        <v>789</v>
      </c>
    </row>
    <row r="155" spans="1:4">
      <c r="A155" t="s">
        <v>320</v>
      </c>
      <c r="B155">
        <v>-3.3915999999999999</v>
      </c>
      <c r="C155" s="1" t="s">
        <v>20</v>
      </c>
      <c r="D155" t="s">
        <v>789</v>
      </c>
    </row>
    <row r="156" spans="1:4">
      <c r="A156" t="s">
        <v>326</v>
      </c>
      <c r="B156">
        <v>-3.2248000000000001</v>
      </c>
      <c r="C156" s="1" t="s">
        <v>20</v>
      </c>
      <c r="D156" t="s">
        <v>789</v>
      </c>
    </row>
    <row r="157" spans="1:4">
      <c r="A157" t="s">
        <v>327</v>
      </c>
      <c r="B157">
        <v>-5.2263999999999999</v>
      </c>
      <c r="C157" s="1" t="s">
        <v>20</v>
      </c>
      <c r="D157" t="s">
        <v>789</v>
      </c>
    </row>
    <row r="158" spans="1:4">
      <c r="A158" t="s">
        <v>328</v>
      </c>
      <c r="B158">
        <v>-5.2263999999999999</v>
      </c>
      <c r="C158" s="1" t="s">
        <v>20</v>
      </c>
      <c r="D158" t="s">
        <v>789</v>
      </c>
    </row>
    <row r="159" spans="1:4">
      <c r="A159" t="s">
        <v>329</v>
      </c>
      <c r="B159">
        <v>-3.2248000000000001</v>
      </c>
      <c r="C159" s="1" t="s">
        <v>20</v>
      </c>
      <c r="D159" t="s">
        <v>789</v>
      </c>
    </row>
    <row r="160" spans="1:4">
      <c r="A160" t="s">
        <v>330</v>
      </c>
      <c r="B160">
        <v>-3.9476</v>
      </c>
      <c r="C160" s="1" t="s">
        <v>20</v>
      </c>
      <c r="D160" t="s">
        <v>789</v>
      </c>
    </row>
    <row r="161" spans="1:4">
      <c r="A161" t="s">
        <v>331</v>
      </c>
      <c r="B161">
        <v>-3.9476</v>
      </c>
      <c r="C161" s="1" t="s">
        <v>20</v>
      </c>
      <c r="D161" t="s">
        <v>789</v>
      </c>
    </row>
    <row r="162" spans="1:4">
      <c r="A162" t="s">
        <v>335</v>
      </c>
      <c r="B162">
        <v>-3.7808000000000002</v>
      </c>
      <c r="C162" s="1" t="s">
        <v>20</v>
      </c>
      <c r="D162" t="s">
        <v>789</v>
      </c>
    </row>
    <row r="163" spans="1:4">
      <c r="A163" t="s">
        <v>336</v>
      </c>
      <c r="B163">
        <v>-3.5583999999999998</v>
      </c>
      <c r="C163" s="1" t="s">
        <v>20</v>
      </c>
      <c r="D163" t="s">
        <v>789</v>
      </c>
    </row>
    <row r="164" spans="1:4">
      <c r="A164" t="s">
        <v>337</v>
      </c>
      <c r="B164">
        <v>-3.5583999999999998</v>
      </c>
      <c r="C164" s="1" t="s">
        <v>20</v>
      </c>
      <c r="D164" t="s">
        <v>789</v>
      </c>
    </row>
    <row r="165" spans="1:4">
      <c r="A165" t="s">
        <v>338</v>
      </c>
      <c r="B165">
        <v>-3.7808000000000002</v>
      </c>
      <c r="C165" s="1" t="s">
        <v>20</v>
      </c>
      <c r="D165" t="s">
        <v>789</v>
      </c>
    </row>
    <row r="166" spans="1:4">
      <c r="A166" t="s">
        <v>340</v>
      </c>
      <c r="B166">
        <v>-3.6112000000000002</v>
      </c>
      <c r="C166" s="1" t="s">
        <v>20</v>
      </c>
      <c r="D166" t="s">
        <v>789</v>
      </c>
    </row>
    <row r="167" spans="1:4">
      <c r="A167" t="s">
        <v>341</v>
      </c>
      <c r="B167">
        <v>-4.9728000000000003</v>
      </c>
      <c r="C167" s="1" t="s">
        <v>20</v>
      </c>
      <c r="D167" t="s">
        <v>789</v>
      </c>
    </row>
    <row r="168" spans="1:4">
      <c r="A168" t="s">
        <v>342</v>
      </c>
      <c r="B168">
        <v>-4.9728000000000003</v>
      </c>
      <c r="C168" s="1" t="s">
        <v>20</v>
      </c>
      <c r="D168" t="s">
        <v>789</v>
      </c>
    </row>
    <row r="169" spans="1:4">
      <c r="A169" t="s">
        <v>343</v>
      </c>
      <c r="B169">
        <v>-3.6112000000000002</v>
      </c>
      <c r="C169" s="1" t="s">
        <v>20</v>
      </c>
      <c r="D169" t="s">
        <v>789</v>
      </c>
    </row>
    <row r="170" spans="1:4">
      <c r="A170" t="s">
        <v>349</v>
      </c>
      <c r="B170">
        <v>-3.4336000000000002</v>
      </c>
      <c r="C170" s="1" t="s">
        <v>20</v>
      </c>
      <c r="D170" t="s">
        <v>789</v>
      </c>
    </row>
    <row r="171" spans="1:4">
      <c r="A171" t="s">
        <v>350</v>
      </c>
      <c r="B171">
        <v>-5.5648</v>
      </c>
      <c r="C171" s="1" t="s">
        <v>20</v>
      </c>
      <c r="D171" t="s">
        <v>789</v>
      </c>
    </row>
    <row r="172" spans="1:4">
      <c r="A172" t="s">
        <v>351</v>
      </c>
      <c r="B172">
        <v>-5.5648</v>
      </c>
      <c r="C172" s="1" t="s">
        <v>20</v>
      </c>
      <c r="D172" t="s">
        <v>789</v>
      </c>
    </row>
    <row r="173" spans="1:4">
      <c r="A173" t="s">
        <v>352</v>
      </c>
      <c r="B173">
        <v>-3.4336000000000002</v>
      </c>
      <c r="C173" s="1" t="s">
        <v>20</v>
      </c>
      <c r="D173" t="s">
        <v>789</v>
      </c>
    </row>
    <row r="174" spans="1:4">
      <c r="A174" t="s">
        <v>353</v>
      </c>
      <c r="B174">
        <v>-4.2031999999999998</v>
      </c>
      <c r="C174" s="1" t="s">
        <v>20</v>
      </c>
      <c r="D174" t="s">
        <v>789</v>
      </c>
    </row>
    <row r="175" spans="1:4">
      <c r="A175" t="s">
        <v>354</v>
      </c>
      <c r="B175">
        <v>-4.2031999999999998</v>
      </c>
      <c r="C175" s="1" t="s">
        <v>20</v>
      </c>
      <c r="D175" t="s">
        <v>789</v>
      </c>
    </row>
    <row r="176" spans="1:4">
      <c r="A176" t="s">
        <v>358</v>
      </c>
      <c r="B176">
        <v>-4.0255999999999998</v>
      </c>
      <c r="C176" s="1" t="s">
        <v>20</v>
      </c>
      <c r="D176" t="s">
        <v>789</v>
      </c>
    </row>
    <row r="177" spans="1:4">
      <c r="A177" t="s">
        <v>359</v>
      </c>
      <c r="B177">
        <v>-3.7888000000000002</v>
      </c>
      <c r="C177" s="1" t="s">
        <v>20</v>
      </c>
      <c r="D177" t="s">
        <v>789</v>
      </c>
    </row>
    <row r="178" spans="1:4">
      <c r="A178" t="s">
        <v>360</v>
      </c>
      <c r="B178">
        <v>-3.7888000000000002</v>
      </c>
      <c r="C178" s="1" t="s">
        <v>20</v>
      </c>
      <c r="D178" t="s">
        <v>789</v>
      </c>
    </row>
    <row r="179" spans="1:4">
      <c r="A179" t="s">
        <v>361</v>
      </c>
      <c r="B179">
        <v>-4.0255999999999998</v>
      </c>
      <c r="C179" s="1" t="s">
        <v>20</v>
      </c>
      <c r="D179" t="s">
        <v>789</v>
      </c>
    </row>
    <row r="180" spans="1:4">
      <c r="A180" t="s">
        <v>363</v>
      </c>
      <c r="B180">
        <v>-3.5196999999999998</v>
      </c>
      <c r="C180" s="1" t="s">
        <v>20</v>
      </c>
      <c r="D180" t="s">
        <v>789</v>
      </c>
    </row>
    <row r="181" spans="1:4">
      <c r="A181" t="s">
        <v>364</v>
      </c>
      <c r="B181">
        <v>-4.8468</v>
      </c>
      <c r="C181" s="1" t="s">
        <v>20</v>
      </c>
      <c r="D181" t="s">
        <v>789</v>
      </c>
    </row>
    <row r="182" spans="1:4">
      <c r="A182" t="s">
        <v>365</v>
      </c>
      <c r="B182">
        <v>-4.8468</v>
      </c>
      <c r="C182" s="1" t="s">
        <v>20</v>
      </c>
      <c r="D182" t="s">
        <v>789</v>
      </c>
    </row>
    <row r="183" spans="1:4">
      <c r="A183" t="s">
        <v>366</v>
      </c>
      <c r="B183">
        <v>-3.5196999999999998</v>
      </c>
      <c r="C183" s="1" t="s">
        <v>20</v>
      </c>
      <c r="D183" t="s">
        <v>789</v>
      </c>
    </row>
    <row r="184" spans="1:4">
      <c r="A184" t="s">
        <v>372</v>
      </c>
      <c r="B184">
        <v>-3.3466</v>
      </c>
      <c r="C184" s="1" t="s">
        <v>20</v>
      </c>
      <c r="D184" t="s">
        <v>789</v>
      </c>
    </row>
    <row r="185" spans="1:4">
      <c r="A185" t="s">
        <v>373</v>
      </c>
      <c r="B185">
        <v>-5.4238</v>
      </c>
      <c r="C185" s="1" t="s">
        <v>20</v>
      </c>
      <c r="D185" t="s">
        <v>789</v>
      </c>
    </row>
    <row r="186" spans="1:4">
      <c r="A186" t="s">
        <v>374</v>
      </c>
      <c r="B186">
        <v>-5.4238</v>
      </c>
      <c r="C186" s="1" t="s">
        <v>20</v>
      </c>
      <c r="D186" t="s">
        <v>789</v>
      </c>
    </row>
    <row r="187" spans="1:4">
      <c r="A187" t="s">
        <v>375</v>
      </c>
      <c r="B187">
        <v>-3.3466</v>
      </c>
      <c r="C187" s="1" t="s">
        <v>20</v>
      </c>
      <c r="D187" t="s">
        <v>789</v>
      </c>
    </row>
    <row r="188" spans="1:4">
      <c r="A188" t="s">
        <v>376</v>
      </c>
      <c r="B188">
        <v>-4.0967000000000002</v>
      </c>
      <c r="C188" s="1" t="s">
        <v>20</v>
      </c>
      <c r="D188" t="s">
        <v>789</v>
      </c>
    </row>
    <row r="189" spans="1:4">
      <c r="A189" t="s">
        <v>377</v>
      </c>
      <c r="B189">
        <v>-4.0967000000000002</v>
      </c>
      <c r="C189" s="1" t="s">
        <v>20</v>
      </c>
      <c r="D189" t="s">
        <v>789</v>
      </c>
    </row>
    <row r="190" spans="1:4">
      <c r="A190" t="s">
        <v>381</v>
      </c>
      <c r="B190">
        <v>-3.9236</v>
      </c>
      <c r="C190" s="1" t="s">
        <v>20</v>
      </c>
      <c r="D190" t="s">
        <v>789</v>
      </c>
    </row>
    <row r="191" spans="1:4">
      <c r="A191" t="s">
        <v>382</v>
      </c>
      <c r="B191">
        <v>-3.6928000000000001</v>
      </c>
      <c r="C191" s="1" t="s">
        <v>20</v>
      </c>
      <c r="D191" t="s">
        <v>789</v>
      </c>
    </row>
    <row r="192" spans="1:4">
      <c r="A192" t="s">
        <v>383</v>
      </c>
      <c r="B192">
        <v>-3.6928000000000001</v>
      </c>
      <c r="C192" s="1" t="s">
        <v>20</v>
      </c>
      <c r="D192" t="s">
        <v>789</v>
      </c>
    </row>
    <row r="193" spans="1:4">
      <c r="A193" t="s">
        <v>384</v>
      </c>
      <c r="B193">
        <v>-3.9236</v>
      </c>
      <c r="C193" s="1" t="s">
        <v>20</v>
      </c>
      <c r="D193" t="s">
        <v>789</v>
      </c>
    </row>
    <row r="194" spans="1:4">
      <c r="A194" t="s">
        <v>386</v>
      </c>
      <c r="B194">
        <v>-3.3855</v>
      </c>
      <c r="C194" s="1" t="s">
        <v>20</v>
      </c>
      <c r="D194" t="s">
        <v>789</v>
      </c>
    </row>
    <row r="195" spans="1:4">
      <c r="A195" t="s">
        <v>387</v>
      </c>
      <c r="B195">
        <v>-4.6619999999999999</v>
      </c>
      <c r="C195" s="1" t="s">
        <v>20</v>
      </c>
      <c r="D195" t="s">
        <v>789</v>
      </c>
    </row>
    <row r="196" spans="1:4">
      <c r="A196" t="s">
        <v>388</v>
      </c>
      <c r="B196">
        <v>-4.6619999999999999</v>
      </c>
      <c r="C196" s="1" t="s">
        <v>20</v>
      </c>
      <c r="D196" t="s">
        <v>789</v>
      </c>
    </row>
    <row r="197" spans="1:4">
      <c r="A197" t="s">
        <v>389</v>
      </c>
      <c r="B197">
        <v>-3.3855</v>
      </c>
      <c r="C197" s="1" t="s">
        <v>20</v>
      </c>
      <c r="D197" t="s">
        <v>789</v>
      </c>
    </row>
    <row r="198" spans="1:4">
      <c r="A198" t="s">
        <v>395</v>
      </c>
      <c r="B198">
        <v>-3.2189999999999999</v>
      </c>
      <c r="C198" s="1" t="s">
        <v>20</v>
      </c>
      <c r="D198" t="s">
        <v>789</v>
      </c>
    </row>
    <row r="199" spans="1:4">
      <c r="A199" t="s">
        <v>396</v>
      </c>
      <c r="B199">
        <v>-5.2169999999999996</v>
      </c>
      <c r="C199" s="1" t="s">
        <v>20</v>
      </c>
      <c r="D199" t="s">
        <v>789</v>
      </c>
    </row>
    <row r="200" spans="1:4">
      <c r="A200" t="s">
        <v>397</v>
      </c>
      <c r="B200">
        <v>-5.2169999999999996</v>
      </c>
      <c r="C200" s="1" t="s">
        <v>20</v>
      </c>
      <c r="D200" t="s">
        <v>789</v>
      </c>
    </row>
    <row r="201" spans="1:4">
      <c r="A201" t="s">
        <v>398</v>
      </c>
      <c r="B201">
        <v>-3.2189999999999999</v>
      </c>
      <c r="C201" s="1" t="s">
        <v>20</v>
      </c>
      <c r="D201" t="s">
        <v>789</v>
      </c>
    </row>
    <row r="202" spans="1:4">
      <c r="A202" t="s">
        <v>399</v>
      </c>
      <c r="B202">
        <v>-3.9405000000000001</v>
      </c>
      <c r="C202" s="1" t="s">
        <v>20</v>
      </c>
      <c r="D202" t="s">
        <v>789</v>
      </c>
    </row>
    <row r="203" spans="1:4">
      <c r="A203" t="s">
        <v>400</v>
      </c>
      <c r="B203">
        <v>-3.9405000000000001</v>
      </c>
      <c r="C203" s="1" t="s">
        <v>20</v>
      </c>
      <c r="D203" t="s">
        <v>789</v>
      </c>
    </row>
    <row r="204" spans="1:4">
      <c r="A204" t="s">
        <v>404</v>
      </c>
      <c r="B204">
        <v>-3.774</v>
      </c>
      <c r="C204" s="1" t="s">
        <v>20</v>
      </c>
      <c r="D204" t="s">
        <v>789</v>
      </c>
    </row>
    <row r="205" spans="1:4">
      <c r="A205" t="s">
        <v>405</v>
      </c>
      <c r="B205">
        <v>-3.552</v>
      </c>
      <c r="C205" s="1" t="s">
        <v>20</v>
      </c>
      <c r="D205" t="s">
        <v>789</v>
      </c>
    </row>
    <row r="206" spans="1:4">
      <c r="A206" t="s">
        <v>406</v>
      </c>
      <c r="B206">
        <v>-3.552</v>
      </c>
      <c r="C206" s="1" t="s">
        <v>20</v>
      </c>
      <c r="D206" t="s">
        <v>789</v>
      </c>
    </row>
    <row r="207" spans="1:4">
      <c r="A207" t="s">
        <v>407</v>
      </c>
      <c r="B207">
        <v>-3.774</v>
      </c>
      <c r="C207" s="1" t="s">
        <v>20</v>
      </c>
      <c r="D207" t="s">
        <v>789</v>
      </c>
    </row>
    <row r="208" spans="1:4">
      <c r="A208" t="s">
        <v>409</v>
      </c>
      <c r="B208">
        <v>-2.7023000000000001</v>
      </c>
      <c r="C208" s="1" t="s">
        <v>20</v>
      </c>
      <c r="D208" t="s">
        <v>789</v>
      </c>
    </row>
    <row r="209" spans="1:4">
      <c r="A209" t="s">
        <v>410</v>
      </c>
      <c r="B209">
        <v>-3.7212000000000001</v>
      </c>
      <c r="C209" s="1" t="s">
        <v>20</v>
      </c>
      <c r="D209" t="s">
        <v>789</v>
      </c>
    </row>
    <row r="210" spans="1:4">
      <c r="A210" t="s">
        <v>411</v>
      </c>
      <c r="B210">
        <v>-3.7212000000000001</v>
      </c>
      <c r="C210" s="1" t="s">
        <v>20</v>
      </c>
      <c r="D210" t="s">
        <v>789</v>
      </c>
    </row>
    <row r="211" spans="1:4">
      <c r="A211" t="s">
        <v>412</v>
      </c>
      <c r="B211">
        <v>-2.7023000000000001</v>
      </c>
      <c r="C211" s="1" t="s">
        <v>20</v>
      </c>
      <c r="D211" t="s">
        <v>789</v>
      </c>
    </row>
    <row r="212" spans="1:4">
      <c r="A212" t="s">
        <v>418</v>
      </c>
      <c r="B212">
        <v>-2.5693999999999999</v>
      </c>
      <c r="C212" s="1" t="s">
        <v>20</v>
      </c>
      <c r="D212" t="s">
        <v>789</v>
      </c>
    </row>
    <row r="213" spans="1:4">
      <c r="A213" t="s">
        <v>419</v>
      </c>
      <c r="B213">
        <v>-4.1642000000000001</v>
      </c>
      <c r="C213" s="1" t="s">
        <v>20</v>
      </c>
      <c r="D213" t="s">
        <v>789</v>
      </c>
    </row>
    <row r="214" spans="1:4">
      <c r="A214" t="s">
        <v>420</v>
      </c>
      <c r="B214">
        <v>-4.1642000000000001</v>
      </c>
      <c r="C214" s="1" t="s">
        <v>20</v>
      </c>
      <c r="D214" t="s">
        <v>789</v>
      </c>
    </row>
    <row r="215" spans="1:4">
      <c r="A215" t="s">
        <v>421</v>
      </c>
      <c r="B215">
        <v>-2.5693999999999999</v>
      </c>
      <c r="C215" s="1" t="s">
        <v>20</v>
      </c>
      <c r="D215" t="s">
        <v>789</v>
      </c>
    </row>
    <row r="216" spans="1:4">
      <c r="A216" t="s">
        <v>422</v>
      </c>
      <c r="B216">
        <v>-3.1453000000000002</v>
      </c>
      <c r="C216" s="1" t="s">
        <v>20</v>
      </c>
      <c r="D216" t="s">
        <v>789</v>
      </c>
    </row>
    <row r="217" spans="1:4">
      <c r="A217" t="s">
        <v>423</v>
      </c>
      <c r="B217">
        <v>-3.1453000000000002</v>
      </c>
      <c r="C217" s="1" t="s">
        <v>20</v>
      </c>
      <c r="D217" t="s">
        <v>789</v>
      </c>
    </row>
    <row r="218" spans="1:4">
      <c r="A218" t="s">
        <v>427</v>
      </c>
      <c r="B218">
        <v>-3.0124</v>
      </c>
      <c r="C218" s="1" t="s">
        <v>20</v>
      </c>
      <c r="D218" t="s">
        <v>789</v>
      </c>
    </row>
    <row r="219" spans="1:4">
      <c r="A219" t="s">
        <v>428</v>
      </c>
      <c r="B219">
        <v>-2.8351999999999999</v>
      </c>
      <c r="C219" s="1" t="s">
        <v>20</v>
      </c>
      <c r="D219" t="s">
        <v>789</v>
      </c>
    </row>
    <row r="220" spans="1:4">
      <c r="A220" t="s">
        <v>429</v>
      </c>
      <c r="B220">
        <v>-2.8351999999999999</v>
      </c>
      <c r="C220" s="1" t="s">
        <v>20</v>
      </c>
      <c r="D220" t="s">
        <v>789</v>
      </c>
    </row>
    <row r="221" spans="1:4">
      <c r="A221" t="s">
        <v>430</v>
      </c>
      <c r="B221">
        <v>-3.0124</v>
      </c>
      <c r="C221" s="1" t="s">
        <v>20</v>
      </c>
      <c r="D221" t="s">
        <v>789</v>
      </c>
    </row>
    <row r="222" spans="1:4">
      <c r="A222" t="s">
        <v>408</v>
      </c>
      <c r="B222">
        <v>0.17602245476158271</v>
      </c>
      <c r="C222" s="1" t="s">
        <v>18</v>
      </c>
      <c r="D222" t="s">
        <v>2672</v>
      </c>
    </row>
    <row r="223" spans="1:4">
      <c r="A223" t="s">
        <v>385</v>
      </c>
      <c r="B223">
        <v>0.18884798566766162</v>
      </c>
      <c r="C223" s="1" t="s">
        <v>18</v>
      </c>
      <c r="D223" t="s">
        <v>2672</v>
      </c>
    </row>
    <row r="224" spans="1:4">
      <c r="A224" t="s">
        <v>362</v>
      </c>
      <c r="B224">
        <v>0.16514935822034912</v>
      </c>
      <c r="C224" s="1" t="s">
        <v>18</v>
      </c>
      <c r="D224" t="s">
        <v>2672</v>
      </c>
    </row>
    <row r="225" spans="1:4">
      <c r="A225" t="s">
        <v>339</v>
      </c>
      <c r="B225">
        <v>0.13934765245184066</v>
      </c>
      <c r="C225" s="1" t="s">
        <v>18</v>
      </c>
      <c r="D225" t="s">
        <v>2672</v>
      </c>
    </row>
    <row r="226" spans="1:4">
      <c r="A226" t="s">
        <v>316</v>
      </c>
      <c r="B226">
        <v>0.10451424164461499</v>
      </c>
      <c r="C226" s="1" t="s">
        <v>18</v>
      </c>
      <c r="D226" t="s">
        <v>2672</v>
      </c>
    </row>
    <row r="227" spans="1:4">
      <c r="A227" t="s">
        <v>293</v>
      </c>
      <c r="B227">
        <v>8.8720649459491027E-2</v>
      </c>
      <c r="C227" s="1" t="s">
        <v>18</v>
      </c>
      <c r="D227" t="s">
        <v>2672</v>
      </c>
    </row>
    <row r="228" spans="1:4">
      <c r="A228" t="s">
        <v>270</v>
      </c>
      <c r="B228">
        <v>5.8672814532146553E-2</v>
      </c>
      <c r="C228" s="1" t="s">
        <v>18</v>
      </c>
      <c r="D228" t="s">
        <v>2672</v>
      </c>
    </row>
    <row r="229" spans="1:4">
      <c r="A229" t="s">
        <v>247</v>
      </c>
      <c r="B229">
        <v>4.0814709113115286E-2</v>
      </c>
      <c r="C229" s="1" t="s">
        <v>18</v>
      </c>
      <c r="D229" t="s">
        <v>2672</v>
      </c>
    </row>
    <row r="230" spans="1:4">
      <c r="A230" t="s">
        <v>224</v>
      </c>
      <c r="B230">
        <v>2.6644088745951627E-2</v>
      </c>
      <c r="C230" s="1" t="s">
        <v>18</v>
      </c>
      <c r="D230" t="s">
        <v>2672</v>
      </c>
    </row>
    <row r="231" spans="1:4">
      <c r="A231" t="s">
        <v>201</v>
      </c>
      <c r="B231">
        <v>1.1266045403246263E-2</v>
      </c>
      <c r="C231" s="1" t="s">
        <v>18</v>
      </c>
      <c r="D231" t="s">
        <v>2672</v>
      </c>
    </row>
    <row r="232" spans="1:4">
      <c r="A232" t="s">
        <v>408</v>
      </c>
      <c r="B232">
        <v>0.17602245476158271</v>
      </c>
      <c r="C232" s="1" t="s">
        <v>19</v>
      </c>
      <c r="D232" t="s">
        <v>2673</v>
      </c>
    </row>
    <row r="233" spans="1:4">
      <c r="A233" t="s">
        <v>385</v>
      </c>
      <c r="B233">
        <v>0.18884798566766162</v>
      </c>
      <c r="C233" s="1" t="s">
        <v>19</v>
      </c>
      <c r="D233" t="s">
        <v>2673</v>
      </c>
    </row>
    <row r="234" spans="1:4">
      <c r="A234" t="s">
        <v>362</v>
      </c>
      <c r="B234">
        <v>0.16514935822034912</v>
      </c>
      <c r="C234" s="1" t="s">
        <v>19</v>
      </c>
      <c r="D234" t="s">
        <v>2673</v>
      </c>
    </row>
    <row r="235" spans="1:4">
      <c r="A235" t="s">
        <v>339</v>
      </c>
      <c r="B235">
        <v>0.13934765245184066</v>
      </c>
      <c r="C235" s="1" t="s">
        <v>19</v>
      </c>
      <c r="D235" t="s">
        <v>2673</v>
      </c>
    </row>
    <row r="236" spans="1:4">
      <c r="A236" t="s">
        <v>316</v>
      </c>
      <c r="B236">
        <v>0.10451424164461499</v>
      </c>
      <c r="C236" s="1" t="s">
        <v>19</v>
      </c>
      <c r="D236" t="s">
        <v>2673</v>
      </c>
    </row>
    <row r="237" spans="1:4">
      <c r="A237" t="s">
        <v>293</v>
      </c>
      <c r="B237">
        <v>8.8720649459491027E-2</v>
      </c>
      <c r="C237" s="1" t="s">
        <v>19</v>
      </c>
      <c r="D237" t="s">
        <v>2673</v>
      </c>
    </row>
    <row r="238" spans="1:4">
      <c r="A238" t="s">
        <v>270</v>
      </c>
      <c r="B238">
        <v>5.8672814532146553E-2</v>
      </c>
      <c r="C238" s="1" t="s">
        <v>19</v>
      </c>
      <c r="D238" t="s">
        <v>2673</v>
      </c>
    </row>
    <row r="239" spans="1:4">
      <c r="A239" t="s">
        <v>247</v>
      </c>
      <c r="B239">
        <v>4.0814709113115286E-2</v>
      </c>
      <c r="C239" s="1" t="s">
        <v>19</v>
      </c>
      <c r="D239" t="s">
        <v>2673</v>
      </c>
    </row>
    <row r="240" spans="1:4">
      <c r="A240" t="s">
        <v>224</v>
      </c>
      <c r="B240">
        <v>2.6644088745951627E-2</v>
      </c>
      <c r="C240" s="1" t="s">
        <v>19</v>
      </c>
      <c r="D240" t="s">
        <v>2673</v>
      </c>
    </row>
    <row r="241" spans="1:4">
      <c r="A241" t="s">
        <v>201</v>
      </c>
      <c r="B241">
        <v>1.1266045403246263E-2</v>
      </c>
      <c r="C241" s="1" t="s">
        <v>19</v>
      </c>
      <c r="D241" t="s">
        <v>2673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4.4"/>
  <cols>
    <col min="1" max="1" width="14.88671875" customWidth="1"/>
    <col min="2" max="2" width="9.109375" customWidth="1"/>
    <col min="3" max="3" width="9.109375" style="1" customWidth="1"/>
    <col min="4" max="4" width="33.6640625" customWidth="1"/>
    <col min="5" max="16384" width="9.109375" hidden="1"/>
  </cols>
  <sheetData>
    <row r="1" spans="1:4">
      <c r="A1" t="s">
        <v>0</v>
      </c>
      <c r="B1" t="s">
        <v>44</v>
      </c>
      <c r="C1" s="5" t="s">
        <v>42</v>
      </c>
      <c r="D1" t="s">
        <v>43</v>
      </c>
    </row>
    <row r="2" spans="1:4">
      <c r="A2" t="s">
        <v>2651</v>
      </c>
      <c r="B2">
        <v>-6.0392578124999999E-2</v>
      </c>
      <c r="C2" s="1" t="s">
        <v>2653</v>
      </c>
      <c r="D2" t="s">
        <v>789</v>
      </c>
    </row>
    <row r="3" spans="1:4">
      <c r="A3" t="s">
        <v>2652</v>
      </c>
      <c r="B3">
        <v>-6.0392578124999999E-2</v>
      </c>
      <c r="C3" s="1" t="s">
        <v>2653</v>
      </c>
      <c r="D3" t="s">
        <v>789</v>
      </c>
    </row>
    <row r="4" spans="1:4">
      <c r="A4" t="s">
        <v>1523</v>
      </c>
      <c r="B4">
        <v>-4.1584602864583299E-2</v>
      </c>
      <c r="C4" s="1" t="s">
        <v>2653</v>
      </c>
      <c r="D4" t="s">
        <v>789</v>
      </c>
    </row>
    <row r="5" spans="1:4">
      <c r="A5" t="s">
        <v>1521</v>
      </c>
      <c r="B5">
        <v>-4.1584602864583299E-2</v>
      </c>
      <c r="C5" s="1" t="s">
        <v>2653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A27" sqref="A27"/>
    </sheetView>
  </sheetViews>
  <sheetFormatPr defaultRowHeight="14.4"/>
  <cols>
    <col min="1" max="1" width="14.5546875" customWidth="1"/>
    <col min="5" max="5" width="9.5546875" bestFit="1" customWidth="1"/>
    <col min="7" max="8" width="10" bestFit="1" customWidth="1"/>
    <col min="16" max="17" width="9.109375" style="7"/>
    <col min="19" max="19" width="12" bestFit="1" customWidth="1"/>
  </cols>
  <sheetData>
    <row r="1" spans="1:19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2643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2650</v>
      </c>
    </row>
    <row r="2" spans="1:19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>
      <c r="A4" t="s">
        <v>2648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>
      <c r="A5" t="s">
        <v>2649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>
      <c r="A6" t="s">
        <v>2644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>
      <c r="A7" t="s">
        <v>2645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>
      <c r="A8" t="s">
        <v>2646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>
      <c r="A9" t="s">
        <v>2647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f>0.060392578125/32.2/12</f>
        <v>1.5629549204192544E-4</v>
      </c>
    </row>
    <row r="19" spans="1:20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f>0.0415846028645833/32.2/12</f>
        <v>1.0762060782759653E-4</v>
      </c>
    </row>
    <row r="20" spans="1:20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>
      <c r="A21" t="s">
        <v>1634</v>
      </c>
      <c r="B21" s="11"/>
      <c r="C21" s="11"/>
      <c r="D21" s="11"/>
      <c r="E21" s="10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>
      <c r="A22" t="s">
        <v>1635</v>
      </c>
      <c r="B22" s="11"/>
      <c r="C22" s="11"/>
      <c r="D22" s="11"/>
      <c r="E22" s="10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>
      <c r="E23" s="10"/>
    </row>
    <row r="26" spans="1:20">
      <c r="S26" s="12">
        <f>E18*H18/R21</f>
        <v>75972583.843131512</v>
      </c>
    </row>
    <row r="27" spans="1:20">
      <c r="G27" s="10"/>
      <c r="S27" s="12">
        <f>E19*H19/R22</f>
        <v>97007318.952148438</v>
      </c>
      <c r="T27" s="12">
        <f>S27+[1]Sheet1!$C$37</f>
        <v>194643076.35403627</v>
      </c>
    </row>
    <row r="28" spans="1:20">
      <c r="S28" s="12">
        <f>S27*2</f>
        <v>194014637.90429688</v>
      </c>
    </row>
  </sheetData>
  <dataValidations disablePrompts="1"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E4" sqref="E4"/>
    </sheetView>
  </sheetViews>
  <sheetFormatPr defaultColWidth="0" defaultRowHeight="14.4"/>
  <cols>
    <col min="1" max="1" width="16.5546875" customWidth="1"/>
    <col min="2" max="2" width="7.44140625" customWidth="1"/>
    <col min="3" max="13" width="9.109375" customWidth="1"/>
    <col min="14" max="14" width="0" hidden="1" customWidth="1"/>
  </cols>
  <sheetData>
    <row r="1" spans="1:13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4.4"/>
  <sheetData>
    <row r="1" spans="1:100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>
      <c r="CT100">
        <v>1</v>
      </c>
      <c r="CU100">
        <v>0.99925857796525119</v>
      </c>
      <c r="CV100">
        <v>0.99756443204458334</v>
      </c>
    </row>
    <row r="101" spans="95:100">
      <c r="CU101">
        <v>1</v>
      </c>
      <c r="CV101">
        <v>0.99927325781121401</v>
      </c>
    </row>
    <row r="102" spans="95:100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4.4"/>
  <sheetData>
    <row r="1" spans="1:100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>
      <c r="CT100">
        <v>2.0614306328592039E-4</v>
      </c>
      <c r="CU100">
        <v>1.245076659135297E-3</v>
      </c>
      <c r="CV100">
        <v>2.1967379918677531E-3</v>
      </c>
    </row>
    <row r="101" spans="95:100">
      <c r="CU101">
        <v>2.0202020202020199E-4</v>
      </c>
      <c r="CV101">
        <v>1.2204276494755979E-3</v>
      </c>
    </row>
    <row r="102" spans="95:100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4F0D-FE9D-4502-97F0-3BF0FD2384F3}">
  <sheetPr>
    <tabColor indexed="10"/>
  </sheetPr>
  <dimension ref="A1:F1065"/>
  <sheetViews>
    <sheetView workbookViewId="0">
      <selection activeCell="G1" sqref="G1:XFD1048576"/>
    </sheetView>
  </sheetViews>
  <sheetFormatPr defaultColWidth="0" defaultRowHeight="14.4"/>
  <cols>
    <col min="1" max="1" width="20.77734375" bestFit="1" customWidth="1"/>
    <col min="2" max="5" width="8.88671875" customWidth="1"/>
    <col min="6" max="6" width="27.33203125" bestFit="1" customWidth="1"/>
    <col min="7" max="16384" width="8.88671875" hidden="1"/>
  </cols>
  <sheetData>
    <row r="1" spans="1:6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>
      <c r="A566" t="s">
        <v>1639</v>
      </c>
      <c r="B566">
        <v>565</v>
      </c>
      <c r="C566">
        <v>135.4375</v>
      </c>
      <c r="D566">
        <v>-6.1875</v>
      </c>
      <c r="E566">
        <v>14</v>
      </c>
      <c r="F566" t="s">
        <v>1640</v>
      </c>
    </row>
    <row r="567" spans="1:6">
      <c r="A567" t="s">
        <v>1641</v>
      </c>
      <c r="B567">
        <v>566</v>
      </c>
      <c r="C567">
        <v>135.4375</v>
      </c>
      <c r="D567">
        <v>-6.1875</v>
      </c>
      <c r="E567">
        <v>14</v>
      </c>
      <c r="F567" t="s">
        <v>1640</v>
      </c>
    </row>
    <row r="568" spans="1:6">
      <c r="A568" t="s">
        <v>1653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1640</v>
      </c>
    </row>
    <row r="569" spans="1:6">
      <c r="A569" t="s">
        <v>1654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1640</v>
      </c>
    </row>
    <row r="570" spans="1:6">
      <c r="A570" t="s">
        <v>1656</v>
      </c>
      <c r="B570">
        <v>569</v>
      </c>
      <c r="C570">
        <v>135.4375</v>
      </c>
      <c r="D570">
        <v>6.1875</v>
      </c>
      <c r="E570">
        <v>14</v>
      </c>
      <c r="F570" t="s">
        <v>1640</v>
      </c>
    </row>
    <row r="571" spans="1:6">
      <c r="A571" t="s">
        <v>1657</v>
      </c>
      <c r="B571">
        <v>570</v>
      </c>
      <c r="C571">
        <v>135.4375</v>
      </c>
      <c r="D571">
        <v>6.1875</v>
      </c>
      <c r="E571">
        <v>14</v>
      </c>
      <c r="F571" t="s">
        <v>1640</v>
      </c>
    </row>
    <row r="572" spans="1:6">
      <c r="A572" t="s">
        <v>1659</v>
      </c>
      <c r="B572">
        <v>571</v>
      </c>
      <c r="C572">
        <v>136.423254473306</v>
      </c>
      <c r="D572">
        <v>-6.1875</v>
      </c>
      <c r="E572">
        <v>14</v>
      </c>
      <c r="F572" t="s">
        <v>1640</v>
      </c>
    </row>
    <row r="573" spans="1:6">
      <c r="A573" t="s">
        <v>1660</v>
      </c>
      <c r="B573">
        <v>572</v>
      </c>
      <c r="C573">
        <v>136.423254473306</v>
      </c>
      <c r="D573">
        <v>-6.1875</v>
      </c>
      <c r="E573">
        <v>14</v>
      </c>
      <c r="F573" t="s">
        <v>1640</v>
      </c>
    </row>
    <row r="574" spans="1:6">
      <c r="A574" t="s">
        <v>1662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1640</v>
      </c>
    </row>
    <row r="575" spans="1:6">
      <c r="A575" t="s">
        <v>1663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1640</v>
      </c>
    </row>
    <row r="576" spans="1:6">
      <c r="A576" t="s">
        <v>1665</v>
      </c>
      <c r="B576">
        <v>575</v>
      </c>
      <c r="C576">
        <v>136.423254473306</v>
      </c>
      <c r="D576">
        <v>6.1875</v>
      </c>
      <c r="E576">
        <v>14</v>
      </c>
      <c r="F576" t="s">
        <v>1640</v>
      </c>
    </row>
    <row r="577" spans="1:6">
      <c r="A577" t="s">
        <v>1666</v>
      </c>
      <c r="B577">
        <v>576</v>
      </c>
      <c r="C577">
        <v>136.423254473306</v>
      </c>
      <c r="D577">
        <v>6.1875</v>
      </c>
      <c r="E577">
        <v>14</v>
      </c>
      <c r="F577" t="s">
        <v>1640</v>
      </c>
    </row>
    <row r="578" spans="1:6">
      <c r="A578" t="s">
        <v>1668</v>
      </c>
      <c r="B578">
        <v>577</v>
      </c>
      <c r="C578">
        <v>138.71946570321501</v>
      </c>
      <c r="D578">
        <v>-6.1875</v>
      </c>
      <c r="E578">
        <v>14</v>
      </c>
      <c r="F578" t="s">
        <v>1640</v>
      </c>
    </row>
    <row r="579" spans="1:6">
      <c r="A579" t="s">
        <v>1669</v>
      </c>
      <c r="B579">
        <v>578</v>
      </c>
      <c r="C579">
        <v>138.71946570321501</v>
      </c>
      <c r="D579">
        <v>-6.1875</v>
      </c>
      <c r="E579">
        <v>14</v>
      </c>
      <c r="F579" t="s">
        <v>1640</v>
      </c>
    </row>
    <row r="580" spans="1:6">
      <c r="A580" t="s">
        <v>1671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1640</v>
      </c>
    </row>
    <row r="581" spans="1:6">
      <c r="A581" t="s">
        <v>1672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1640</v>
      </c>
    </row>
    <row r="582" spans="1:6">
      <c r="A582" t="s">
        <v>1674</v>
      </c>
      <c r="B582">
        <v>581</v>
      </c>
      <c r="C582">
        <v>138.71946570321501</v>
      </c>
      <c r="D582">
        <v>6.1875</v>
      </c>
      <c r="E582">
        <v>14</v>
      </c>
      <c r="F582" t="s">
        <v>1640</v>
      </c>
    </row>
    <row r="583" spans="1:6">
      <c r="A583" t="s">
        <v>1675</v>
      </c>
      <c r="B583">
        <v>582</v>
      </c>
      <c r="C583">
        <v>138.71946570321501</v>
      </c>
      <c r="D583">
        <v>6.1875</v>
      </c>
      <c r="E583">
        <v>14</v>
      </c>
      <c r="F583" t="s">
        <v>1640</v>
      </c>
    </row>
    <row r="584" spans="1:6">
      <c r="A584" t="s">
        <v>1677</v>
      </c>
      <c r="B584">
        <v>583</v>
      </c>
      <c r="C584">
        <v>142.26489040201</v>
      </c>
      <c r="D584">
        <v>-6.1875</v>
      </c>
      <c r="E584">
        <v>14</v>
      </c>
      <c r="F584" t="s">
        <v>1640</v>
      </c>
    </row>
    <row r="585" spans="1:6">
      <c r="A585" t="s">
        <v>1678</v>
      </c>
      <c r="B585">
        <v>584</v>
      </c>
      <c r="C585">
        <v>142.26489040201</v>
      </c>
      <c r="D585">
        <v>-6.1875</v>
      </c>
      <c r="E585">
        <v>14</v>
      </c>
      <c r="F585" t="s">
        <v>1640</v>
      </c>
    </row>
    <row r="586" spans="1:6">
      <c r="A586" t="s">
        <v>1680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1640</v>
      </c>
    </row>
    <row r="587" spans="1:6">
      <c r="A587" t="s">
        <v>1681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1640</v>
      </c>
    </row>
    <row r="588" spans="1:6">
      <c r="A588" t="s">
        <v>1683</v>
      </c>
      <c r="B588">
        <v>587</v>
      </c>
      <c r="C588">
        <v>142.26489040201</v>
      </c>
      <c r="D588">
        <v>6.1875</v>
      </c>
      <c r="E588">
        <v>14</v>
      </c>
      <c r="F588" t="s">
        <v>1640</v>
      </c>
    </row>
    <row r="589" spans="1:6">
      <c r="A589" t="s">
        <v>1684</v>
      </c>
      <c r="B589">
        <v>588</v>
      </c>
      <c r="C589">
        <v>142.26489040201</v>
      </c>
      <c r="D589">
        <v>6.1875</v>
      </c>
      <c r="E589">
        <v>14</v>
      </c>
      <c r="F589" t="s">
        <v>1640</v>
      </c>
    </row>
    <row r="590" spans="1:6">
      <c r="A590" t="s">
        <v>1686</v>
      </c>
      <c r="B590">
        <v>589</v>
      </c>
      <c r="C590">
        <v>146.97614105622901</v>
      </c>
      <c r="D590">
        <v>-6.1875</v>
      </c>
      <c r="E590">
        <v>14</v>
      </c>
      <c r="F590" t="s">
        <v>1640</v>
      </c>
    </row>
    <row r="591" spans="1:6">
      <c r="A591" t="s">
        <v>1687</v>
      </c>
      <c r="B591">
        <v>590</v>
      </c>
      <c r="C591">
        <v>146.97614105622901</v>
      </c>
      <c r="D591">
        <v>-6.1875</v>
      </c>
      <c r="E591">
        <v>14</v>
      </c>
      <c r="F591" t="s">
        <v>1640</v>
      </c>
    </row>
    <row r="592" spans="1:6">
      <c r="A592" t="s">
        <v>1689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1640</v>
      </c>
    </row>
    <row r="593" spans="1:6">
      <c r="A593" t="s">
        <v>1690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1640</v>
      </c>
    </row>
    <row r="594" spans="1:6">
      <c r="A594" t="s">
        <v>1692</v>
      </c>
      <c r="B594">
        <v>593</v>
      </c>
      <c r="C594">
        <v>146.97614105622901</v>
      </c>
      <c r="D594">
        <v>6.1875</v>
      </c>
      <c r="E594">
        <v>14</v>
      </c>
      <c r="F594" t="s">
        <v>1640</v>
      </c>
    </row>
    <row r="595" spans="1:6">
      <c r="A595" t="s">
        <v>1693</v>
      </c>
      <c r="B595">
        <v>594</v>
      </c>
      <c r="C595">
        <v>146.97614105622901</v>
      </c>
      <c r="D595">
        <v>6.1875</v>
      </c>
      <c r="E595">
        <v>14</v>
      </c>
      <c r="F595" t="s">
        <v>1640</v>
      </c>
    </row>
    <row r="596" spans="1:6">
      <c r="A596" t="s">
        <v>1695</v>
      </c>
      <c r="B596">
        <v>595</v>
      </c>
      <c r="C596">
        <v>152.74273883835599</v>
      </c>
      <c r="D596">
        <v>-6.1875</v>
      </c>
      <c r="E596">
        <v>14</v>
      </c>
      <c r="F596" t="s">
        <v>1640</v>
      </c>
    </row>
    <row r="597" spans="1:6">
      <c r="A597" t="s">
        <v>1696</v>
      </c>
      <c r="B597">
        <v>596</v>
      </c>
      <c r="C597">
        <v>152.74273883835599</v>
      </c>
      <c r="D597">
        <v>-6.1875</v>
      </c>
      <c r="E597">
        <v>14</v>
      </c>
      <c r="F597" t="s">
        <v>1640</v>
      </c>
    </row>
    <row r="598" spans="1:6">
      <c r="A598" t="s">
        <v>1698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1640</v>
      </c>
    </row>
    <row r="599" spans="1:6">
      <c r="A599" t="s">
        <v>1699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1640</v>
      </c>
    </row>
    <row r="600" spans="1:6">
      <c r="A600" t="s">
        <v>1701</v>
      </c>
      <c r="B600">
        <v>599</v>
      </c>
      <c r="C600">
        <v>152.74273883835599</v>
      </c>
      <c r="D600">
        <v>6.1875</v>
      </c>
      <c r="E600">
        <v>14</v>
      </c>
      <c r="F600" t="s">
        <v>1640</v>
      </c>
    </row>
    <row r="601" spans="1:6">
      <c r="A601" t="s">
        <v>1702</v>
      </c>
      <c r="B601">
        <v>600</v>
      </c>
      <c r="C601">
        <v>152.74273883835599</v>
      </c>
      <c r="D601">
        <v>6.1875</v>
      </c>
      <c r="E601">
        <v>14</v>
      </c>
      <c r="F601" t="s">
        <v>1640</v>
      </c>
    </row>
    <row r="602" spans="1:6">
      <c r="A602" t="s">
        <v>1704</v>
      </c>
      <c r="B602">
        <v>601</v>
      </c>
      <c r="C602">
        <v>159.42950474769</v>
      </c>
      <c r="D602">
        <v>-6.1875</v>
      </c>
      <c r="E602">
        <v>14</v>
      </c>
      <c r="F602" t="s">
        <v>1640</v>
      </c>
    </row>
    <row r="603" spans="1:6">
      <c r="A603" t="s">
        <v>1705</v>
      </c>
      <c r="B603">
        <v>602</v>
      </c>
      <c r="C603">
        <v>159.42950474769</v>
      </c>
      <c r="D603">
        <v>-6.1875</v>
      </c>
      <c r="E603">
        <v>14</v>
      </c>
      <c r="F603" t="s">
        <v>1640</v>
      </c>
    </row>
    <row r="604" spans="1:6">
      <c r="A604" t="s">
        <v>1707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1640</v>
      </c>
    </row>
    <row r="605" spans="1:6">
      <c r="A605" t="s">
        <v>1708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1640</v>
      </c>
    </row>
    <row r="606" spans="1:6">
      <c r="A606" t="s">
        <v>1710</v>
      </c>
      <c r="B606">
        <v>605</v>
      </c>
      <c r="C606">
        <v>159.42950474769</v>
      </c>
      <c r="D606">
        <v>6.1875</v>
      </c>
      <c r="E606">
        <v>14</v>
      </c>
      <c r="F606" t="s">
        <v>1640</v>
      </c>
    </row>
    <row r="607" spans="1:6">
      <c r="A607" t="s">
        <v>1711</v>
      </c>
      <c r="B607">
        <v>606</v>
      </c>
      <c r="C607">
        <v>159.42950474769</v>
      </c>
      <c r="D607">
        <v>6.1875</v>
      </c>
      <c r="E607">
        <v>14</v>
      </c>
      <c r="F607" t="s">
        <v>1640</v>
      </c>
    </row>
    <row r="608" spans="1:6">
      <c r="A608" t="s">
        <v>1713</v>
      </c>
      <c r="B608">
        <v>607</v>
      </c>
      <c r="C608">
        <v>166.87970100828099</v>
      </c>
      <c r="D608">
        <v>-6.1875</v>
      </c>
      <c r="E608">
        <v>14</v>
      </c>
      <c r="F608" t="s">
        <v>1640</v>
      </c>
    </row>
    <row r="609" spans="1:6">
      <c r="A609" t="s">
        <v>1714</v>
      </c>
      <c r="B609">
        <v>608</v>
      </c>
      <c r="C609">
        <v>166.87970100828099</v>
      </c>
      <c r="D609">
        <v>-6.1875</v>
      </c>
      <c r="E609">
        <v>14</v>
      </c>
      <c r="F609" t="s">
        <v>1640</v>
      </c>
    </row>
    <row r="610" spans="1:6">
      <c r="A610" t="s">
        <v>1716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1640</v>
      </c>
    </row>
    <row r="611" spans="1:6">
      <c r="A611" t="s">
        <v>1717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1640</v>
      </c>
    </row>
    <row r="612" spans="1:6">
      <c r="A612" t="s">
        <v>1719</v>
      </c>
      <c r="B612">
        <v>611</v>
      </c>
      <c r="C612">
        <v>166.87970100828099</v>
      </c>
      <c r="D612">
        <v>6.1875</v>
      </c>
      <c r="E612">
        <v>14</v>
      </c>
      <c r="F612" t="s">
        <v>1640</v>
      </c>
    </row>
    <row r="613" spans="1:6">
      <c r="A613" t="s">
        <v>1720</v>
      </c>
      <c r="B613">
        <v>612</v>
      </c>
      <c r="C613">
        <v>166.87970100828099</v>
      </c>
      <c r="D613">
        <v>6.1875</v>
      </c>
      <c r="E613">
        <v>14</v>
      </c>
      <c r="F613" t="s">
        <v>1640</v>
      </c>
    </row>
    <row r="614" spans="1:6">
      <c r="A614" t="s">
        <v>1722</v>
      </c>
      <c r="B614">
        <v>613</v>
      </c>
      <c r="C614">
        <v>174.91869874122301</v>
      </c>
      <c r="D614">
        <v>-6.1875</v>
      </c>
      <c r="E614">
        <v>14</v>
      </c>
      <c r="F614" t="s">
        <v>1640</v>
      </c>
    </row>
    <row r="615" spans="1:6">
      <c r="A615" t="s">
        <v>1723</v>
      </c>
      <c r="B615">
        <v>614</v>
      </c>
      <c r="C615">
        <v>174.91869874122301</v>
      </c>
      <c r="D615">
        <v>-6.1875</v>
      </c>
      <c r="E615">
        <v>14</v>
      </c>
      <c r="F615" t="s">
        <v>1640</v>
      </c>
    </row>
    <row r="616" spans="1:6">
      <c r="A616" t="s">
        <v>1725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1640</v>
      </c>
    </row>
    <row r="617" spans="1:6">
      <c r="A617" t="s">
        <v>1726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1640</v>
      </c>
    </row>
    <row r="618" spans="1:6">
      <c r="A618" t="s">
        <v>1728</v>
      </c>
      <c r="B618">
        <v>617</v>
      </c>
      <c r="C618">
        <v>174.91869874122301</v>
      </c>
      <c r="D618">
        <v>6.1875</v>
      </c>
      <c r="E618">
        <v>14</v>
      </c>
      <c r="F618" t="s">
        <v>1640</v>
      </c>
    </row>
    <row r="619" spans="1:6">
      <c r="A619" t="s">
        <v>1729</v>
      </c>
      <c r="B619">
        <v>618</v>
      </c>
      <c r="C619">
        <v>174.91869874122301</v>
      </c>
      <c r="D619">
        <v>6.1875</v>
      </c>
      <c r="E619">
        <v>14</v>
      </c>
      <c r="F619" t="s">
        <v>1640</v>
      </c>
    </row>
    <row r="620" spans="1:6">
      <c r="A620" t="s">
        <v>1731</v>
      </c>
      <c r="B620">
        <v>619</v>
      </c>
      <c r="C620">
        <v>183.35806926243899</v>
      </c>
      <c r="D620">
        <v>-6.1875</v>
      </c>
      <c r="E620">
        <v>14</v>
      </c>
      <c r="F620" t="s">
        <v>1640</v>
      </c>
    </row>
    <row r="621" spans="1:6">
      <c r="A621" t="s">
        <v>1732</v>
      </c>
      <c r="B621">
        <v>620</v>
      </c>
      <c r="C621">
        <v>183.35806926243899</v>
      </c>
      <c r="D621">
        <v>-6.1875</v>
      </c>
      <c r="E621">
        <v>14</v>
      </c>
      <c r="F621" t="s">
        <v>1640</v>
      </c>
    </row>
    <row r="622" spans="1:6">
      <c r="A622" t="s">
        <v>1734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1640</v>
      </c>
    </row>
    <row r="623" spans="1:6">
      <c r="A623" t="s">
        <v>1735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1640</v>
      </c>
    </row>
    <row r="624" spans="1:6">
      <c r="A624" t="s">
        <v>1737</v>
      </c>
      <c r="B624">
        <v>623</v>
      </c>
      <c r="C624">
        <v>183.35806926243899</v>
      </c>
      <c r="D624">
        <v>6.1875</v>
      </c>
      <c r="E624">
        <v>14</v>
      </c>
      <c r="F624" t="s">
        <v>1640</v>
      </c>
    </row>
    <row r="625" spans="1:6">
      <c r="A625" t="s">
        <v>1738</v>
      </c>
      <c r="B625">
        <v>624</v>
      </c>
      <c r="C625">
        <v>183.35806926243899</v>
      </c>
      <c r="D625">
        <v>6.1875</v>
      </c>
      <c r="E625">
        <v>14</v>
      </c>
      <c r="F625" t="s">
        <v>1640</v>
      </c>
    </row>
    <row r="626" spans="1:6">
      <c r="A626" t="s">
        <v>1740</v>
      </c>
      <c r="B626">
        <v>625</v>
      </c>
      <c r="C626">
        <v>192</v>
      </c>
      <c r="D626">
        <v>-6.1875</v>
      </c>
      <c r="E626">
        <v>14</v>
      </c>
      <c r="F626" t="s">
        <v>1640</v>
      </c>
    </row>
    <row r="627" spans="1:6">
      <c r="A627" t="s">
        <v>1741</v>
      </c>
      <c r="B627">
        <v>626</v>
      </c>
      <c r="C627">
        <v>192</v>
      </c>
      <c r="D627">
        <v>-6.1875</v>
      </c>
      <c r="E627">
        <v>14</v>
      </c>
      <c r="F627" t="s">
        <v>1640</v>
      </c>
    </row>
    <row r="628" spans="1:6">
      <c r="A628" t="s">
        <v>1743</v>
      </c>
      <c r="B628">
        <v>627</v>
      </c>
      <c r="C628">
        <v>192</v>
      </c>
      <c r="D628" s="12">
        <v>-5.0766214920526102E-14</v>
      </c>
      <c r="E628">
        <v>14</v>
      </c>
      <c r="F628" t="s">
        <v>1640</v>
      </c>
    </row>
    <row r="629" spans="1:6">
      <c r="A629" t="s">
        <v>1745</v>
      </c>
      <c r="B629">
        <v>628</v>
      </c>
      <c r="C629">
        <v>192</v>
      </c>
      <c r="D629">
        <v>6.1875</v>
      </c>
      <c r="E629">
        <v>14</v>
      </c>
      <c r="F629" t="s">
        <v>1640</v>
      </c>
    </row>
    <row r="630" spans="1:6">
      <c r="A630" t="s">
        <v>1746</v>
      </c>
      <c r="B630">
        <v>629</v>
      </c>
      <c r="C630">
        <v>192</v>
      </c>
      <c r="D630">
        <v>6.1875</v>
      </c>
      <c r="E630">
        <v>14</v>
      </c>
      <c r="F630" t="s">
        <v>1640</v>
      </c>
    </row>
    <row r="631" spans="1:6">
      <c r="A631" t="s">
        <v>1748</v>
      </c>
      <c r="B631">
        <v>630</v>
      </c>
      <c r="C631">
        <v>200.64193073756101</v>
      </c>
      <c r="D631">
        <v>-6.1875</v>
      </c>
      <c r="E631">
        <v>14</v>
      </c>
      <c r="F631" t="s">
        <v>1640</v>
      </c>
    </row>
    <row r="632" spans="1:6">
      <c r="A632" t="s">
        <v>1749</v>
      </c>
      <c r="B632">
        <v>631</v>
      </c>
      <c r="C632">
        <v>200.64193073756101</v>
      </c>
      <c r="D632">
        <v>-6.1875</v>
      </c>
      <c r="E632">
        <v>14</v>
      </c>
      <c r="F632" t="s">
        <v>1640</v>
      </c>
    </row>
    <row r="633" spans="1:6">
      <c r="A633" t="s">
        <v>1751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1640</v>
      </c>
    </row>
    <row r="634" spans="1:6">
      <c r="A634" t="s">
        <v>1752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1640</v>
      </c>
    </row>
    <row r="635" spans="1:6">
      <c r="A635" t="s">
        <v>1754</v>
      </c>
      <c r="B635">
        <v>634</v>
      </c>
      <c r="C635">
        <v>200.64193073756101</v>
      </c>
      <c r="D635">
        <v>6.1875</v>
      </c>
      <c r="E635">
        <v>14</v>
      </c>
      <c r="F635" t="s">
        <v>1640</v>
      </c>
    </row>
    <row r="636" spans="1:6">
      <c r="A636" t="s">
        <v>1755</v>
      </c>
      <c r="B636">
        <v>635</v>
      </c>
      <c r="C636">
        <v>200.64193073756101</v>
      </c>
      <c r="D636">
        <v>6.1875</v>
      </c>
      <c r="E636">
        <v>14</v>
      </c>
      <c r="F636" t="s">
        <v>1640</v>
      </c>
    </row>
    <row r="637" spans="1:6">
      <c r="A637" t="s">
        <v>1757</v>
      </c>
      <c r="B637">
        <v>636</v>
      </c>
      <c r="C637">
        <v>209.08130125877699</v>
      </c>
      <c r="D637">
        <v>-6.1875</v>
      </c>
      <c r="E637">
        <v>14</v>
      </c>
      <c r="F637" t="s">
        <v>1640</v>
      </c>
    </row>
    <row r="638" spans="1:6">
      <c r="A638" t="s">
        <v>1758</v>
      </c>
      <c r="B638">
        <v>637</v>
      </c>
      <c r="C638">
        <v>209.08130125877699</v>
      </c>
      <c r="D638">
        <v>-6.1875</v>
      </c>
      <c r="E638">
        <v>14</v>
      </c>
      <c r="F638" t="s">
        <v>1640</v>
      </c>
    </row>
    <row r="639" spans="1:6">
      <c r="A639" t="s">
        <v>1760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1640</v>
      </c>
    </row>
    <row r="640" spans="1:6">
      <c r="A640" t="s">
        <v>1761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1640</v>
      </c>
    </row>
    <row r="641" spans="1:6">
      <c r="A641" t="s">
        <v>1763</v>
      </c>
      <c r="B641">
        <v>640</v>
      </c>
      <c r="C641">
        <v>209.08130125877699</v>
      </c>
      <c r="D641">
        <v>6.1875</v>
      </c>
      <c r="E641">
        <v>14</v>
      </c>
      <c r="F641" t="s">
        <v>1640</v>
      </c>
    </row>
    <row r="642" spans="1:6">
      <c r="A642" t="s">
        <v>1764</v>
      </c>
      <c r="B642">
        <v>641</v>
      </c>
      <c r="C642">
        <v>209.08130125877699</v>
      </c>
      <c r="D642">
        <v>6.1875</v>
      </c>
      <c r="E642">
        <v>14</v>
      </c>
      <c r="F642" t="s">
        <v>1640</v>
      </c>
    </row>
    <row r="643" spans="1:6">
      <c r="A643" t="s">
        <v>1766</v>
      </c>
      <c r="B643">
        <v>642</v>
      </c>
      <c r="C643">
        <v>217.12029899171901</v>
      </c>
      <c r="D643">
        <v>-6.1875</v>
      </c>
      <c r="E643">
        <v>14</v>
      </c>
      <c r="F643" t="s">
        <v>1640</v>
      </c>
    </row>
    <row r="644" spans="1:6">
      <c r="A644" t="s">
        <v>1767</v>
      </c>
      <c r="B644">
        <v>643</v>
      </c>
      <c r="C644">
        <v>217.12029899171901</v>
      </c>
      <c r="D644">
        <v>-6.1875</v>
      </c>
      <c r="E644">
        <v>14</v>
      </c>
      <c r="F644" t="s">
        <v>1640</v>
      </c>
    </row>
    <row r="645" spans="1:6">
      <c r="A645" t="s">
        <v>1769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1640</v>
      </c>
    </row>
    <row r="646" spans="1:6">
      <c r="A646" t="s">
        <v>1770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1640</v>
      </c>
    </row>
    <row r="647" spans="1:6">
      <c r="A647" t="s">
        <v>1772</v>
      </c>
      <c r="B647">
        <v>646</v>
      </c>
      <c r="C647">
        <v>217.12029899171901</v>
      </c>
      <c r="D647">
        <v>6.1875</v>
      </c>
      <c r="E647">
        <v>14</v>
      </c>
      <c r="F647" t="s">
        <v>1640</v>
      </c>
    </row>
    <row r="648" spans="1:6">
      <c r="A648" t="s">
        <v>1773</v>
      </c>
      <c r="B648">
        <v>647</v>
      </c>
      <c r="C648">
        <v>217.12029899171901</v>
      </c>
      <c r="D648">
        <v>6.1875</v>
      </c>
      <c r="E648">
        <v>14</v>
      </c>
      <c r="F648" t="s">
        <v>1640</v>
      </c>
    </row>
    <row r="649" spans="1:6">
      <c r="A649" t="s">
        <v>1775</v>
      </c>
      <c r="B649">
        <v>648</v>
      </c>
      <c r="C649">
        <v>224.57049525231</v>
      </c>
      <c r="D649">
        <v>-6.1875</v>
      </c>
      <c r="E649">
        <v>14</v>
      </c>
      <c r="F649" t="s">
        <v>1640</v>
      </c>
    </row>
    <row r="650" spans="1:6">
      <c r="A650" t="s">
        <v>1776</v>
      </c>
      <c r="B650">
        <v>649</v>
      </c>
      <c r="C650">
        <v>224.57049525231</v>
      </c>
      <c r="D650">
        <v>-6.1875</v>
      </c>
      <c r="E650">
        <v>14</v>
      </c>
      <c r="F650" t="s">
        <v>1640</v>
      </c>
    </row>
    <row r="651" spans="1:6">
      <c r="A651" t="s">
        <v>1778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1640</v>
      </c>
    </row>
    <row r="652" spans="1:6">
      <c r="A652" t="s">
        <v>1779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1640</v>
      </c>
    </row>
    <row r="653" spans="1:6">
      <c r="A653" t="s">
        <v>1781</v>
      </c>
      <c r="B653">
        <v>652</v>
      </c>
      <c r="C653">
        <v>224.57049525231</v>
      </c>
      <c r="D653">
        <v>6.1875</v>
      </c>
      <c r="E653">
        <v>14</v>
      </c>
      <c r="F653" t="s">
        <v>1640</v>
      </c>
    </row>
    <row r="654" spans="1:6">
      <c r="A654" t="s">
        <v>1782</v>
      </c>
      <c r="B654">
        <v>653</v>
      </c>
      <c r="C654">
        <v>224.57049525231</v>
      </c>
      <c r="D654">
        <v>6.1875</v>
      </c>
      <c r="E654">
        <v>14</v>
      </c>
      <c r="F654" t="s">
        <v>1640</v>
      </c>
    </row>
    <row r="655" spans="1:6">
      <c r="A655" t="s">
        <v>1784</v>
      </c>
      <c r="B655">
        <v>654</v>
      </c>
      <c r="C655">
        <v>231.25726116164401</v>
      </c>
      <c r="D655">
        <v>-6.1875</v>
      </c>
      <c r="E655">
        <v>14</v>
      </c>
      <c r="F655" t="s">
        <v>1640</v>
      </c>
    </row>
    <row r="656" spans="1:6">
      <c r="A656" t="s">
        <v>1785</v>
      </c>
      <c r="B656">
        <v>655</v>
      </c>
      <c r="C656">
        <v>231.25726116164401</v>
      </c>
      <c r="D656">
        <v>-6.1875</v>
      </c>
      <c r="E656">
        <v>14</v>
      </c>
      <c r="F656" t="s">
        <v>1640</v>
      </c>
    </row>
    <row r="657" spans="1:6">
      <c r="A657" t="s">
        <v>1787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1640</v>
      </c>
    </row>
    <row r="658" spans="1:6">
      <c r="A658" t="s">
        <v>1788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1640</v>
      </c>
    </row>
    <row r="659" spans="1:6">
      <c r="A659" t="s">
        <v>1790</v>
      </c>
      <c r="B659">
        <v>658</v>
      </c>
      <c r="C659">
        <v>231.25726116164401</v>
      </c>
      <c r="D659">
        <v>6.1875</v>
      </c>
      <c r="E659">
        <v>14</v>
      </c>
      <c r="F659" t="s">
        <v>1640</v>
      </c>
    </row>
    <row r="660" spans="1:6">
      <c r="A660" t="s">
        <v>1791</v>
      </c>
      <c r="B660">
        <v>659</v>
      </c>
      <c r="C660">
        <v>231.25726116164401</v>
      </c>
      <c r="D660">
        <v>6.1875</v>
      </c>
      <c r="E660">
        <v>14</v>
      </c>
      <c r="F660" t="s">
        <v>1640</v>
      </c>
    </row>
    <row r="661" spans="1:6">
      <c r="A661" t="s">
        <v>1793</v>
      </c>
      <c r="B661">
        <v>660</v>
      </c>
      <c r="C661">
        <v>237.02385894377099</v>
      </c>
      <c r="D661">
        <v>-6.1875</v>
      </c>
      <c r="E661">
        <v>14</v>
      </c>
      <c r="F661" t="s">
        <v>1640</v>
      </c>
    </row>
    <row r="662" spans="1:6">
      <c r="A662" t="s">
        <v>1794</v>
      </c>
      <c r="B662">
        <v>661</v>
      </c>
      <c r="C662">
        <v>237.02385894377099</v>
      </c>
      <c r="D662">
        <v>-6.1875</v>
      </c>
      <c r="E662">
        <v>14</v>
      </c>
      <c r="F662" t="s">
        <v>1640</v>
      </c>
    </row>
    <row r="663" spans="1:6">
      <c r="A663" t="s">
        <v>1796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1640</v>
      </c>
    </row>
    <row r="664" spans="1:6">
      <c r="A664" t="s">
        <v>1797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1640</v>
      </c>
    </row>
    <row r="665" spans="1:6">
      <c r="A665" t="s">
        <v>1799</v>
      </c>
      <c r="B665">
        <v>664</v>
      </c>
      <c r="C665">
        <v>237.02385894377099</v>
      </c>
      <c r="D665">
        <v>6.1875</v>
      </c>
      <c r="E665">
        <v>14</v>
      </c>
      <c r="F665" t="s">
        <v>1640</v>
      </c>
    </row>
    <row r="666" spans="1:6">
      <c r="A666" t="s">
        <v>1800</v>
      </c>
      <c r="B666">
        <v>665</v>
      </c>
      <c r="C666">
        <v>237.02385894377099</v>
      </c>
      <c r="D666">
        <v>6.1875</v>
      </c>
      <c r="E666">
        <v>14</v>
      </c>
      <c r="F666" t="s">
        <v>1640</v>
      </c>
    </row>
    <row r="667" spans="1:6">
      <c r="A667" t="s">
        <v>1802</v>
      </c>
      <c r="B667">
        <v>666</v>
      </c>
      <c r="C667">
        <v>241.73510959799</v>
      </c>
      <c r="D667">
        <v>-6.1875</v>
      </c>
      <c r="E667">
        <v>14</v>
      </c>
      <c r="F667" t="s">
        <v>1640</v>
      </c>
    </row>
    <row r="668" spans="1:6">
      <c r="A668" t="s">
        <v>1803</v>
      </c>
      <c r="B668">
        <v>667</v>
      </c>
      <c r="C668">
        <v>241.73510959799</v>
      </c>
      <c r="D668">
        <v>-6.1875</v>
      </c>
      <c r="E668">
        <v>14</v>
      </c>
      <c r="F668" t="s">
        <v>1640</v>
      </c>
    </row>
    <row r="669" spans="1:6">
      <c r="A669" t="s">
        <v>1805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1640</v>
      </c>
    </row>
    <row r="670" spans="1:6">
      <c r="A670" t="s">
        <v>1806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1640</v>
      </c>
    </row>
    <row r="671" spans="1:6">
      <c r="A671" t="s">
        <v>1808</v>
      </c>
      <c r="B671">
        <v>670</v>
      </c>
      <c r="C671">
        <v>241.73510959799</v>
      </c>
      <c r="D671">
        <v>6.1875</v>
      </c>
      <c r="E671">
        <v>14</v>
      </c>
      <c r="F671" t="s">
        <v>1640</v>
      </c>
    </row>
    <row r="672" spans="1:6">
      <c r="A672" t="s">
        <v>1809</v>
      </c>
      <c r="B672">
        <v>671</v>
      </c>
      <c r="C672">
        <v>241.73510959799</v>
      </c>
      <c r="D672">
        <v>6.1875</v>
      </c>
      <c r="E672">
        <v>14</v>
      </c>
      <c r="F672" t="s">
        <v>1640</v>
      </c>
    </row>
    <row r="673" spans="1:6">
      <c r="A673" t="s">
        <v>1811</v>
      </c>
      <c r="B673">
        <v>672</v>
      </c>
      <c r="C673">
        <v>245.28053429678499</v>
      </c>
      <c r="D673">
        <v>-6.1875</v>
      </c>
      <c r="E673">
        <v>14</v>
      </c>
      <c r="F673" t="s">
        <v>1640</v>
      </c>
    </row>
    <row r="674" spans="1:6">
      <c r="A674" t="s">
        <v>1812</v>
      </c>
      <c r="B674">
        <v>673</v>
      </c>
      <c r="C674">
        <v>245.28053429678499</v>
      </c>
      <c r="D674">
        <v>-6.1875</v>
      </c>
      <c r="E674">
        <v>14</v>
      </c>
      <c r="F674" t="s">
        <v>1640</v>
      </c>
    </row>
    <row r="675" spans="1:6">
      <c r="A675" t="s">
        <v>1814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1640</v>
      </c>
    </row>
    <row r="676" spans="1:6">
      <c r="A676" t="s">
        <v>1815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1640</v>
      </c>
    </row>
    <row r="677" spans="1:6">
      <c r="A677" t="s">
        <v>1817</v>
      </c>
      <c r="B677">
        <v>676</v>
      </c>
      <c r="C677">
        <v>245.28053429678499</v>
      </c>
      <c r="D677">
        <v>6.1875</v>
      </c>
      <c r="E677">
        <v>14</v>
      </c>
      <c r="F677" t="s">
        <v>1640</v>
      </c>
    </row>
    <row r="678" spans="1:6">
      <c r="A678" t="s">
        <v>1818</v>
      </c>
      <c r="B678">
        <v>677</v>
      </c>
      <c r="C678">
        <v>245.28053429678499</v>
      </c>
      <c r="D678">
        <v>6.1875</v>
      </c>
      <c r="E678">
        <v>14</v>
      </c>
      <c r="F678" t="s">
        <v>1640</v>
      </c>
    </row>
    <row r="679" spans="1:6">
      <c r="A679" t="s">
        <v>1820</v>
      </c>
      <c r="B679">
        <v>678</v>
      </c>
      <c r="C679">
        <v>247.576745526694</v>
      </c>
      <c r="D679">
        <v>-6.1875</v>
      </c>
      <c r="E679">
        <v>14</v>
      </c>
      <c r="F679" t="s">
        <v>1640</v>
      </c>
    </row>
    <row r="680" spans="1:6">
      <c r="A680" t="s">
        <v>1821</v>
      </c>
      <c r="B680">
        <v>679</v>
      </c>
      <c r="C680">
        <v>247.576745526694</v>
      </c>
      <c r="D680">
        <v>-6.1875</v>
      </c>
      <c r="E680">
        <v>14</v>
      </c>
      <c r="F680" t="s">
        <v>1640</v>
      </c>
    </row>
    <row r="681" spans="1:6">
      <c r="A681" t="s">
        <v>1823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1640</v>
      </c>
    </row>
    <row r="682" spans="1:6">
      <c r="A682" t="s">
        <v>1824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1640</v>
      </c>
    </row>
    <row r="683" spans="1:6">
      <c r="A683" t="s">
        <v>1826</v>
      </c>
      <c r="B683">
        <v>682</v>
      </c>
      <c r="C683">
        <v>247.576745526694</v>
      </c>
      <c r="D683">
        <v>6.1875</v>
      </c>
      <c r="E683">
        <v>14</v>
      </c>
      <c r="F683" t="s">
        <v>1640</v>
      </c>
    </row>
    <row r="684" spans="1:6">
      <c r="A684" t="s">
        <v>1827</v>
      </c>
      <c r="B684">
        <v>683</v>
      </c>
      <c r="C684">
        <v>247.576745526694</v>
      </c>
      <c r="D684">
        <v>6.1875</v>
      </c>
      <c r="E684">
        <v>14</v>
      </c>
      <c r="F684" t="s">
        <v>1640</v>
      </c>
    </row>
    <row r="685" spans="1:6">
      <c r="A685" t="s">
        <v>1829</v>
      </c>
      <c r="B685">
        <v>684</v>
      </c>
      <c r="C685">
        <v>248.5625</v>
      </c>
      <c r="D685">
        <v>-6.1875</v>
      </c>
      <c r="E685">
        <v>14</v>
      </c>
      <c r="F685" t="s">
        <v>1640</v>
      </c>
    </row>
    <row r="686" spans="1:6">
      <c r="A686" t="s">
        <v>1830</v>
      </c>
      <c r="B686">
        <v>685</v>
      </c>
      <c r="C686">
        <v>248.5625</v>
      </c>
      <c r="D686">
        <v>-6.1875</v>
      </c>
      <c r="E686">
        <v>14</v>
      </c>
      <c r="F686" t="s">
        <v>1640</v>
      </c>
    </row>
    <row r="687" spans="1:6">
      <c r="A687" t="s">
        <v>1832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1640</v>
      </c>
    </row>
    <row r="688" spans="1:6">
      <c r="A688" t="s">
        <v>1833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1640</v>
      </c>
    </row>
    <row r="689" spans="1:6">
      <c r="A689" t="s">
        <v>1835</v>
      </c>
      <c r="B689">
        <v>688</v>
      </c>
      <c r="C689">
        <v>248.5625</v>
      </c>
      <c r="D689">
        <v>6.1875</v>
      </c>
      <c r="E689">
        <v>14</v>
      </c>
      <c r="F689" t="s">
        <v>1640</v>
      </c>
    </row>
    <row r="690" spans="1:6">
      <c r="A690" t="s">
        <v>1836</v>
      </c>
      <c r="B690">
        <v>689</v>
      </c>
      <c r="C690">
        <v>248.5625</v>
      </c>
      <c r="D690">
        <v>6.1875</v>
      </c>
      <c r="E690">
        <v>14</v>
      </c>
      <c r="F690" t="s">
        <v>1640</v>
      </c>
    </row>
    <row r="691" spans="1:6">
      <c r="A691" t="s">
        <v>1644</v>
      </c>
      <c r="B691">
        <v>690</v>
      </c>
      <c r="C691">
        <v>-4.59375</v>
      </c>
      <c r="D691">
        <v>-110.5625</v>
      </c>
      <c r="E691">
        <v>14</v>
      </c>
      <c r="F691" t="s">
        <v>1640</v>
      </c>
    </row>
    <row r="692" spans="1:6">
      <c r="A692" t="s">
        <v>1645</v>
      </c>
      <c r="B692">
        <v>691</v>
      </c>
      <c r="C692">
        <v>-4.59375</v>
      </c>
      <c r="D692">
        <v>-110.5625</v>
      </c>
      <c r="E692">
        <v>14</v>
      </c>
      <c r="F692" t="s">
        <v>1640</v>
      </c>
    </row>
    <row r="693" spans="1:6">
      <c r="A693" t="s">
        <v>1838</v>
      </c>
      <c r="B693">
        <v>692</v>
      </c>
      <c r="C693">
        <v>-4.59375</v>
      </c>
      <c r="D693">
        <v>-109.681311747067</v>
      </c>
      <c r="E693">
        <v>14</v>
      </c>
      <c r="F693" t="s">
        <v>1640</v>
      </c>
    </row>
    <row r="694" spans="1:6">
      <c r="A694" t="s">
        <v>1839</v>
      </c>
      <c r="B694">
        <v>693</v>
      </c>
      <c r="C694">
        <v>-4.59375</v>
      </c>
      <c r="D694">
        <v>-109.681311747067</v>
      </c>
      <c r="E694">
        <v>14</v>
      </c>
      <c r="F694" t="s">
        <v>1640</v>
      </c>
    </row>
    <row r="695" spans="1:6">
      <c r="A695" t="s">
        <v>1841</v>
      </c>
      <c r="B695">
        <v>694</v>
      </c>
      <c r="C695">
        <v>-4.59375</v>
      </c>
      <c r="D695">
        <v>-107.628676515027</v>
      </c>
      <c r="E695">
        <v>14</v>
      </c>
      <c r="F695" t="s">
        <v>1640</v>
      </c>
    </row>
    <row r="696" spans="1:6">
      <c r="A696" t="s">
        <v>1842</v>
      </c>
      <c r="B696">
        <v>695</v>
      </c>
      <c r="C696">
        <v>-4.59375</v>
      </c>
      <c r="D696">
        <v>-107.628676515027</v>
      </c>
      <c r="E696">
        <v>14</v>
      </c>
      <c r="F696" t="s">
        <v>1640</v>
      </c>
    </row>
    <row r="697" spans="1:6">
      <c r="A697" t="s">
        <v>1844</v>
      </c>
      <c r="B697">
        <v>696</v>
      </c>
      <c r="C697">
        <v>-4.59375</v>
      </c>
      <c r="D697">
        <v>-104.45934106604901</v>
      </c>
      <c r="E697">
        <v>14</v>
      </c>
      <c r="F697" t="s">
        <v>1640</v>
      </c>
    </row>
    <row r="698" spans="1:6">
      <c r="A698" t="s">
        <v>1845</v>
      </c>
      <c r="B698">
        <v>697</v>
      </c>
      <c r="C698">
        <v>-4.59375</v>
      </c>
      <c r="D698">
        <v>-104.45934106604901</v>
      </c>
      <c r="E698">
        <v>14</v>
      </c>
      <c r="F698" t="s">
        <v>1640</v>
      </c>
    </row>
    <row r="699" spans="1:6">
      <c r="A699" t="s">
        <v>1847</v>
      </c>
      <c r="B699">
        <v>698</v>
      </c>
      <c r="C699">
        <v>-4.59375</v>
      </c>
      <c r="D699">
        <v>-100.24784738730401</v>
      </c>
      <c r="E699">
        <v>14</v>
      </c>
      <c r="F699" t="s">
        <v>1640</v>
      </c>
    </row>
    <row r="700" spans="1:6">
      <c r="A700" t="s">
        <v>1848</v>
      </c>
      <c r="B700">
        <v>699</v>
      </c>
      <c r="C700">
        <v>-4.59375</v>
      </c>
      <c r="D700">
        <v>-100.24784738730401</v>
      </c>
      <c r="E700">
        <v>14</v>
      </c>
      <c r="F700" t="s">
        <v>1640</v>
      </c>
    </row>
    <row r="701" spans="1:6">
      <c r="A701" t="s">
        <v>1850</v>
      </c>
      <c r="B701">
        <v>700</v>
      </c>
      <c r="C701">
        <v>-4.59375</v>
      </c>
      <c r="D701">
        <v>-95.092955005271094</v>
      </c>
      <c r="E701">
        <v>14</v>
      </c>
      <c r="F701" t="s">
        <v>1640</v>
      </c>
    </row>
    <row r="702" spans="1:6">
      <c r="A702" t="s">
        <v>1851</v>
      </c>
      <c r="B702">
        <v>701</v>
      </c>
      <c r="C702">
        <v>-4.59375</v>
      </c>
      <c r="D702">
        <v>-95.092955005271094</v>
      </c>
      <c r="E702">
        <v>14</v>
      </c>
      <c r="F702" t="s">
        <v>1640</v>
      </c>
    </row>
    <row r="703" spans="1:6">
      <c r="A703" t="s">
        <v>1853</v>
      </c>
      <c r="B703">
        <v>702</v>
      </c>
      <c r="C703">
        <v>-4.59375</v>
      </c>
      <c r="D703">
        <v>-89.115503490739002</v>
      </c>
      <c r="E703">
        <v>14</v>
      </c>
      <c r="F703" t="s">
        <v>1640</v>
      </c>
    </row>
    <row r="704" spans="1:6">
      <c r="A704" t="s">
        <v>1854</v>
      </c>
      <c r="B704">
        <v>703</v>
      </c>
      <c r="C704">
        <v>-4.59375</v>
      </c>
      <c r="D704">
        <v>-89.115503490739002</v>
      </c>
      <c r="E704">
        <v>14</v>
      </c>
      <c r="F704" t="s">
        <v>1640</v>
      </c>
    </row>
    <row r="705" spans="1:6">
      <c r="A705" t="s">
        <v>1856</v>
      </c>
      <c r="B705">
        <v>704</v>
      </c>
      <c r="C705">
        <v>-4.59375</v>
      </c>
      <c r="D705">
        <v>-82.455604292044697</v>
      </c>
      <c r="E705">
        <v>14</v>
      </c>
      <c r="F705" t="s">
        <v>1640</v>
      </c>
    </row>
    <row r="706" spans="1:6">
      <c r="A706" t="s">
        <v>1857</v>
      </c>
      <c r="B706">
        <v>705</v>
      </c>
      <c r="C706">
        <v>-4.59375</v>
      </c>
      <c r="D706">
        <v>-82.455604292044697</v>
      </c>
      <c r="E706">
        <v>14</v>
      </c>
      <c r="F706" t="s">
        <v>1640</v>
      </c>
    </row>
    <row r="707" spans="1:6">
      <c r="A707" t="s">
        <v>1859</v>
      </c>
      <c r="B707">
        <v>706</v>
      </c>
      <c r="C707">
        <v>-4.59375</v>
      </c>
      <c r="D707">
        <v>-75.269362119724306</v>
      </c>
      <c r="E707">
        <v>14</v>
      </c>
      <c r="F707" t="s">
        <v>1640</v>
      </c>
    </row>
    <row r="708" spans="1:6">
      <c r="A708" t="s">
        <v>1860</v>
      </c>
      <c r="B708">
        <v>707</v>
      </c>
      <c r="C708">
        <v>-4.59375</v>
      </c>
      <c r="D708">
        <v>-75.269362119724306</v>
      </c>
      <c r="E708">
        <v>14</v>
      </c>
      <c r="F708" t="s">
        <v>1640</v>
      </c>
    </row>
    <row r="709" spans="1:6">
      <c r="A709" t="s">
        <v>1862</v>
      </c>
      <c r="B709">
        <v>708</v>
      </c>
      <c r="C709">
        <v>-4.59375</v>
      </c>
      <c r="D709">
        <v>-67.725217642748106</v>
      </c>
      <c r="E709">
        <v>14</v>
      </c>
      <c r="F709" t="s">
        <v>1640</v>
      </c>
    </row>
    <row r="710" spans="1:6">
      <c r="A710" t="s">
        <v>1863</v>
      </c>
      <c r="B710">
        <v>709</v>
      </c>
      <c r="C710">
        <v>-4.59375</v>
      </c>
      <c r="D710">
        <v>-67.725217642748106</v>
      </c>
      <c r="E710">
        <v>14</v>
      </c>
      <c r="F710" t="s">
        <v>1640</v>
      </c>
    </row>
    <row r="711" spans="1:6">
      <c r="A711" t="s">
        <v>1865</v>
      </c>
      <c r="B711">
        <v>710</v>
      </c>
      <c r="C711">
        <v>-4.59375</v>
      </c>
      <c r="D711">
        <v>-60.000000000000398</v>
      </c>
      <c r="E711">
        <v>14</v>
      </c>
      <c r="F711" t="s">
        <v>1640</v>
      </c>
    </row>
    <row r="712" spans="1:6">
      <c r="A712" t="s">
        <v>1866</v>
      </c>
      <c r="B712">
        <v>711</v>
      </c>
      <c r="C712">
        <v>-4.59375</v>
      </c>
      <c r="D712">
        <v>-60.000000000000398</v>
      </c>
      <c r="E712">
        <v>14</v>
      </c>
      <c r="F712" t="s">
        <v>1640</v>
      </c>
    </row>
    <row r="713" spans="1:6">
      <c r="A713" t="s">
        <v>1868</v>
      </c>
      <c r="B713">
        <v>712</v>
      </c>
      <c r="C713">
        <v>-4.59375</v>
      </c>
      <c r="D713">
        <v>-52.274782357251901</v>
      </c>
      <c r="E713">
        <v>14</v>
      </c>
      <c r="F713" t="s">
        <v>1640</v>
      </c>
    </row>
    <row r="714" spans="1:6">
      <c r="A714" t="s">
        <v>1869</v>
      </c>
      <c r="B714">
        <v>713</v>
      </c>
      <c r="C714">
        <v>-4.59375</v>
      </c>
      <c r="D714">
        <v>-52.274782357251901</v>
      </c>
      <c r="E714">
        <v>14</v>
      </c>
      <c r="F714" t="s">
        <v>1640</v>
      </c>
    </row>
    <row r="715" spans="1:6">
      <c r="A715" t="s">
        <v>1871</v>
      </c>
      <c r="B715">
        <v>714</v>
      </c>
      <c r="C715">
        <v>-4.59375</v>
      </c>
      <c r="D715">
        <v>-44.730637880275701</v>
      </c>
      <c r="E715">
        <v>14</v>
      </c>
      <c r="F715" t="s">
        <v>1640</v>
      </c>
    </row>
    <row r="716" spans="1:6">
      <c r="A716" t="s">
        <v>1872</v>
      </c>
      <c r="B716">
        <v>715</v>
      </c>
      <c r="C716">
        <v>-4.59375</v>
      </c>
      <c r="D716">
        <v>-44.730637880275701</v>
      </c>
      <c r="E716">
        <v>14</v>
      </c>
      <c r="F716" t="s">
        <v>1640</v>
      </c>
    </row>
    <row r="717" spans="1:6">
      <c r="A717" t="s">
        <v>1874</v>
      </c>
      <c r="B717">
        <v>716</v>
      </c>
      <c r="C717">
        <v>-4.59375</v>
      </c>
      <c r="D717">
        <v>-37.544395707955303</v>
      </c>
      <c r="E717">
        <v>14</v>
      </c>
      <c r="F717" t="s">
        <v>1640</v>
      </c>
    </row>
    <row r="718" spans="1:6">
      <c r="A718" t="s">
        <v>1875</v>
      </c>
      <c r="B718">
        <v>717</v>
      </c>
      <c r="C718">
        <v>-4.59375</v>
      </c>
      <c r="D718">
        <v>-37.544395707955303</v>
      </c>
      <c r="E718">
        <v>14</v>
      </c>
      <c r="F718" t="s">
        <v>1640</v>
      </c>
    </row>
    <row r="719" spans="1:6">
      <c r="A719" t="s">
        <v>1877</v>
      </c>
      <c r="B719">
        <v>718</v>
      </c>
      <c r="C719">
        <v>-4.59375</v>
      </c>
      <c r="D719">
        <v>-30.884496509261002</v>
      </c>
      <c r="E719">
        <v>14</v>
      </c>
      <c r="F719" t="s">
        <v>1640</v>
      </c>
    </row>
    <row r="720" spans="1:6">
      <c r="A720" t="s">
        <v>1878</v>
      </c>
      <c r="B720">
        <v>719</v>
      </c>
      <c r="C720">
        <v>-4.59375</v>
      </c>
      <c r="D720">
        <v>-30.884496509261002</v>
      </c>
      <c r="E720">
        <v>14</v>
      </c>
      <c r="F720" t="s">
        <v>1640</v>
      </c>
    </row>
    <row r="721" spans="1:6">
      <c r="A721" t="s">
        <v>1880</v>
      </c>
      <c r="B721">
        <v>720</v>
      </c>
      <c r="C721">
        <v>-4.59375</v>
      </c>
      <c r="D721">
        <v>-24.907044994728899</v>
      </c>
      <c r="E721">
        <v>14</v>
      </c>
      <c r="F721" t="s">
        <v>1640</v>
      </c>
    </row>
    <row r="722" spans="1:6">
      <c r="A722" t="s">
        <v>1881</v>
      </c>
      <c r="B722">
        <v>721</v>
      </c>
      <c r="C722">
        <v>-4.59375</v>
      </c>
      <c r="D722">
        <v>-24.907044994728899</v>
      </c>
      <c r="E722">
        <v>14</v>
      </c>
      <c r="F722" t="s">
        <v>1640</v>
      </c>
    </row>
    <row r="723" spans="1:6">
      <c r="A723" t="s">
        <v>1883</v>
      </c>
      <c r="B723">
        <v>722</v>
      </c>
      <c r="C723">
        <v>-4.59375</v>
      </c>
      <c r="D723">
        <v>-19.7521526126955</v>
      </c>
      <c r="E723">
        <v>14</v>
      </c>
      <c r="F723" t="s">
        <v>1640</v>
      </c>
    </row>
    <row r="724" spans="1:6">
      <c r="A724" t="s">
        <v>1884</v>
      </c>
      <c r="B724">
        <v>723</v>
      </c>
      <c r="C724">
        <v>-4.59375</v>
      </c>
      <c r="D724">
        <v>-19.7521526126955</v>
      </c>
      <c r="E724">
        <v>14</v>
      </c>
      <c r="F724" t="s">
        <v>1640</v>
      </c>
    </row>
    <row r="725" spans="1:6">
      <c r="A725" t="s">
        <v>1886</v>
      </c>
      <c r="B725">
        <v>724</v>
      </c>
      <c r="C725">
        <v>-4.59375</v>
      </c>
      <c r="D725">
        <v>-15.5406589339512</v>
      </c>
      <c r="E725">
        <v>14</v>
      </c>
      <c r="F725" t="s">
        <v>1640</v>
      </c>
    </row>
    <row r="726" spans="1:6">
      <c r="A726" t="s">
        <v>1887</v>
      </c>
      <c r="B726">
        <v>725</v>
      </c>
      <c r="C726">
        <v>-4.59375</v>
      </c>
      <c r="D726">
        <v>-15.5406589339512</v>
      </c>
      <c r="E726">
        <v>14</v>
      </c>
      <c r="F726" t="s">
        <v>1640</v>
      </c>
    </row>
    <row r="727" spans="1:6">
      <c r="A727" t="s">
        <v>1889</v>
      </c>
      <c r="B727">
        <v>726</v>
      </c>
      <c r="C727">
        <v>-4.59375</v>
      </c>
      <c r="D727">
        <v>-12.3713234849732</v>
      </c>
      <c r="E727">
        <v>14</v>
      </c>
      <c r="F727" t="s">
        <v>1640</v>
      </c>
    </row>
    <row r="728" spans="1:6">
      <c r="A728" t="s">
        <v>1890</v>
      </c>
      <c r="B728">
        <v>727</v>
      </c>
      <c r="C728">
        <v>-4.59375</v>
      </c>
      <c r="D728">
        <v>-12.3713234849732</v>
      </c>
      <c r="E728">
        <v>14</v>
      </c>
      <c r="F728" t="s">
        <v>1640</v>
      </c>
    </row>
    <row r="729" spans="1:6">
      <c r="A729" t="s">
        <v>1892</v>
      </c>
      <c r="B729">
        <v>728</v>
      </c>
      <c r="C729">
        <v>-4.59375</v>
      </c>
      <c r="D729">
        <v>-10.3186882529328</v>
      </c>
      <c r="E729">
        <v>14</v>
      </c>
      <c r="F729" t="s">
        <v>1640</v>
      </c>
    </row>
    <row r="730" spans="1:6">
      <c r="A730" t="s">
        <v>1893</v>
      </c>
      <c r="B730">
        <v>729</v>
      </c>
      <c r="C730">
        <v>-4.59375</v>
      </c>
      <c r="D730">
        <v>-10.3186882529328</v>
      </c>
      <c r="E730">
        <v>14</v>
      </c>
      <c r="F730" t="s">
        <v>1640</v>
      </c>
    </row>
    <row r="731" spans="1:6">
      <c r="A731" t="s">
        <v>1895</v>
      </c>
      <c r="B731">
        <v>730</v>
      </c>
      <c r="C731">
        <v>-4.59375</v>
      </c>
      <c r="D731">
        <v>-9.4375</v>
      </c>
      <c r="E731">
        <v>14</v>
      </c>
      <c r="F731" t="s">
        <v>1640</v>
      </c>
    </row>
    <row r="732" spans="1:6">
      <c r="A732" t="s">
        <v>1896</v>
      </c>
      <c r="B732">
        <v>731</v>
      </c>
      <c r="C732">
        <v>-4.59375</v>
      </c>
      <c r="D732">
        <v>-9.4375</v>
      </c>
      <c r="E732">
        <v>14</v>
      </c>
      <c r="F732" t="s">
        <v>1640</v>
      </c>
    </row>
    <row r="733" spans="1:6">
      <c r="A733" t="s">
        <v>1898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1640</v>
      </c>
    </row>
    <row r="734" spans="1:6">
      <c r="A734" t="s">
        <v>1899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1640</v>
      </c>
    </row>
    <row r="735" spans="1:6">
      <c r="A735" t="s">
        <v>1901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1640</v>
      </c>
    </row>
    <row r="736" spans="1:6">
      <c r="A736" t="s">
        <v>1902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1640</v>
      </c>
    </row>
    <row r="737" spans="1:6">
      <c r="A737" t="s">
        <v>1904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1640</v>
      </c>
    </row>
    <row r="738" spans="1:6">
      <c r="A738" t="s">
        <v>1905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1640</v>
      </c>
    </row>
    <row r="739" spans="1:6">
      <c r="A739" t="s">
        <v>1907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1640</v>
      </c>
    </row>
    <row r="740" spans="1:6">
      <c r="A740" t="s">
        <v>1908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1640</v>
      </c>
    </row>
    <row r="741" spans="1:6">
      <c r="A741" t="s">
        <v>1910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1640</v>
      </c>
    </row>
    <row r="742" spans="1:6">
      <c r="A742" t="s">
        <v>1911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1640</v>
      </c>
    </row>
    <row r="743" spans="1:6">
      <c r="A743" t="s">
        <v>1913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1640</v>
      </c>
    </row>
    <row r="744" spans="1:6">
      <c r="A744" t="s">
        <v>1914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1640</v>
      </c>
    </row>
    <row r="745" spans="1:6">
      <c r="A745" t="s">
        <v>1916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1640</v>
      </c>
    </row>
    <row r="746" spans="1:6">
      <c r="A746" t="s">
        <v>1917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1640</v>
      </c>
    </row>
    <row r="747" spans="1:6">
      <c r="A747" t="s">
        <v>1919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1640</v>
      </c>
    </row>
    <row r="748" spans="1:6">
      <c r="A748" t="s">
        <v>1920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1640</v>
      </c>
    </row>
    <row r="749" spans="1:6">
      <c r="A749" t="s">
        <v>1922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1640</v>
      </c>
    </row>
    <row r="750" spans="1:6">
      <c r="A750" t="s">
        <v>1923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1640</v>
      </c>
    </row>
    <row r="751" spans="1:6">
      <c r="A751" t="s">
        <v>1925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1640</v>
      </c>
    </row>
    <row r="752" spans="1:6">
      <c r="A752" t="s">
        <v>1926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1640</v>
      </c>
    </row>
    <row r="753" spans="1:6">
      <c r="A753" t="s">
        <v>1928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1640</v>
      </c>
    </row>
    <row r="754" spans="1:6">
      <c r="A754" t="s">
        <v>1930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1640</v>
      </c>
    </row>
    <row r="755" spans="1:6">
      <c r="A755" t="s">
        <v>1931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1640</v>
      </c>
    </row>
    <row r="756" spans="1:6">
      <c r="A756" t="s">
        <v>1933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1640</v>
      </c>
    </row>
    <row r="757" spans="1:6">
      <c r="A757" t="s">
        <v>1934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1640</v>
      </c>
    </row>
    <row r="758" spans="1:6">
      <c r="A758" t="s">
        <v>1936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1640</v>
      </c>
    </row>
    <row r="759" spans="1:6">
      <c r="A759" t="s">
        <v>1937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1640</v>
      </c>
    </row>
    <row r="760" spans="1:6">
      <c r="A760" t="s">
        <v>1939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1640</v>
      </c>
    </row>
    <row r="761" spans="1:6">
      <c r="A761" t="s">
        <v>1940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1640</v>
      </c>
    </row>
    <row r="762" spans="1:6">
      <c r="A762" t="s">
        <v>1942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1640</v>
      </c>
    </row>
    <row r="763" spans="1:6">
      <c r="A763" t="s">
        <v>1943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1640</v>
      </c>
    </row>
    <row r="764" spans="1:6">
      <c r="A764" t="s">
        <v>1945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1640</v>
      </c>
    </row>
    <row r="765" spans="1:6">
      <c r="A765" t="s">
        <v>1946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1640</v>
      </c>
    </row>
    <row r="766" spans="1:6">
      <c r="A766" t="s">
        <v>1948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1640</v>
      </c>
    </row>
    <row r="767" spans="1:6">
      <c r="A767" t="s">
        <v>1949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1640</v>
      </c>
    </row>
    <row r="768" spans="1:6">
      <c r="A768" t="s">
        <v>1951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1640</v>
      </c>
    </row>
    <row r="769" spans="1:6">
      <c r="A769" t="s">
        <v>1952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1640</v>
      </c>
    </row>
    <row r="770" spans="1:6">
      <c r="A770" t="s">
        <v>1954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1640</v>
      </c>
    </row>
    <row r="771" spans="1:6">
      <c r="A771" t="s">
        <v>1955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1640</v>
      </c>
    </row>
    <row r="772" spans="1:6">
      <c r="A772" t="s">
        <v>1957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1640</v>
      </c>
    </row>
    <row r="773" spans="1:6">
      <c r="A773" t="s">
        <v>1958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1640</v>
      </c>
    </row>
    <row r="774" spans="1:6">
      <c r="A774" t="s">
        <v>1960</v>
      </c>
      <c r="B774">
        <v>773</v>
      </c>
      <c r="C774">
        <v>4.59375</v>
      </c>
      <c r="D774">
        <v>-110.5625</v>
      </c>
      <c r="E774">
        <v>14</v>
      </c>
      <c r="F774" t="s">
        <v>1640</v>
      </c>
    </row>
    <row r="775" spans="1:6">
      <c r="A775" t="s">
        <v>1961</v>
      </c>
      <c r="B775">
        <v>774</v>
      </c>
      <c r="C775">
        <v>4.59375</v>
      </c>
      <c r="D775">
        <v>-110.5625</v>
      </c>
      <c r="E775">
        <v>14</v>
      </c>
      <c r="F775" t="s">
        <v>1640</v>
      </c>
    </row>
    <row r="776" spans="1:6">
      <c r="A776" t="s">
        <v>1963</v>
      </c>
      <c r="B776">
        <v>775</v>
      </c>
      <c r="C776">
        <v>4.59375</v>
      </c>
      <c r="D776">
        <v>-109.681311747067</v>
      </c>
      <c r="E776">
        <v>14</v>
      </c>
      <c r="F776" t="s">
        <v>1640</v>
      </c>
    </row>
    <row r="777" spans="1:6">
      <c r="A777" t="s">
        <v>1964</v>
      </c>
      <c r="B777">
        <v>776</v>
      </c>
      <c r="C777">
        <v>4.59375</v>
      </c>
      <c r="D777">
        <v>-109.681311747067</v>
      </c>
      <c r="E777">
        <v>14</v>
      </c>
      <c r="F777" t="s">
        <v>1640</v>
      </c>
    </row>
    <row r="778" spans="1:6">
      <c r="A778" t="s">
        <v>1966</v>
      </c>
      <c r="B778">
        <v>777</v>
      </c>
      <c r="C778">
        <v>4.59375</v>
      </c>
      <c r="D778">
        <v>-107.628676515027</v>
      </c>
      <c r="E778">
        <v>14</v>
      </c>
      <c r="F778" t="s">
        <v>1640</v>
      </c>
    </row>
    <row r="779" spans="1:6">
      <c r="A779" t="s">
        <v>1967</v>
      </c>
      <c r="B779">
        <v>778</v>
      </c>
      <c r="C779">
        <v>4.59375</v>
      </c>
      <c r="D779">
        <v>-107.628676515027</v>
      </c>
      <c r="E779">
        <v>14</v>
      </c>
      <c r="F779" t="s">
        <v>1640</v>
      </c>
    </row>
    <row r="780" spans="1:6">
      <c r="A780" t="s">
        <v>1969</v>
      </c>
      <c r="B780">
        <v>779</v>
      </c>
      <c r="C780">
        <v>4.59375</v>
      </c>
      <c r="D780">
        <v>-104.45934106604901</v>
      </c>
      <c r="E780">
        <v>14</v>
      </c>
      <c r="F780" t="s">
        <v>1640</v>
      </c>
    </row>
    <row r="781" spans="1:6">
      <c r="A781" t="s">
        <v>1970</v>
      </c>
      <c r="B781">
        <v>780</v>
      </c>
      <c r="C781">
        <v>4.59375</v>
      </c>
      <c r="D781">
        <v>-104.45934106604901</v>
      </c>
      <c r="E781">
        <v>14</v>
      </c>
      <c r="F781" t="s">
        <v>1640</v>
      </c>
    </row>
    <row r="782" spans="1:6">
      <c r="A782" t="s">
        <v>1972</v>
      </c>
      <c r="B782">
        <v>781</v>
      </c>
      <c r="C782">
        <v>4.59375</v>
      </c>
      <c r="D782">
        <v>-100.24784738730401</v>
      </c>
      <c r="E782">
        <v>14</v>
      </c>
      <c r="F782" t="s">
        <v>1640</v>
      </c>
    </row>
    <row r="783" spans="1:6">
      <c r="A783" t="s">
        <v>1973</v>
      </c>
      <c r="B783">
        <v>782</v>
      </c>
      <c r="C783">
        <v>4.59375</v>
      </c>
      <c r="D783">
        <v>-100.24784738730401</v>
      </c>
      <c r="E783">
        <v>14</v>
      </c>
      <c r="F783" t="s">
        <v>1640</v>
      </c>
    </row>
    <row r="784" spans="1:6">
      <c r="A784" t="s">
        <v>1975</v>
      </c>
      <c r="B784">
        <v>783</v>
      </c>
      <c r="C784">
        <v>4.59375</v>
      </c>
      <c r="D784">
        <v>-95.092955005271094</v>
      </c>
      <c r="E784">
        <v>14</v>
      </c>
      <c r="F784" t="s">
        <v>1640</v>
      </c>
    </row>
    <row r="785" spans="1:6">
      <c r="A785" t="s">
        <v>1976</v>
      </c>
      <c r="B785">
        <v>784</v>
      </c>
      <c r="C785">
        <v>4.59375</v>
      </c>
      <c r="D785">
        <v>-95.092955005271094</v>
      </c>
      <c r="E785">
        <v>14</v>
      </c>
      <c r="F785" t="s">
        <v>1640</v>
      </c>
    </row>
    <row r="786" spans="1:6">
      <c r="A786" t="s">
        <v>1978</v>
      </c>
      <c r="B786">
        <v>785</v>
      </c>
      <c r="C786">
        <v>4.59375</v>
      </c>
      <c r="D786">
        <v>-89.115503490739002</v>
      </c>
      <c r="E786">
        <v>14</v>
      </c>
      <c r="F786" t="s">
        <v>1640</v>
      </c>
    </row>
    <row r="787" spans="1:6">
      <c r="A787" t="s">
        <v>1979</v>
      </c>
      <c r="B787">
        <v>786</v>
      </c>
      <c r="C787">
        <v>4.59375</v>
      </c>
      <c r="D787">
        <v>-89.115503490739002</v>
      </c>
      <c r="E787">
        <v>14</v>
      </c>
      <c r="F787" t="s">
        <v>1640</v>
      </c>
    </row>
    <row r="788" spans="1:6">
      <c r="A788" t="s">
        <v>1981</v>
      </c>
      <c r="B788">
        <v>787</v>
      </c>
      <c r="C788">
        <v>4.59375</v>
      </c>
      <c r="D788">
        <v>-82.455604292044697</v>
      </c>
      <c r="E788">
        <v>14</v>
      </c>
      <c r="F788" t="s">
        <v>1640</v>
      </c>
    </row>
    <row r="789" spans="1:6">
      <c r="A789" t="s">
        <v>1982</v>
      </c>
      <c r="B789">
        <v>788</v>
      </c>
      <c r="C789">
        <v>4.59375</v>
      </c>
      <c r="D789">
        <v>-82.455604292044697</v>
      </c>
      <c r="E789">
        <v>14</v>
      </c>
      <c r="F789" t="s">
        <v>1640</v>
      </c>
    </row>
    <row r="790" spans="1:6">
      <c r="A790" t="s">
        <v>1984</v>
      </c>
      <c r="B790">
        <v>789</v>
      </c>
      <c r="C790">
        <v>4.59375</v>
      </c>
      <c r="D790">
        <v>-75.269362119724306</v>
      </c>
      <c r="E790">
        <v>14</v>
      </c>
      <c r="F790" t="s">
        <v>1640</v>
      </c>
    </row>
    <row r="791" spans="1:6">
      <c r="A791" t="s">
        <v>1985</v>
      </c>
      <c r="B791">
        <v>790</v>
      </c>
      <c r="C791">
        <v>4.59375</v>
      </c>
      <c r="D791">
        <v>-75.269362119724306</v>
      </c>
      <c r="E791">
        <v>14</v>
      </c>
      <c r="F791" t="s">
        <v>1640</v>
      </c>
    </row>
    <row r="792" spans="1:6">
      <c r="A792" t="s">
        <v>1987</v>
      </c>
      <c r="B792">
        <v>791</v>
      </c>
      <c r="C792">
        <v>4.59375</v>
      </c>
      <c r="D792">
        <v>-67.725217642748106</v>
      </c>
      <c r="E792">
        <v>14</v>
      </c>
      <c r="F792" t="s">
        <v>1640</v>
      </c>
    </row>
    <row r="793" spans="1:6">
      <c r="A793" t="s">
        <v>1988</v>
      </c>
      <c r="B793">
        <v>792</v>
      </c>
      <c r="C793">
        <v>4.59375</v>
      </c>
      <c r="D793">
        <v>-67.725217642748106</v>
      </c>
      <c r="E793">
        <v>14</v>
      </c>
      <c r="F793" t="s">
        <v>1640</v>
      </c>
    </row>
    <row r="794" spans="1:6">
      <c r="A794" t="s">
        <v>1990</v>
      </c>
      <c r="B794">
        <v>793</v>
      </c>
      <c r="C794">
        <v>4.59375</v>
      </c>
      <c r="D794">
        <v>-60.000000000000398</v>
      </c>
      <c r="E794">
        <v>14</v>
      </c>
      <c r="F794" t="s">
        <v>1640</v>
      </c>
    </row>
    <row r="795" spans="1:6">
      <c r="A795" t="s">
        <v>1991</v>
      </c>
      <c r="B795">
        <v>794</v>
      </c>
      <c r="C795">
        <v>4.59375</v>
      </c>
      <c r="D795">
        <v>-60.000000000000398</v>
      </c>
      <c r="E795">
        <v>14</v>
      </c>
      <c r="F795" t="s">
        <v>1640</v>
      </c>
    </row>
    <row r="796" spans="1:6">
      <c r="A796" t="s">
        <v>1993</v>
      </c>
      <c r="B796">
        <v>795</v>
      </c>
      <c r="C796">
        <v>4.59375</v>
      </c>
      <c r="D796">
        <v>-52.274782357251901</v>
      </c>
      <c r="E796">
        <v>14</v>
      </c>
      <c r="F796" t="s">
        <v>1640</v>
      </c>
    </row>
    <row r="797" spans="1:6">
      <c r="A797" t="s">
        <v>1994</v>
      </c>
      <c r="B797">
        <v>796</v>
      </c>
      <c r="C797">
        <v>4.59375</v>
      </c>
      <c r="D797">
        <v>-52.274782357251901</v>
      </c>
      <c r="E797">
        <v>14</v>
      </c>
      <c r="F797" t="s">
        <v>1640</v>
      </c>
    </row>
    <row r="798" spans="1:6">
      <c r="A798" t="s">
        <v>1996</v>
      </c>
      <c r="B798">
        <v>797</v>
      </c>
      <c r="C798">
        <v>4.59375</v>
      </c>
      <c r="D798">
        <v>-44.730637880275701</v>
      </c>
      <c r="E798">
        <v>14</v>
      </c>
      <c r="F798" t="s">
        <v>1640</v>
      </c>
    </row>
    <row r="799" spans="1:6">
      <c r="A799" t="s">
        <v>1997</v>
      </c>
      <c r="B799">
        <v>798</v>
      </c>
      <c r="C799">
        <v>4.59375</v>
      </c>
      <c r="D799">
        <v>-44.730637880275701</v>
      </c>
      <c r="E799">
        <v>14</v>
      </c>
      <c r="F799" t="s">
        <v>1640</v>
      </c>
    </row>
    <row r="800" spans="1:6">
      <c r="A800" t="s">
        <v>1999</v>
      </c>
      <c r="B800">
        <v>799</v>
      </c>
      <c r="C800">
        <v>4.59375</v>
      </c>
      <c r="D800">
        <v>-37.544395707955303</v>
      </c>
      <c r="E800">
        <v>14</v>
      </c>
      <c r="F800" t="s">
        <v>1640</v>
      </c>
    </row>
    <row r="801" spans="1:6">
      <c r="A801" t="s">
        <v>2000</v>
      </c>
      <c r="B801">
        <v>800</v>
      </c>
      <c r="C801">
        <v>4.59375</v>
      </c>
      <c r="D801">
        <v>-37.544395707955303</v>
      </c>
      <c r="E801">
        <v>14</v>
      </c>
      <c r="F801" t="s">
        <v>1640</v>
      </c>
    </row>
    <row r="802" spans="1:6">
      <c r="A802" t="s">
        <v>2002</v>
      </c>
      <c r="B802">
        <v>801</v>
      </c>
      <c r="C802">
        <v>4.59375</v>
      </c>
      <c r="D802">
        <v>-30.884496509261002</v>
      </c>
      <c r="E802">
        <v>14</v>
      </c>
      <c r="F802" t="s">
        <v>1640</v>
      </c>
    </row>
    <row r="803" spans="1:6">
      <c r="A803" t="s">
        <v>2003</v>
      </c>
      <c r="B803">
        <v>802</v>
      </c>
      <c r="C803">
        <v>4.59375</v>
      </c>
      <c r="D803">
        <v>-30.884496509261002</v>
      </c>
      <c r="E803">
        <v>14</v>
      </c>
      <c r="F803" t="s">
        <v>1640</v>
      </c>
    </row>
    <row r="804" spans="1:6">
      <c r="A804" t="s">
        <v>2005</v>
      </c>
      <c r="B804">
        <v>803</v>
      </c>
      <c r="C804">
        <v>4.59375</v>
      </c>
      <c r="D804">
        <v>-24.907044994728899</v>
      </c>
      <c r="E804">
        <v>14</v>
      </c>
      <c r="F804" t="s">
        <v>1640</v>
      </c>
    </row>
    <row r="805" spans="1:6">
      <c r="A805" t="s">
        <v>2006</v>
      </c>
      <c r="B805">
        <v>804</v>
      </c>
      <c r="C805">
        <v>4.59375</v>
      </c>
      <c r="D805">
        <v>-24.907044994728899</v>
      </c>
      <c r="E805">
        <v>14</v>
      </c>
      <c r="F805" t="s">
        <v>1640</v>
      </c>
    </row>
    <row r="806" spans="1:6">
      <c r="A806" t="s">
        <v>2008</v>
      </c>
      <c r="B806">
        <v>805</v>
      </c>
      <c r="C806">
        <v>4.59375</v>
      </c>
      <c r="D806">
        <v>-19.7521526126955</v>
      </c>
      <c r="E806">
        <v>14</v>
      </c>
      <c r="F806" t="s">
        <v>1640</v>
      </c>
    </row>
    <row r="807" spans="1:6">
      <c r="A807" t="s">
        <v>2009</v>
      </c>
      <c r="B807">
        <v>806</v>
      </c>
      <c r="C807">
        <v>4.59375</v>
      </c>
      <c r="D807">
        <v>-19.7521526126955</v>
      </c>
      <c r="E807">
        <v>14</v>
      </c>
      <c r="F807" t="s">
        <v>1640</v>
      </c>
    </row>
    <row r="808" spans="1:6">
      <c r="A808" t="s">
        <v>2011</v>
      </c>
      <c r="B808">
        <v>807</v>
      </c>
      <c r="C808">
        <v>4.59375</v>
      </c>
      <c r="D808">
        <v>-15.5406589339512</v>
      </c>
      <c r="E808">
        <v>14</v>
      </c>
      <c r="F808" t="s">
        <v>1640</v>
      </c>
    </row>
    <row r="809" spans="1:6">
      <c r="A809" t="s">
        <v>2012</v>
      </c>
      <c r="B809">
        <v>808</v>
      </c>
      <c r="C809">
        <v>4.59375</v>
      </c>
      <c r="D809">
        <v>-15.5406589339512</v>
      </c>
      <c r="E809">
        <v>14</v>
      </c>
      <c r="F809" t="s">
        <v>1640</v>
      </c>
    </row>
    <row r="810" spans="1:6">
      <c r="A810" t="s">
        <v>2014</v>
      </c>
      <c r="B810">
        <v>809</v>
      </c>
      <c r="C810">
        <v>4.59375</v>
      </c>
      <c r="D810">
        <v>-12.3713234849732</v>
      </c>
      <c r="E810">
        <v>14</v>
      </c>
      <c r="F810" t="s">
        <v>1640</v>
      </c>
    </row>
    <row r="811" spans="1:6">
      <c r="A811" t="s">
        <v>2015</v>
      </c>
      <c r="B811">
        <v>810</v>
      </c>
      <c r="C811">
        <v>4.59375</v>
      </c>
      <c r="D811">
        <v>-12.3713234849732</v>
      </c>
      <c r="E811">
        <v>14</v>
      </c>
      <c r="F811" t="s">
        <v>1640</v>
      </c>
    </row>
    <row r="812" spans="1:6">
      <c r="A812" t="s">
        <v>2017</v>
      </c>
      <c r="B812">
        <v>811</v>
      </c>
      <c r="C812">
        <v>4.59375</v>
      </c>
      <c r="D812">
        <v>-10.3186882529328</v>
      </c>
      <c r="E812">
        <v>14</v>
      </c>
      <c r="F812" t="s">
        <v>1640</v>
      </c>
    </row>
    <row r="813" spans="1:6">
      <c r="A813" t="s">
        <v>2018</v>
      </c>
      <c r="B813">
        <v>812</v>
      </c>
      <c r="C813">
        <v>4.59375</v>
      </c>
      <c r="D813">
        <v>-10.3186882529328</v>
      </c>
      <c r="E813">
        <v>14</v>
      </c>
      <c r="F813" t="s">
        <v>1640</v>
      </c>
    </row>
    <row r="814" spans="1:6">
      <c r="A814" t="s">
        <v>2020</v>
      </c>
      <c r="B814">
        <v>813</v>
      </c>
      <c r="C814">
        <v>4.59375</v>
      </c>
      <c r="D814">
        <v>-9.4375</v>
      </c>
      <c r="E814">
        <v>14</v>
      </c>
      <c r="F814" t="s">
        <v>1640</v>
      </c>
    </row>
    <row r="815" spans="1:6">
      <c r="A815" t="s">
        <v>2021</v>
      </c>
      <c r="B815">
        <v>814</v>
      </c>
      <c r="C815">
        <v>4.59375</v>
      </c>
      <c r="D815">
        <v>-9.4375</v>
      </c>
      <c r="E815">
        <v>14</v>
      </c>
      <c r="F815" t="s">
        <v>1640</v>
      </c>
    </row>
    <row r="816" spans="1:6">
      <c r="A816" t="s">
        <v>1647</v>
      </c>
      <c r="B816">
        <v>815</v>
      </c>
      <c r="C816">
        <v>379.40625</v>
      </c>
      <c r="D816">
        <v>-110.5625</v>
      </c>
      <c r="E816">
        <v>14</v>
      </c>
      <c r="F816" t="s">
        <v>1640</v>
      </c>
    </row>
    <row r="817" spans="1:6">
      <c r="A817" t="s">
        <v>1648</v>
      </c>
      <c r="B817">
        <v>816</v>
      </c>
      <c r="C817">
        <v>379.40625</v>
      </c>
      <c r="D817">
        <v>-110.5625</v>
      </c>
      <c r="E817">
        <v>14</v>
      </c>
      <c r="F817" t="s">
        <v>1640</v>
      </c>
    </row>
    <row r="818" spans="1:6">
      <c r="A818" t="s">
        <v>2023</v>
      </c>
      <c r="B818">
        <v>817</v>
      </c>
      <c r="C818">
        <v>379.40625</v>
      </c>
      <c r="D818">
        <v>-109.681311747067</v>
      </c>
      <c r="E818">
        <v>14</v>
      </c>
      <c r="F818" t="s">
        <v>1640</v>
      </c>
    </row>
    <row r="819" spans="1:6">
      <c r="A819" t="s">
        <v>2024</v>
      </c>
      <c r="B819">
        <v>818</v>
      </c>
      <c r="C819">
        <v>379.40625</v>
      </c>
      <c r="D819">
        <v>-109.681311747067</v>
      </c>
      <c r="E819">
        <v>14</v>
      </c>
      <c r="F819" t="s">
        <v>1640</v>
      </c>
    </row>
    <row r="820" spans="1:6">
      <c r="A820" t="s">
        <v>2026</v>
      </c>
      <c r="B820">
        <v>819</v>
      </c>
      <c r="C820">
        <v>379.40625</v>
      </c>
      <c r="D820">
        <v>-107.628676515027</v>
      </c>
      <c r="E820">
        <v>14</v>
      </c>
      <c r="F820" t="s">
        <v>1640</v>
      </c>
    </row>
    <row r="821" spans="1:6">
      <c r="A821" t="s">
        <v>2027</v>
      </c>
      <c r="B821">
        <v>820</v>
      </c>
      <c r="C821">
        <v>379.40625</v>
      </c>
      <c r="D821">
        <v>-107.628676515027</v>
      </c>
      <c r="E821">
        <v>14</v>
      </c>
      <c r="F821" t="s">
        <v>1640</v>
      </c>
    </row>
    <row r="822" spans="1:6">
      <c r="A822" t="s">
        <v>2029</v>
      </c>
      <c r="B822">
        <v>821</v>
      </c>
      <c r="C822">
        <v>379.40625</v>
      </c>
      <c r="D822">
        <v>-104.45934106604901</v>
      </c>
      <c r="E822">
        <v>14</v>
      </c>
      <c r="F822" t="s">
        <v>1640</v>
      </c>
    </row>
    <row r="823" spans="1:6">
      <c r="A823" t="s">
        <v>2030</v>
      </c>
      <c r="B823">
        <v>822</v>
      </c>
      <c r="C823">
        <v>379.40625</v>
      </c>
      <c r="D823">
        <v>-104.45934106604901</v>
      </c>
      <c r="E823">
        <v>14</v>
      </c>
      <c r="F823" t="s">
        <v>1640</v>
      </c>
    </row>
    <row r="824" spans="1:6">
      <c r="A824" t="s">
        <v>2032</v>
      </c>
      <c r="B824">
        <v>823</v>
      </c>
      <c r="C824">
        <v>379.40625</v>
      </c>
      <c r="D824">
        <v>-100.24784738730401</v>
      </c>
      <c r="E824">
        <v>14</v>
      </c>
      <c r="F824" t="s">
        <v>1640</v>
      </c>
    </row>
    <row r="825" spans="1:6">
      <c r="A825" t="s">
        <v>2033</v>
      </c>
      <c r="B825">
        <v>824</v>
      </c>
      <c r="C825">
        <v>379.40625</v>
      </c>
      <c r="D825">
        <v>-100.24784738730401</v>
      </c>
      <c r="E825">
        <v>14</v>
      </c>
      <c r="F825" t="s">
        <v>1640</v>
      </c>
    </row>
    <row r="826" spans="1:6">
      <c r="A826" t="s">
        <v>2035</v>
      </c>
      <c r="B826">
        <v>825</v>
      </c>
      <c r="C826">
        <v>379.40625</v>
      </c>
      <c r="D826">
        <v>-95.092955005271094</v>
      </c>
      <c r="E826">
        <v>14</v>
      </c>
      <c r="F826" t="s">
        <v>1640</v>
      </c>
    </row>
    <row r="827" spans="1:6">
      <c r="A827" t="s">
        <v>2036</v>
      </c>
      <c r="B827">
        <v>826</v>
      </c>
      <c r="C827">
        <v>379.40625</v>
      </c>
      <c r="D827">
        <v>-95.092955005271094</v>
      </c>
      <c r="E827">
        <v>14</v>
      </c>
      <c r="F827" t="s">
        <v>1640</v>
      </c>
    </row>
    <row r="828" spans="1:6">
      <c r="A828" t="s">
        <v>2038</v>
      </c>
      <c r="B828">
        <v>827</v>
      </c>
      <c r="C828">
        <v>379.40625</v>
      </c>
      <c r="D828">
        <v>-89.115503490739002</v>
      </c>
      <c r="E828">
        <v>14</v>
      </c>
      <c r="F828" t="s">
        <v>1640</v>
      </c>
    </row>
    <row r="829" spans="1:6">
      <c r="A829" t="s">
        <v>2039</v>
      </c>
      <c r="B829">
        <v>828</v>
      </c>
      <c r="C829">
        <v>379.40625</v>
      </c>
      <c r="D829">
        <v>-89.115503490739002</v>
      </c>
      <c r="E829">
        <v>14</v>
      </c>
      <c r="F829" t="s">
        <v>1640</v>
      </c>
    </row>
    <row r="830" spans="1:6">
      <c r="A830" t="s">
        <v>2041</v>
      </c>
      <c r="B830">
        <v>829</v>
      </c>
      <c r="C830">
        <v>379.40625</v>
      </c>
      <c r="D830">
        <v>-82.455604292044697</v>
      </c>
      <c r="E830">
        <v>14</v>
      </c>
      <c r="F830" t="s">
        <v>1640</v>
      </c>
    </row>
    <row r="831" spans="1:6">
      <c r="A831" t="s">
        <v>2042</v>
      </c>
      <c r="B831">
        <v>830</v>
      </c>
      <c r="C831">
        <v>379.40625</v>
      </c>
      <c r="D831">
        <v>-82.455604292044697</v>
      </c>
      <c r="E831">
        <v>14</v>
      </c>
      <c r="F831" t="s">
        <v>1640</v>
      </c>
    </row>
    <row r="832" spans="1:6">
      <c r="A832" t="s">
        <v>2044</v>
      </c>
      <c r="B832">
        <v>831</v>
      </c>
      <c r="C832">
        <v>379.40625</v>
      </c>
      <c r="D832">
        <v>-75.269362119724306</v>
      </c>
      <c r="E832">
        <v>14</v>
      </c>
      <c r="F832" t="s">
        <v>1640</v>
      </c>
    </row>
    <row r="833" spans="1:6">
      <c r="A833" t="s">
        <v>2045</v>
      </c>
      <c r="B833">
        <v>832</v>
      </c>
      <c r="C833">
        <v>379.40625</v>
      </c>
      <c r="D833">
        <v>-75.269362119724306</v>
      </c>
      <c r="E833">
        <v>14</v>
      </c>
      <c r="F833" t="s">
        <v>1640</v>
      </c>
    </row>
    <row r="834" spans="1:6">
      <c r="A834" t="s">
        <v>2047</v>
      </c>
      <c r="B834">
        <v>833</v>
      </c>
      <c r="C834">
        <v>379.40625</v>
      </c>
      <c r="D834">
        <v>-67.725217642748106</v>
      </c>
      <c r="E834">
        <v>14</v>
      </c>
      <c r="F834" t="s">
        <v>1640</v>
      </c>
    </row>
    <row r="835" spans="1:6">
      <c r="A835" t="s">
        <v>2048</v>
      </c>
      <c r="B835">
        <v>834</v>
      </c>
      <c r="C835">
        <v>379.40625</v>
      </c>
      <c r="D835">
        <v>-67.725217642748106</v>
      </c>
      <c r="E835">
        <v>14</v>
      </c>
      <c r="F835" t="s">
        <v>1640</v>
      </c>
    </row>
    <row r="836" spans="1:6">
      <c r="A836" t="s">
        <v>2050</v>
      </c>
      <c r="B836">
        <v>835</v>
      </c>
      <c r="C836">
        <v>379.40625</v>
      </c>
      <c r="D836">
        <v>-60.000000000000398</v>
      </c>
      <c r="E836">
        <v>14</v>
      </c>
      <c r="F836" t="s">
        <v>1640</v>
      </c>
    </row>
    <row r="837" spans="1:6">
      <c r="A837" t="s">
        <v>2051</v>
      </c>
      <c r="B837">
        <v>836</v>
      </c>
      <c r="C837">
        <v>379.40625</v>
      </c>
      <c r="D837">
        <v>-60.000000000000398</v>
      </c>
      <c r="E837">
        <v>14</v>
      </c>
      <c r="F837" t="s">
        <v>1640</v>
      </c>
    </row>
    <row r="838" spans="1:6">
      <c r="A838" t="s">
        <v>2053</v>
      </c>
      <c r="B838">
        <v>837</v>
      </c>
      <c r="C838">
        <v>379.40625</v>
      </c>
      <c r="D838">
        <v>-52.274782357251901</v>
      </c>
      <c r="E838">
        <v>14</v>
      </c>
      <c r="F838" t="s">
        <v>1640</v>
      </c>
    </row>
    <row r="839" spans="1:6">
      <c r="A839" t="s">
        <v>2054</v>
      </c>
      <c r="B839">
        <v>838</v>
      </c>
      <c r="C839">
        <v>379.40625</v>
      </c>
      <c r="D839">
        <v>-52.274782357251901</v>
      </c>
      <c r="E839">
        <v>14</v>
      </c>
      <c r="F839" t="s">
        <v>1640</v>
      </c>
    </row>
    <row r="840" spans="1:6">
      <c r="A840" t="s">
        <v>2056</v>
      </c>
      <c r="B840">
        <v>839</v>
      </c>
      <c r="C840">
        <v>379.40625</v>
      </c>
      <c r="D840">
        <v>-44.730637880275701</v>
      </c>
      <c r="E840">
        <v>14</v>
      </c>
      <c r="F840" t="s">
        <v>1640</v>
      </c>
    </row>
    <row r="841" spans="1:6">
      <c r="A841" t="s">
        <v>2057</v>
      </c>
      <c r="B841">
        <v>840</v>
      </c>
      <c r="C841">
        <v>379.40625</v>
      </c>
      <c r="D841">
        <v>-44.730637880275701</v>
      </c>
      <c r="E841">
        <v>14</v>
      </c>
      <c r="F841" t="s">
        <v>1640</v>
      </c>
    </row>
    <row r="842" spans="1:6">
      <c r="A842" t="s">
        <v>2059</v>
      </c>
      <c r="B842">
        <v>841</v>
      </c>
      <c r="C842">
        <v>379.40625</v>
      </c>
      <c r="D842">
        <v>-37.544395707955303</v>
      </c>
      <c r="E842">
        <v>14</v>
      </c>
      <c r="F842" t="s">
        <v>1640</v>
      </c>
    </row>
    <row r="843" spans="1:6">
      <c r="A843" t="s">
        <v>2060</v>
      </c>
      <c r="B843">
        <v>842</v>
      </c>
      <c r="C843">
        <v>379.40625</v>
      </c>
      <c r="D843">
        <v>-37.544395707955303</v>
      </c>
      <c r="E843">
        <v>14</v>
      </c>
      <c r="F843" t="s">
        <v>1640</v>
      </c>
    </row>
    <row r="844" spans="1:6">
      <c r="A844" t="s">
        <v>2062</v>
      </c>
      <c r="B844">
        <v>843</v>
      </c>
      <c r="C844">
        <v>379.40625</v>
      </c>
      <c r="D844">
        <v>-30.884496509261002</v>
      </c>
      <c r="E844">
        <v>14</v>
      </c>
      <c r="F844" t="s">
        <v>1640</v>
      </c>
    </row>
    <row r="845" spans="1:6">
      <c r="A845" t="s">
        <v>2063</v>
      </c>
      <c r="B845">
        <v>844</v>
      </c>
      <c r="C845">
        <v>379.40625</v>
      </c>
      <c r="D845">
        <v>-30.884496509261002</v>
      </c>
      <c r="E845">
        <v>14</v>
      </c>
      <c r="F845" t="s">
        <v>1640</v>
      </c>
    </row>
    <row r="846" spans="1:6">
      <c r="A846" t="s">
        <v>2065</v>
      </c>
      <c r="B846">
        <v>845</v>
      </c>
      <c r="C846">
        <v>379.40625</v>
      </c>
      <c r="D846">
        <v>-24.907044994728899</v>
      </c>
      <c r="E846">
        <v>14</v>
      </c>
      <c r="F846" t="s">
        <v>1640</v>
      </c>
    </row>
    <row r="847" spans="1:6">
      <c r="A847" t="s">
        <v>2066</v>
      </c>
      <c r="B847">
        <v>846</v>
      </c>
      <c r="C847">
        <v>379.40625</v>
      </c>
      <c r="D847">
        <v>-24.907044994728899</v>
      </c>
      <c r="E847">
        <v>14</v>
      </c>
      <c r="F847" t="s">
        <v>1640</v>
      </c>
    </row>
    <row r="848" spans="1:6">
      <c r="A848" t="s">
        <v>2068</v>
      </c>
      <c r="B848">
        <v>847</v>
      </c>
      <c r="C848">
        <v>379.40625</v>
      </c>
      <c r="D848">
        <v>-19.7521526126955</v>
      </c>
      <c r="E848">
        <v>14</v>
      </c>
      <c r="F848" t="s">
        <v>1640</v>
      </c>
    </row>
    <row r="849" spans="1:6">
      <c r="A849" t="s">
        <v>2069</v>
      </c>
      <c r="B849">
        <v>848</v>
      </c>
      <c r="C849">
        <v>379.40625</v>
      </c>
      <c r="D849">
        <v>-19.7521526126955</v>
      </c>
      <c r="E849">
        <v>14</v>
      </c>
      <c r="F849" t="s">
        <v>1640</v>
      </c>
    </row>
    <row r="850" spans="1:6">
      <c r="A850" t="s">
        <v>2071</v>
      </c>
      <c r="B850">
        <v>849</v>
      </c>
      <c r="C850">
        <v>379.40625</v>
      </c>
      <c r="D850">
        <v>-15.5406589339512</v>
      </c>
      <c r="E850">
        <v>14</v>
      </c>
      <c r="F850" t="s">
        <v>1640</v>
      </c>
    </row>
    <row r="851" spans="1:6">
      <c r="A851" t="s">
        <v>2072</v>
      </c>
      <c r="B851">
        <v>850</v>
      </c>
      <c r="C851">
        <v>379.40625</v>
      </c>
      <c r="D851">
        <v>-15.5406589339512</v>
      </c>
      <c r="E851">
        <v>14</v>
      </c>
      <c r="F851" t="s">
        <v>1640</v>
      </c>
    </row>
    <row r="852" spans="1:6">
      <c r="A852" t="s">
        <v>2074</v>
      </c>
      <c r="B852">
        <v>851</v>
      </c>
      <c r="C852">
        <v>379.40625</v>
      </c>
      <c r="D852">
        <v>-12.3713234849732</v>
      </c>
      <c r="E852">
        <v>14</v>
      </c>
      <c r="F852" t="s">
        <v>1640</v>
      </c>
    </row>
    <row r="853" spans="1:6">
      <c r="A853" t="s">
        <v>2075</v>
      </c>
      <c r="B853">
        <v>852</v>
      </c>
      <c r="C853">
        <v>379.40625</v>
      </c>
      <c r="D853">
        <v>-12.3713234849732</v>
      </c>
      <c r="E853">
        <v>14</v>
      </c>
      <c r="F853" t="s">
        <v>1640</v>
      </c>
    </row>
    <row r="854" spans="1:6">
      <c r="A854" t="s">
        <v>2077</v>
      </c>
      <c r="B854">
        <v>853</v>
      </c>
      <c r="C854">
        <v>379.40625</v>
      </c>
      <c r="D854">
        <v>-10.3186882529328</v>
      </c>
      <c r="E854">
        <v>14</v>
      </c>
      <c r="F854" t="s">
        <v>1640</v>
      </c>
    </row>
    <row r="855" spans="1:6">
      <c r="A855" t="s">
        <v>2078</v>
      </c>
      <c r="B855">
        <v>854</v>
      </c>
      <c r="C855">
        <v>379.40625</v>
      </c>
      <c r="D855">
        <v>-10.3186882529328</v>
      </c>
      <c r="E855">
        <v>14</v>
      </c>
      <c r="F855" t="s">
        <v>1640</v>
      </c>
    </row>
    <row r="856" spans="1:6">
      <c r="A856" t="s">
        <v>2080</v>
      </c>
      <c r="B856">
        <v>855</v>
      </c>
      <c r="C856">
        <v>379.40625</v>
      </c>
      <c r="D856">
        <v>-9.4375</v>
      </c>
      <c r="E856">
        <v>14</v>
      </c>
      <c r="F856" t="s">
        <v>1640</v>
      </c>
    </row>
    <row r="857" spans="1:6">
      <c r="A857" t="s">
        <v>2081</v>
      </c>
      <c r="B857">
        <v>856</v>
      </c>
      <c r="C857">
        <v>379.40625</v>
      </c>
      <c r="D857">
        <v>-9.4375</v>
      </c>
      <c r="E857">
        <v>14</v>
      </c>
      <c r="F857" t="s">
        <v>1640</v>
      </c>
    </row>
    <row r="858" spans="1:6">
      <c r="A858" t="s">
        <v>2083</v>
      </c>
      <c r="B858">
        <v>857</v>
      </c>
      <c r="C858">
        <v>384</v>
      </c>
      <c r="D858">
        <v>-110.5625</v>
      </c>
      <c r="E858">
        <v>14</v>
      </c>
      <c r="F858" t="s">
        <v>1640</v>
      </c>
    </row>
    <row r="859" spans="1:6">
      <c r="A859" t="s">
        <v>2084</v>
      </c>
      <c r="B859">
        <v>858</v>
      </c>
      <c r="C859">
        <v>384</v>
      </c>
      <c r="D859">
        <v>-110.5625</v>
      </c>
      <c r="E859">
        <v>14</v>
      </c>
      <c r="F859" t="s">
        <v>1640</v>
      </c>
    </row>
    <row r="860" spans="1:6">
      <c r="A860" t="s">
        <v>2086</v>
      </c>
      <c r="B860">
        <v>859</v>
      </c>
      <c r="C860">
        <v>384</v>
      </c>
      <c r="D860">
        <v>-109.681311747067</v>
      </c>
      <c r="E860">
        <v>14</v>
      </c>
      <c r="F860" t="s">
        <v>1640</v>
      </c>
    </row>
    <row r="861" spans="1:6">
      <c r="A861" t="s">
        <v>2087</v>
      </c>
      <c r="B861">
        <v>860</v>
      </c>
      <c r="C861">
        <v>384</v>
      </c>
      <c r="D861">
        <v>-109.681311747067</v>
      </c>
      <c r="E861">
        <v>14</v>
      </c>
      <c r="F861" t="s">
        <v>1640</v>
      </c>
    </row>
    <row r="862" spans="1:6">
      <c r="A862" t="s">
        <v>2089</v>
      </c>
      <c r="B862">
        <v>861</v>
      </c>
      <c r="C862">
        <v>384</v>
      </c>
      <c r="D862">
        <v>-107.628676515027</v>
      </c>
      <c r="E862">
        <v>14</v>
      </c>
      <c r="F862" t="s">
        <v>1640</v>
      </c>
    </row>
    <row r="863" spans="1:6">
      <c r="A863" t="s">
        <v>2090</v>
      </c>
      <c r="B863">
        <v>862</v>
      </c>
      <c r="C863">
        <v>384</v>
      </c>
      <c r="D863">
        <v>-107.628676515027</v>
      </c>
      <c r="E863">
        <v>14</v>
      </c>
      <c r="F863" t="s">
        <v>1640</v>
      </c>
    </row>
    <row r="864" spans="1:6">
      <c r="A864" t="s">
        <v>2092</v>
      </c>
      <c r="B864">
        <v>863</v>
      </c>
      <c r="C864">
        <v>384</v>
      </c>
      <c r="D864">
        <v>-104.45934106604901</v>
      </c>
      <c r="E864">
        <v>14</v>
      </c>
      <c r="F864" t="s">
        <v>1640</v>
      </c>
    </row>
    <row r="865" spans="1:6">
      <c r="A865" t="s">
        <v>2093</v>
      </c>
      <c r="B865">
        <v>864</v>
      </c>
      <c r="C865">
        <v>384</v>
      </c>
      <c r="D865">
        <v>-104.45934106604901</v>
      </c>
      <c r="E865">
        <v>14</v>
      </c>
      <c r="F865" t="s">
        <v>1640</v>
      </c>
    </row>
    <row r="866" spans="1:6">
      <c r="A866" t="s">
        <v>2095</v>
      </c>
      <c r="B866">
        <v>865</v>
      </c>
      <c r="C866">
        <v>384</v>
      </c>
      <c r="D866">
        <v>-100.24784738730401</v>
      </c>
      <c r="E866">
        <v>14</v>
      </c>
      <c r="F866" t="s">
        <v>1640</v>
      </c>
    </row>
    <row r="867" spans="1:6">
      <c r="A867" t="s">
        <v>2096</v>
      </c>
      <c r="B867">
        <v>866</v>
      </c>
      <c r="C867">
        <v>384</v>
      </c>
      <c r="D867">
        <v>-100.24784738730401</v>
      </c>
      <c r="E867">
        <v>14</v>
      </c>
      <c r="F867" t="s">
        <v>1640</v>
      </c>
    </row>
    <row r="868" spans="1:6">
      <c r="A868" t="s">
        <v>2098</v>
      </c>
      <c r="B868">
        <v>867</v>
      </c>
      <c r="C868">
        <v>384</v>
      </c>
      <c r="D868">
        <v>-95.092955005271094</v>
      </c>
      <c r="E868">
        <v>14</v>
      </c>
      <c r="F868" t="s">
        <v>1640</v>
      </c>
    </row>
    <row r="869" spans="1:6">
      <c r="A869" t="s">
        <v>2099</v>
      </c>
      <c r="B869">
        <v>868</v>
      </c>
      <c r="C869">
        <v>384</v>
      </c>
      <c r="D869">
        <v>-95.092955005271094</v>
      </c>
      <c r="E869">
        <v>14</v>
      </c>
      <c r="F869" t="s">
        <v>1640</v>
      </c>
    </row>
    <row r="870" spans="1:6">
      <c r="A870" t="s">
        <v>2101</v>
      </c>
      <c r="B870">
        <v>869</v>
      </c>
      <c r="C870">
        <v>384</v>
      </c>
      <c r="D870">
        <v>-89.115503490739002</v>
      </c>
      <c r="E870">
        <v>14</v>
      </c>
      <c r="F870" t="s">
        <v>1640</v>
      </c>
    </row>
    <row r="871" spans="1:6">
      <c r="A871" t="s">
        <v>2102</v>
      </c>
      <c r="B871">
        <v>870</v>
      </c>
      <c r="C871">
        <v>384</v>
      </c>
      <c r="D871">
        <v>-89.115503490739002</v>
      </c>
      <c r="E871">
        <v>14</v>
      </c>
      <c r="F871" t="s">
        <v>1640</v>
      </c>
    </row>
    <row r="872" spans="1:6">
      <c r="A872" t="s">
        <v>2104</v>
      </c>
      <c r="B872">
        <v>871</v>
      </c>
      <c r="C872">
        <v>384</v>
      </c>
      <c r="D872">
        <v>-82.455604292044697</v>
      </c>
      <c r="E872">
        <v>14</v>
      </c>
      <c r="F872" t="s">
        <v>1640</v>
      </c>
    </row>
    <row r="873" spans="1:6">
      <c r="A873" t="s">
        <v>2105</v>
      </c>
      <c r="B873">
        <v>872</v>
      </c>
      <c r="C873">
        <v>384</v>
      </c>
      <c r="D873">
        <v>-82.455604292044697</v>
      </c>
      <c r="E873">
        <v>14</v>
      </c>
      <c r="F873" t="s">
        <v>1640</v>
      </c>
    </row>
    <row r="874" spans="1:6">
      <c r="A874" t="s">
        <v>2107</v>
      </c>
      <c r="B874">
        <v>873</v>
      </c>
      <c r="C874">
        <v>384</v>
      </c>
      <c r="D874">
        <v>-75.269362119724306</v>
      </c>
      <c r="E874">
        <v>14</v>
      </c>
      <c r="F874" t="s">
        <v>1640</v>
      </c>
    </row>
    <row r="875" spans="1:6">
      <c r="A875" t="s">
        <v>2108</v>
      </c>
      <c r="B875">
        <v>874</v>
      </c>
      <c r="C875">
        <v>384</v>
      </c>
      <c r="D875">
        <v>-75.269362119724306</v>
      </c>
      <c r="E875">
        <v>14</v>
      </c>
      <c r="F875" t="s">
        <v>1640</v>
      </c>
    </row>
    <row r="876" spans="1:6">
      <c r="A876" t="s">
        <v>2110</v>
      </c>
      <c r="B876">
        <v>875</v>
      </c>
      <c r="C876">
        <v>384</v>
      </c>
      <c r="D876">
        <v>-67.725217642748106</v>
      </c>
      <c r="E876">
        <v>14</v>
      </c>
      <c r="F876" t="s">
        <v>1640</v>
      </c>
    </row>
    <row r="877" spans="1:6">
      <c r="A877" t="s">
        <v>2111</v>
      </c>
      <c r="B877">
        <v>876</v>
      </c>
      <c r="C877">
        <v>384</v>
      </c>
      <c r="D877">
        <v>-67.725217642748106</v>
      </c>
      <c r="E877">
        <v>14</v>
      </c>
      <c r="F877" t="s">
        <v>1640</v>
      </c>
    </row>
    <row r="878" spans="1:6">
      <c r="A878" t="s">
        <v>2113</v>
      </c>
      <c r="B878">
        <v>877</v>
      </c>
      <c r="C878">
        <v>384</v>
      </c>
      <c r="D878">
        <v>-60.000000000000398</v>
      </c>
      <c r="E878">
        <v>14</v>
      </c>
      <c r="F878" t="s">
        <v>1640</v>
      </c>
    </row>
    <row r="879" spans="1:6">
      <c r="A879" t="s">
        <v>2115</v>
      </c>
      <c r="B879">
        <v>878</v>
      </c>
      <c r="C879">
        <v>384</v>
      </c>
      <c r="D879">
        <v>-52.274782357251901</v>
      </c>
      <c r="E879">
        <v>14</v>
      </c>
      <c r="F879" t="s">
        <v>1640</v>
      </c>
    </row>
    <row r="880" spans="1:6">
      <c r="A880" t="s">
        <v>2116</v>
      </c>
      <c r="B880">
        <v>879</v>
      </c>
      <c r="C880">
        <v>384</v>
      </c>
      <c r="D880">
        <v>-52.274782357251901</v>
      </c>
      <c r="E880">
        <v>14</v>
      </c>
      <c r="F880" t="s">
        <v>1640</v>
      </c>
    </row>
    <row r="881" spans="1:6">
      <c r="A881" t="s">
        <v>2118</v>
      </c>
      <c r="B881">
        <v>880</v>
      </c>
      <c r="C881">
        <v>384</v>
      </c>
      <c r="D881">
        <v>-44.730637880275701</v>
      </c>
      <c r="E881">
        <v>14</v>
      </c>
      <c r="F881" t="s">
        <v>1640</v>
      </c>
    </row>
    <row r="882" spans="1:6">
      <c r="A882" t="s">
        <v>2119</v>
      </c>
      <c r="B882">
        <v>881</v>
      </c>
      <c r="C882">
        <v>384</v>
      </c>
      <c r="D882">
        <v>-44.730637880275701</v>
      </c>
      <c r="E882">
        <v>14</v>
      </c>
      <c r="F882" t="s">
        <v>1640</v>
      </c>
    </row>
    <row r="883" spans="1:6">
      <c r="A883" t="s">
        <v>2121</v>
      </c>
      <c r="B883">
        <v>882</v>
      </c>
      <c r="C883">
        <v>384</v>
      </c>
      <c r="D883">
        <v>-37.544395707955303</v>
      </c>
      <c r="E883">
        <v>14</v>
      </c>
      <c r="F883" t="s">
        <v>1640</v>
      </c>
    </row>
    <row r="884" spans="1:6">
      <c r="A884" t="s">
        <v>2122</v>
      </c>
      <c r="B884">
        <v>883</v>
      </c>
      <c r="C884">
        <v>384</v>
      </c>
      <c r="D884">
        <v>-37.544395707955303</v>
      </c>
      <c r="E884">
        <v>14</v>
      </c>
      <c r="F884" t="s">
        <v>1640</v>
      </c>
    </row>
    <row r="885" spans="1:6">
      <c r="A885" t="s">
        <v>2124</v>
      </c>
      <c r="B885">
        <v>884</v>
      </c>
      <c r="C885">
        <v>384</v>
      </c>
      <c r="D885">
        <v>-30.884496509261002</v>
      </c>
      <c r="E885">
        <v>14</v>
      </c>
      <c r="F885" t="s">
        <v>1640</v>
      </c>
    </row>
    <row r="886" spans="1:6">
      <c r="A886" t="s">
        <v>2125</v>
      </c>
      <c r="B886">
        <v>885</v>
      </c>
      <c r="C886">
        <v>384</v>
      </c>
      <c r="D886">
        <v>-30.884496509261002</v>
      </c>
      <c r="E886">
        <v>14</v>
      </c>
      <c r="F886" t="s">
        <v>1640</v>
      </c>
    </row>
    <row r="887" spans="1:6">
      <c r="A887" t="s">
        <v>2127</v>
      </c>
      <c r="B887">
        <v>886</v>
      </c>
      <c r="C887">
        <v>384</v>
      </c>
      <c r="D887">
        <v>-24.907044994728899</v>
      </c>
      <c r="E887">
        <v>14</v>
      </c>
      <c r="F887" t="s">
        <v>1640</v>
      </c>
    </row>
    <row r="888" spans="1:6">
      <c r="A888" t="s">
        <v>2128</v>
      </c>
      <c r="B888">
        <v>887</v>
      </c>
      <c r="C888">
        <v>384</v>
      </c>
      <c r="D888">
        <v>-24.907044994728899</v>
      </c>
      <c r="E888">
        <v>14</v>
      </c>
      <c r="F888" t="s">
        <v>1640</v>
      </c>
    </row>
    <row r="889" spans="1:6">
      <c r="A889" t="s">
        <v>2130</v>
      </c>
      <c r="B889">
        <v>888</v>
      </c>
      <c r="C889">
        <v>384</v>
      </c>
      <c r="D889">
        <v>-19.7521526126955</v>
      </c>
      <c r="E889">
        <v>14</v>
      </c>
      <c r="F889" t="s">
        <v>1640</v>
      </c>
    </row>
    <row r="890" spans="1:6">
      <c r="A890" t="s">
        <v>2131</v>
      </c>
      <c r="B890">
        <v>889</v>
      </c>
      <c r="C890">
        <v>384</v>
      </c>
      <c r="D890">
        <v>-19.7521526126955</v>
      </c>
      <c r="E890">
        <v>14</v>
      </c>
      <c r="F890" t="s">
        <v>1640</v>
      </c>
    </row>
    <row r="891" spans="1:6">
      <c r="A891" t="s">
        <v>2133</v>
      </c>
      <c r="B891">
        <v>890</v>
      </c>
      <c r="C891">
        <v>384</v>
      </c>
      <c r="D891">
        <v>-15.5406589339512</v>
      </c>
      <c r="E891">
        <v>14</v>
      </c>
      <c r="F891" t="s">
        <v>1640</v>
      </c>
    </row>
    <row r="892" spans="1:6">
      <c r="A892" t="s">
        <v>2134</v>
      </c>
      <c r="B892">
        <v>891</v>
      </c>
      <c r="C892">
        <v>384</v>
      </c>
      <c r="D892">
        <v>-15.5406589339512</v>
      </c>
      <c r="E892">
        <v>14</v>
      </c>
      <c r="F892" t="s">
        <v>1640</v>
      </c>
    </row>
    <row r="893" spans="1:6">
      <c r="A893" t="s">
        <v>2136</v>
      </c>
      <c r="B893">
        <v>892</v>
      </c>
      <c r="C893">
        <v>384</v>
      </c>
      <c r="D893">
        <v>-12.3713234849732</v>
      </c>
      <c r="E893">
        <v>14</v>
      </c>
      <c r="F893" t="s">
        <v>1640</v>
      </c>
    </row>
    <row r="894" spans="1:6">
      <c r="A894" t="s">
        <v>2137</v>
      </c>
      <c r="B894">
        <v>893</v>
      </c>
      <c r="C894">
        <v>384</v>
      </c>
      <c r="D894">
        <v>-12.3713234849732</v>
      </c>
      <c r="E894">
        <v>14</v>
      </c>
      <c r="F894" t="s">
        <v>1640</v>
      </c>
    </row>
    <row r="895" spans="1:6">
      <c r="A895" t="s">
        <v>2139</v>
      </c>
      <c r="B895">
        <v>894</v>
      </c>
      <c r="C895">
        <v>384</v>
      </c>
      <c r="D895">
        <v>-10.3186882529328</v>
      </c>
      <c r="E895">
        <v>14</v>
      </c>
      <c r="F895" t="s">
        <v>1640</v>
      </c>
    </row>
    <row r="896" spans="1:6">
      <c r="A896" t="s">
        <v>2140</v>
      </c>
      <c r="B896">
        <v>895</v>
      </c>
      <c r="C896">
        <v>384</v>
      </c>
      <c r="D896">
        <v>-10.3186882529328</v>
      </c>
      <c r="E896">
        <v>14</v>
      </c>
      <c r="F896" t="s">
        <v>1640</v>
      </c>
    </row>
    <row r="897" spans="1:6">
      <c r="A897" t="s">
        <v>2142</v>
      </c>
      <c r="B897">
        <v>896</v>
      </c>
      <c r="C897">
        <v>384</v>
      </c>
      <c r="D897">
        <v>-9.4375</v>
      </c>
      <c r="E897">
        <v>14</v>
      </c>
      <c r="F897" t="s">
        <v>1640</v>
      </c>
    </row>
    <row r="898" spans="1:6">
      <c r="A898" t="s">
        <v>2143</v>
      </c>
      <c r="B898">
        <v>897</v>
      </c>
      <c r="C898">
        <v>384</v>
      </c>
      <c r="D898">
        <v>-9.4375</v>
      </c>
      <c r="E898">
        <v>14</v>
      </c>
      <c r="F898" t="s">
        <v>1640</v>
      </c>
    </row>
    <row r="899" spans="1:6">
      <c r="A899" t="s">
        <v>2145</v>
      </c>
      <c r="B899">
        <v>898</v>
      </c>
      <c r="C899">
        <v>388.59375</v>
      </c>
      <c r="D899">
        <v>-110.5625</v>
      </c>
      <c r="E899">
        <v>14</v>
      </c>
      <c r="F899" t="s">
        <v>1640</v>
      </c>
    </row>
    <row r="900" spans="1:6">
      <c r="A900" t="s">
        <v>2146</v>
      </c>
      <c r="B900">
        <v>899</v>
      </c>
      <c r="C900">
        <v>388.59375</v>
      </c>
      <c r="D900">
        <v>-110.5625</v>
      </c>
      <c r="E900">
        <v>14</v>
      </c>
      <c r="F900" t="s">
        <v>1640</v>
      </c>
    </row>
    <row r="901" spans="1:6">
      <c r="A901" t="s">
        <v>2148</v>
      </c>
      <c r="B901">
        <v>900</v>
      </c>
      <c r="C901">
        <v>388.59375</v>
      </c>
      <c r="D901">
        <v>-109.681311747067</v>
      </c>
      <c r="E901">
        <v>14</v>
      </c>
      <c r="F901" t="s">
        <v>1640</v>
      </c>
    </row>
    <row r="902" spans="1:6">
      <c r="A902" t="s">
        <v>2149</v>
      </c>
      <c r="B902">
        <v>901</v>
      </c>
      <c r="C902">
        <v>388.59375</v>
      </c>
      <c r="D902">
        <v>-109.681311747067</v>
      </c>
      <c r="E902">
        <v>14</v>
      </c>
      <c r="F902" t="s">
        <v>1640</v>
      </c>
    </row>
    <row r="903" spans="1:6">
      <c r="A903" t="s">
        <v>2151</v>
      </c>
      <c r="B903">
        <v>902</v>
      </c>
      <c r="C903">
        <v>388.59375</v>
      </c>
      <c r="D903">
        <v>-107.628676515027</v>
      </c>
      <c r="E903">
        <v>14</v>
      </c>
      <c r="F903" t="s">
        <v>1640</v>
      </c>
    </row>
    <row r="904" spans="1:6">
      <c r="A904" t="s">
        <v>2152</v>
      </c>
      <c r="B904">
        <v>903</v>
      </c>
      <c r="C904">
        <v>388.59375</v>
      </c>
      <c r="D904">
        <v>-107.628676515027</v>
      </c>
      <c r="E904">
        <v>14</v>
      </c>
      <c r="F904" t="s">
        <v>1640</v>
      </c>
    </row>
    <row r="905" spans="1:6">
      <c r="A905" t="s">
        <v>2154</v>
      </c>
      <c r="B905">
        <v>904</v>
      </c>
      <c r="C905">
        <v>388.59375</v>
      </c>
      <c r="D905">
        <v>-104.45934106604901</v>
      </c>
      <c r="E905">
        <v>14</v>
      </c>
      <c r="F905" t="s">
        <v>1640</v>
      </c>
    </row>
    <row r="906" spans="1:6">
      <c r="A906" t="s">
        <v>2155</v>
      </c>
      <c r="B906">
        <v>905</v>
      </c>
      <c r="C906">
        <v>388.59375</v>
      </c>
      <c r="D906">
        <v>-104.45934106604901</v>
      </c>
      <c r="E906">
        <v>14</v>
      </c>
      <c r="F906" t="s">
        <v>1640</v>
      </c>
    </row>
    <row r="907" spans="1:6">
      <c r="A907" t="s">
        <v>2157</v>
      </c>
      <c r="B907">
        <v>906</v>
      </c>
      <c r="C907">
        <v>388.59375</v>
      </c>
      <c r="D907">
        <v>-100.24784738730401</v>
      </c>
      <c r="E907">
        <v>14</v>
      </c>
      <c r="F907" t="s">
        <v>1640</v>
      </c>
    </row>
    <row r="908" spans="1:6">
      <c r="A908" t="s">
        <v>2158</v>
      </c>
      <c r="B908">
        <v>907</v>
      </c>
      <c r="C908">
        <v>388.59375</v>
      </c>
      <c r="D908">
        <v>-100.24784738730401</v>
      </c>
      <c r="E908">
        <v>14</v>
      </c>
      <c r="F908" t="s">
        <v>1640</v>
      </c>
    </row>
    <row r="909" spans="1:6">
      <c r="A909" t="s">
        <v>2160</v>
      </c>
      <c r="B909">
        <v>908</v>
      </c>
      <c r="C909">
        <v>388.59375</v>
      </c>
      <c r="D909">
        <v>-95.092955005271094</v>
      </c>
      <c r="E909">
        <v>14</v>
      </c>
      <c r="F909" t="s">
        <v>1640</v>
      </c>
    </row>
    <row r="910" spans="1:6">
      <c r="A910" t="s">
        <v>2161</v>
      </c>
      <c r="B910">
        <v>909</v>
      </c>
      <c r="C910">
        <v>388.59375</v>
      </c>
      <c r="D910">
        <v>-95.092955005271094</v>
      </c>
      <c r="E910">
        <v>14</v>
      </c>
      <c r="F910" t="s">
        <v>1640</v>
      </c>
    </row>
    <row r="911" spans="1:6">
      <c r="A911" t="s">
        <v>2163</v>
      </c>
      <c r="B911">
        <v>910</v>
      </c>
      <c r="C911">
        <v>388.59375</v>
      </c>
      <c r="D911">
        <v>-89.115503490739002</v>
      </c>
      <c r="E911">
        <v>14</v>
      </c>
      <c r="F911" t="s">
        <v>1640</v>
      </c>
    </row>
    <row r="912" spans="1:6">
      <c r="A912" t="s">
        <v>2164</v>
      </c>
      <c r="B912">
        <v>911</v>
      </c>
      <c r="C912">
        <v>388.59375</v>
      </c>
      <c r="D912">
        <v>-89.115503490739002</v>
      </c>
      <c r="E912">
        <v>14</v>
      </c>
      <c r="F912" t="s">
        <v>1640</v>
      </c>
    </row>
    <row r="913" spans="1:6">
      <c r="A913" t="s">
        <v>2166</v>
      </c>
      <c r="B913">
        <v>912</v>
      </c>
      <c r="C913">
        <v>388.59375</v>
      </c>
      <c r="D913">
        <v>-82.455604292044697</v>
      </c>
      <c r="E913">
        <v>14</v>
      </c>
      <c r="F913" t="s">
        <v>1640</v>
      </c>
    </row>
    <row r="914" spans="1:6">
      <c r="A914" t="s">
        <v>2167</v>
      </c>
      <c r="B914">
        <v>913</v>
      </c>
      <c r="C914">
        <v>388.59375</v>
      </c>
      <c r="D914">
        <v>-82.455604292044697</v>
      </c>
      <c r="E914">
        <v>14</v>
      </c>
      <c r="F914" t="s">
        <v>1640</v>
      </c>
    </row>
    <row r="915" spans="1:6">
      <c r="A915" t="s">
        <v>2169</v>
      </c>
      <c r="B915">
        <v>914</v>
      </c>
      <c r="C915">
        <v>388.59375</v>
      </c>
      <c r="D915">
        <v>-75.269362119724306</v>
      </c>
      <c r="E915">
        <v>14</v>
      </c>
      <c r="F915" t="s">
        <v>1640</v>
      </c>
    </row>
    <row r="916" spans="1:6">
      <c r="A916" t="s">
        <v>2170</v>
      </c>
      <c r="B916">
        <v>915</v>
      </c>
      <c r="C916">
        <v>388.59375</v>
      </c>
      <c r="D916">
        <v>-75.269362119724306</v>
      </c>
      <c r="E916">
        <v>14</v>
      </c>
      <c r="F916" t="s">
        <v>1640</v>
      </c>
    </row>
    <row r="917" spans="1:6">
      <c r="A917" t="s">
        <v>2172</v>
      </c>
      <c r="B917">
        <v>916</v>
      </c>
      <c r="C917">
        <v>388.59375</v>
      </c>
      <c r="D917">
        <v>-67.725217642748106</v>
      </c>
      <c r="E917">
        <v>14</v>
      </c>
      <c r="F917" t="s">
        <v>1640</v>
      </c>
    </row>
    <row r="918" spans="1:6">
      <c r="A918" t="s">
        <v>2173</v>
      </c>
      <c r="B918">
        <v>917</v>
      </c>
      <c r="C918">
        <v>388.59375</v>
      </c>
      <c r="D918">
        <v>-67.725217642748106</v>
      </c>
      <c r="E918">
        <v>14</v>
      </c>
      <c r="F918" t="s">
        <v>1640</v>
      </c>
    </row>
    <row r="919" spans="1:6">
      <c r="A919" t="s">
        <v>2175</v>
      </c>
      <c r="B919">
        <v>918</v>
      </c>
      <c r="C919">
        <v>388.59375</v>
      </c>
      <c r="D919">
        <v>-60.000000000000398</v>
      </c>
      <c r="E919">
        <v>14</v>
      </c>
      <c r="F919" t="s">
        <v>1640</v>
      </c>
    </row>
    <row r="920" spans="1:6">
      <c r="A920" t="s">
        <v>2176</v>
      </c>
      <c r="B920">
        <v>919</v>
      </c>
      <c r="C920">
        <v>388.59375</v>
      </c>
      <c r="D920">
        <v>-60.000000000000398</v>
      </c>
      <c r="E920">
        <v>14</v>
      </c>
      <c r="F920" t="s">
        <v>1640</v>
      </c>
    </row>
    <row r="921" spans="1:6">
      <c r="A921" t="s">
        <v>2178</v>
      </c>
      <c r="B921">
        <v>920</v>
      </c>
      <c r="C921">
        <v>388.59375</v>
      </c>
      <c r="D921">
        <v>-52.274782357251901</v>
      </c>
      <c r="E921">
        <v>14</v>
      </c>
      <c r="F921" t="s">
        <v>1640</v>
      </c>
    </row>
    <row r="922" spans="1:6">
      <c r="A922" t="s">
        <v>2179</v>
      </c>
      <c r="B922">
        <v>921</v>
      </c>
      <c r="C922">
        <v>388.59375</v>
      </c>
      <c r="D922">
        <v>-52.274782357251901</v>
      </c>
      <c r="E922">
        <v>14</v>
      </c>
      <c r="F922" t="s">
        <v>1640</v>
      </c>
    </row>
    <row r="923" spans="1:6">
      <c r="A923" t="s">
        <v>2181</v>
      </c>
      <c r="B923">
        <v>922</v>
      </c>
      <c r="C923">
        <v>388.59375</v>
      </c>
      <c r="D923">
        <v>-44.730637880275701</v>
      </c>
      <c r="E923">
        <v>14</v>
      </c>
      <c r="F923" t="s">
        <v>1640</v>
      </c>
    </row>
    <row r="924" spans="1:6">
      <c r="A924" t="s">
        <v>2182</v>
      </c>
      <c r="B924">
        <v>923</v>
      </c>
      <c r="C924">
        <v>388.59375</v>
      </c>
      <c r="D924">
        <v>-44.730637880275701</v>
      </c>
      <c r="E924">
        <v>14</v>
      </c>
      <c r="F924" t="s">
        <v>1640</v>
      </c>
    </row>
    <row r="925" spans="1:6">
      <c r="A925" t="s">
        <v>2184</v>
      </c>
      <c r="B925">
        <v>924</v>
      </c>
      <c r="C925">
        <v>388.59375</v>
      </c>
      <c r="D925">
        <v>-37.544395707955303</v>
      </c>
      <c r="E925">
        <v>14</v>
      </c>
      <c r="F925" t="s">
        <v>1640</v>
      </c>
    </row>
    <row r="926" spans="1:6">
      <c r="A926" t="s">
        <v>2185</v>
      </c>
      <c r="B926">
        <v>925</v>
      </c>
      <c r="C926">
        <v>388.59375</v>
      </c>
      <c r="D926">
        <v>-37.544395707955303</v>
      </c>
      <c r="E926">
        <v>14</v>
      </c>
      <c r="F926" t="s">
        <v>1640</v>
      </c>
    </row>
    <row r="927" spans="1:6">
      <c r="A927" t="s">
        <v>2187</v>
      </c>
      <c r="B927">
        <v>926</v>
      </c>
      <c r="C927">
        <v>388.59375</v>
      </c>
      <c r="D927">
        <v>-30.884496509261002</v>
      </c>
      <c r="E927">
        <v>14</v>
      </c>
      <c r="F927" t="s">
        <v>1640</v>
      </c>
    </row>
    <row r="928" spans="1:6">
      <c r="A928" t="s">
        <v>2188</v>
      </c>
      <c r="B928">
        <v>927</v>
      </c>
      <c r="C928">
        <v>388.59375</v>
      </c>
      <c r="D928">
        <v>-30.884496509261002</v>
      </c>
      <c r="E928">
        <v>14</v>
      </c>
      <c r="F928" t="s">
        <v>1640</v>
      </c>
    </row>
    <row r="929" spans="1:6">
      <c r="A929" t="s">
        <v>2190</v>
      </c>
      <c r="B929">
        <v>928</v>
      </c>
      <c r="C929">
        <v>388.59375</v>
      </c>
      <c r="D929">
        <v>-24.907044994728899</v>
      </c>
      <c r="E929">
        <v>14</v>
      </c>
      <c r="F929" t="s">
        <v>1640</v>
      </c>
    </row>
    <row r="930" spans="1:6">
      <c r="A930" t="s">
        <v>2191</v>
      </c>
      <c r="B930">
        <v>929</v>
      </c>
      <c r="C930">
        <v>388.59375</v>
      </c>
      <c r="D930">
        <v>-24.907044994728899</v>
      </c>
      <c r="E930">
        <v>14</v>
      </c>
      <c r="F930" t="s">
        <v>1640</v>
      </c>
    </row>
    <row r="931" spans="1:6">
      <c r="A931" t="s">
        <v>2193</v>
      </c>
      <c r="B931">
        <v>930</v>
      </c>
      <c r="C931">
        <v>388.59375</v>
      </c>
      <c r="D931">
        <v>-19.7521526126955</v>
      </c>
      <c r="E931">
        <v>14</v>
      </c>
      <c r="F931" t="s">
        <v>1640</v>
      </c>
    </row>
    <row r="932" spans="1:6">
      <c r="A932" t="s">
        <v>2194</v>
      </c>
      <c r="B932">
        <v>931</v>
      </c>
      <c r="C932">
        <v>388.59375</v>
      </c>
      <c r="D932">
        <v>-19.7521526126955</v>
      </c>
      <c r="E932">
        <v>14</v>
      </c>
      <c r="F932" t="s">
        <v>1640</v>
      </c>
    </row>
    <row r="933" spans="1:6">
      <c r="A933" t="s">
        <v>2196</v>
      </c>
      <c r="B933">
        <v>932</v>
      </c>
      <c r="C933">
        <v>388.59375</v>
      </c>
      <c r="D933">
        <v>-15.5406589339512</v>
      </c>
      <c r="E933">
        <v>14</v>
      </c>
      <c r="F933" t="s">
        <v>1640</v>
      </c>
    </row>
    <row r="934" spans="1:6">
      <c r="A934" t="s">
        <v>2197</v>
      </c>
      <c r="B934">
        <v>933</v>
      </c>
      <c r="C934">
        <v>388.59375</v>
      </c>
      <c r="D934">
        <v>-15.5406589339512</v>
      </c>
      <c r="E934">
        <v>14</v>
      </c>
      <c r="F934" t="s">
        <v>1640</v>
      </c>
    </row>
    <row r="935" spans="1:6">
      <c r="A935" t="s">
        <v>2199</v>
      </c>
      <c r="B935">
        <v>934</v>
      </c>
      <c r="C935">
        <v>388.59375</v>
      </c>
      <c r="D935">
        <v>-12.3713234849732</v>
      </c>
      <c r="E935">
        <v>14</v>
      </c>
      <c r="F935" t="s">
        <v>1640</v>
      </c>
    </row>
    <row r="936" spans="1:6">
      <c r="A936" t="s">
        <v>2200</v>
      </c>
      <c r="B936">
        <v>935</v>
      </c>
      <c r="C936">
        <v>388.59375</v>
      </c>
      <c r="D936">
        <v>-12.3713234849732</v>
      </c>
      <c r="E936">
        <v>14</v>
      </c>
      <c r="F936" t="s">
        <v>1640</v>
      </c>
    </row>
    <row r="937" spans="1:6">
      <c r="A937" t="s">
        <v>2202</v>
      </c>
      <c r="B937">
        <v>936</v>
      </c>
      <c r="C937">
        <v>388.59375</v>
      </c>
      <c r="D937">
        <v>-10.3186882529328</v>
      </c>
      <c r="E937">
        <v>14</v>
      </c>
      <c r="F937" t="s">
        <v>1640</v>
      </c>
    </row>
    <row r="938" spans="1:6">
      <c r="A938" t="s">
        <v>2203</v>
      </c>
      <c r="B938">
        <v>937</v>
      </c>
      <c r="C938">
        <v>388.59375</v>
      </c>
      <c r="D938">
        <v>-10.3186882529328</v>
      </c>
      <c r="E938">
        <v>14</v>
      </c>
      <c r="F938" t="s">
        <v>1640</v>
      </c>
    </row>
    <row r="939" spans="1:6">
      <c r="A939" t="s">
        <v>2205</v>
      </c>
      <c r="B939">
        <v>938</v>
      </c>
      <c r="C939">
        <v>388.59375</v>
      </c>
      <c r="D939">
        <v>-9.4375</v>
      </c>
      <c r="E939">
        <v>14</v>
      </c>
      <c r="F939" t="s">
        <v>1640</v>
      </c>
    </row>
    <row r="940" spans="1:6">
      <c r="A940" t="s">
        <v>2206</v>
      </c>
      <c r="B940">
        <v>939</v>
      </c>
      <c r="C940">
        <v>388.59375</v>
      </c>
      <c r="D940">
        <v>-9.4375</v>
      </c>
      <c r="E940">
        <v>14</v>
      </c>
      <c r="F940" t="s">
        <v>1640</v>
      </c>
    </row>
    <row r="941" spans="1:6">
      <c r="A941" t="s">
        <v>1650</v>
      </c>
      <c r="B941">
        <v>940</v>
      </c>
      <c r="C941">
        <v>135.4375</v>
      </c>
      <c r="D941">
        <v>-222.1875</v>
      </c>
      <c r="E941">
        <v>14</v>
      </c>
      <c r="F941" t="s">
        <v>1640</v>
      </c>
    </row>
    <row r="942" spans="1:6">
      <c r="A942" t="s">
        <v>1651</v>
      </c>
      <c r="B942">
        <v>941</v>
      </c>
      <c r="C942">
        <v>135.4375</v>
      </c>
      <c r="D942">
        <v>-222.1875</v>
      </c>
      <c r="E942">
        <v>14</v>
      </c>
      <c r="F942" t="s">
        <v>1640</v>
      </c>
    </row>
    <row r="943" spans="1:6">
      <c r="A943" t="s">
        <v>2208</v>
      </c>
      <c r="B943">
        <v>942</v>
      </c>
      <c r="C943">
        <v>135.4375</v>
      </c>
      <c r="D943">
        <v>-216</v>
      </c>
      <c r="E943">
        <v>14</v>
      </c>
      <c r="F943" t="s">
        <v>1640</v>
      </c>
    </row>
    <row r="944" spans="1:6">
      <c r="A944" t="s">
        <v>2209</v>
      </c>
      <c r="B944">
        <v>943</v>
      </c>
      <c r="C944">
        <v>135.4375</v>
      </c>
      <c r="D944">
        <v>-216</v>
      </c>
      <c r="E944">
        <v>14</v>
      </c>
      <c r="F944" t="s">
        <v>1640</v>
      </c>
    </row>
    <row r="945" spans="1:6">
      <c r="A945" t="s">
        <v>2211</v>
      </c>
      <c r="B945">
        <v>944</v>
      </c>
      <c r="C945">
        <v>135.4375</v>
      </c>
      <c r="D945">
        <v>-209.8125</v>
      </c>
      <c r="E945">
        <v>14</v>
      </c>
      <c r="F945" t="s">
        <v>1640</v>
      </c>
    </row>
    <row r="946" spans="1:6">
      <c r="A946" t="s">
        <v>2212</v>
      </c>
      <c r="B946">
        <v>945</v>
      </c>
      <c r="C946">
        <v>135.4375</v>
      </c>
      <c r="D946">
        <v>-209.8125</v>
      </c>
      <c r="E946">
        <v>14</v>
      </c>
      <c r="F946" t="s">
        <v>1640</v>
      </c>
    </row>
    <row r="947" spans="1:6">
      <c r="A947" t="s">
        <v>2214</v>
      </c>
      <c r="B947">
        <v>946</v>
      </c>
      <c r="C947">
        <v>136.423254473306</v>
      </c>
      <c r="D947">
        <v>-222.1875</v>
      </c>
      <c r="E947">
        <v>14</v>
      </c>
      <c r="F947" t="s">
        <v>1640</v>
      </c>
    </row>
    <row r="948" spans="1:6">
      <c r="A948" t="s">
        <v>2215</v>
      </c>
      <c r="B948">
        <v>947</v>
      </c>
      <c r="C948">
        <v>136.423254473306</v>
      </c>
      <c r="D948">
        <v>-222.1875</v>
      </c>
      <c r="E948">
        <v>14</v>
      </c>
      <c r="F948" t="s">
        <v>1640</v>
      </c>
    </row>
    <row r="949" spans="1:6">
      <c r="A949" t="s">
        <v>2217</v>
      </c>
      <c r="B949">
        <v>948</v>
      </c>
      <c r="C949">
        <v>136.423254473306</v>
      </c>
      <c r="D949">
        <v>-216</v>
      </c>
      <c r="E949">
        <v>14</v>
      </c>
      <c r="F949" t="s">
        <v>1640</v>
      </c>
    </row>
    <row r="950" spans="1:6">
      <c r="A950" t="s">
        <v>2218</v>
      </c>
      <c r="B950">
        <v>949</v>
      </c>
      <c r="C950">
        <v>136.423254473306</v>
      </c>
      <c r="D950">
        <v>-216</v>
      </c>
      <c r="E950">
        <v>14</v>
      </c>
      <c r="F950" t="s">
        <v>1640</v>
      </c>
    </row>
    <row r="951" spans="1:6">
      <c r="A951" t="s">
        <v>2220</v>
      </c>
      <c r="B951">
        <v>950</v>
      </c>
      <c r="C951">
        <v>136.423254473306</v>
      </c>
      <c r="D951">
        <v>-209.8125</v>
      </c>
      <c r="E951">
        <v>14</v>
      </c>
      <c r="F951" t="s">
        <v>1640</v>
      </c>
    </row>
    <row r="952" spans="1:6">
      <c r="A952" t="s">
        <v>2221</v>
      </c>
      <c r="B952">
        <v>951</v>
      </c>
      <c r="C952">
        <v>136.423254473306</v>
      </c>
      <c r="D952">
        <v>-209.8125</v>
      </c>
      <c r="E952">
        <v>14</v>
      </c>
      <c r="F952" t="s">
        <v>1640</v>
      </c>
    </row>
    <row r="953" spans="1:6">
      <c r="A953" t="s">
        <v>2223</v>
      </c>
      <c r="B953">
        <v>952</v>
      </c>
      <c r="C953">
        <v>138.71946570321501</v>
      </c>
      <c r="D953">
        <v>-222.1875</v>
      </c>
      <c r="E953">
        <v>14</v>
      </c>
      <c r="F953" t="s">
        <v>1640</v>
      </c>
    </row>
    <row r="954" spans="1:6">
      <c r="A954" t="s">
        <v>2224</v>
      </c>
      <c r="B954">
        <v>953</v>
      </c>
      <c r="C954">
        <v>138.71946570321501</v>
      </c>
      <c r="D954">
        <v>-222.1875</v>
      </c>
      <c r="E954">
        <v>14</v>
      </c>
      <c r="F954" t="s">
        <v>1640</v>
      </c>
    </row>
    <row r="955" spans="1:6">
      <c r="A955" t="s">
        <v>2226</v>
      </c>
      <c r="B955">
        <v>954</v>
      </c>
      <c r="C955">
        <v>138.71946570321501</v>
      </c>
      <c r="D955">
        <v>-216</v>
      </c>
      <c r="E955">
        <v>14</v>
      </c>
      <c r="F955" t="s">
        <v>1640</v>
      </c>
    </row>
    <row r="956" spans="1:6">
      <c r="A956" t="s">
        <v>2227</v>
      </c>
      <c r="B956">
        <v>955</v>
      </c>
      <c r="C956">
        <v>138.71946570321501</v>
      </c>
      <c r="D956">
        <v>-216</v>
      </c>
      <c r="E956">
        <v>14</v>
      </c>
      <c r="F956" t="s">
        <v>1640</v>
      </c>
    </row>
    <row r="957" spans="1:6">
      <c r="A957" t="s">
        <v>2229</v>
      </c>
      <c r="B957">
        <v>956</v>
      </c>
      <c r="C957">
        <v>138.71946570321501</v>
      </c>
      <c r="D957">
        <v>-209.8125</v>
      </c>
      <c r="E957">
        <v>14</v>
      </c>
      <c r="F957" t="s">
        <v>1640</v>
      </c>
    </row>
    <row r="958" spans="1:6">
      <c r="A958" t="s">
        <v>2230</v>
      </c>
      <c r="B958">
        <v>957</v>
      </c>
      <c r="C958">
        <v>138.71946570321501</v>
      </c>
      <c r="D958">
        <v>-209.8125</v>
      </c>
      <c r="E958">
        <v>14</v>
      </c>
      <c r="F958" t="s">
        <v>1640</v>
      </c>
    </row>
    <row r="959" spans="1:6">
      <c r="A959" t="s">
        <v>2232</v>
      </c>
      <c r="B959">
        <v>958</v>
      </c>
      <c r="C959">
        <v>142.26489040201</v>
      </c>
      <c r="D959">
        <v>-222.1875</v>
      </c>
      <c r="E959">
        <v>14</v>
      </c>
      <c r="F959" t="s">
        <v>1640</v>
      </c>
    </row>
    <row r="960" spans="1:6">
      <c r="A960" t="s">
        <v>2233</v>
      </c>
      <c r="B960">
        <v>959</v>
      </c>
      <c r="C960">
        <v>142.26489040201</v>
      </c>
      <c r="D960">
        <v>-222.1875</v>
      </c>
      <c r="E960">
        <v>14</v>
      </c>
      <c r="F960" t="s">
        <v>1640</v>
      </c>
    </row>
    <row r="961" spans="1:6">
      <c r="A961" t="s">
        <v>2235</v>
      </c>
      <c r="B961">
        <v>960</v>
      </c>
      <c r="C961">
        <v>142.26489040201</v>
      </c>
      <c r="D961">
        <v>-216</v>
      </c>
      <c r="E961">
        <v>14</v>
      </c>
      <c r="F961" t="s">
        <v>1640</v>
      </c>
    </row>
    <row r="962" spans="1:6">
      <c r="A962" t="s">
        <v>2236</v>
      </c>
      <c r="B962">
        <v>961</v>
      </c>
      <c r="C962">
        <v>142.26489040201</v>
      </c>
      <c r="D962">
        <v>-216</v>
      </c>
      <c r="E962">
        <v>14</v>
      </c>
      <c r="F962" t="s">
        <v>1640</v>
      </c>
    </row>
    <row r="963" spans="1:6">
      <c r="A963" t="s">
        <v>2238</v>
      </c>
      <c r="B963">
        <v>962</v>
      </c>
      <c r="C963">
        <v>142.26489040201</v>
      </c>
      <c r="D963">
        <v>-209.8125</v>
      </c>
      <c r="E963">
        <v>14</v>
      </c>
      <c r="F963" t="s">
        <v>1640</v>
      </c>
    </row>
    <row r="964" spans="1:6">
      <c r="A964" t="s">
        <v>2239</v>
      </c>
      <c r="B964">
        <v>963</v>
      </c>
      <c r="C964">
        <v>142.26489040201</v>
      </c>
      <c r="D964">
        <v>-209.8125</v>
      </c>
      <c r="E964">
        <v>14</v>
      </c>
      <c r="F964" t="s">
        <v>1640</v>
      </c>
    </row>
    <row r="965" spans="1:6">
      <c r="A965" t="s">
        <v>2241</v>
      </c>
      <c r="B965">
        <v>964</v>
      </c>
      <c r="C965">
        <v>146.97614105622901</v>
      </c>
      <c r="D965">
        <v>-222.1875</v>
      </c>
      <c r="E965">
        <v>14</v>
      </c>
      <c r="F965" t="s">
        <v>1640</v>
      </c>
    </row>
    <row r="966" spans="1:6">
      <c r="A966" t="s">
        <v>2242</v>
      </c>
      <c r="B966">
        <v>965</v>
      </c>
      <c r="C966">
        <v>146.97614105622901</v>
      </c>
      <c r="D966">
        <v>-222.1875</v>
      </c>
      <c r="E966">
        <v>14</v>
      </c>
      <c r="F966" t="s">
        <v>1640</v>
      </c>
    </row>
    <row r="967" spans="1:6">
      <c r="A967" t="s">
        <v>2244</v>
      </c>
      <c r="B967">
        <v>966</v>
      </c>
      <c r="C967">
        <v>146.97614105622901</v>
      </c>
      <c r="D967">
        <v>-216</v>
      </c>
      <c r="E967">
        <v>14</v>
      </c>
      <c r="F967" t="s">
        <v>1640</v>
      </c>
    </row>
    <row r="968" spans="1:6">
      <c r="A968" t="s">
        <v>2245</v>
      </c>
      <c r="B968">
        <v>967</v>
      </c>
      <c r="C968">
        <v>146.97614105622901</v>
      </c>
      <c r="D968">
        <v>-216</v>
      </c>
      <c r="E968">
        <v>14</v>
      </c>
      <c r="F968" t="s">
        <v>1640</v>
      </c>
    </row>
    <row r="969" spans="1:6">
      <c r="A969" t="s">
        <v>2247</v>
      </c>
      <c r="B969">
        <v>968</v>
      </c>
      <c r="C969">
        <v>146.97614105622901</v>
      </c>
      <c r="D969">
        <v>-209.8125</v>
      </c>
      <c r="E969">
        <v>14</v>
      </c>
      <c r="F969" t="s">
        <v>1640</v>
      </c>
    </row>
    <row r="970" spans="1:6">
      <c r="A970" t="s">
        <v>2248</v>
      </c>
      <c r="B970">
        <v>969</v>
      </c>
      <c r="C970">
        <v>146.97614105622901</v>
      </c>
      <c r="D970">
        <v>-209.8125</v>
      </c>
      <c r="E970">
        <v>14</v>
      </c>
      <c r="F970" t="s">
        <v>1640</v>
      </c>
    </row>
    <row r="971" spans="1:6">
      <c r="A971" t="s">
        <v>2250</v>
      </c>
      <c r="B971">
        <v>970</v>
      </c>
      <c r="C971">
        <v>152.74273883835599</v>
      </c>
      <c r="D971">
        <v>-222.1875</v>
      </c>
      <c r="E971">
        <v>14</v>
      </c>
      <c r="F971" t="s">
        <v>1640</v>
      </c>
    </row>
    <row r="972" spans="1:6">
      <c r="A972" t="s">
        <v>2251</v>
      </c>
      <c r="B972">
        <v>971</v>
      </c>
      <c r="C972">
        <v>152.74273883835599</v>
      </c>
      <c r="D972">
        <v>-222.1875</v>
      </c>
      <c r="E972">
        <v>14</v>
      </c>
      <c r="F972" t="s">
        <v>1640</v>
      </c>
    </row>
    <row r="973" spans="1:6">
      <c r="A973" t="s">
        <v>2253</v>
      </c>
      <c r="B973">
        <v>972</v>
      </c>
      <c r="C973">
        <v>152.74273883835599</v>
      </c>
      <c r="D973">
        <v>-216</v>
      </c>
      <c r="E973">
        <v>14</v>
      </c>
      <c r="F973" t="s">
        <v>1640</v>
      </c>
    </row>
    <row r="974" spans="1:6">
      <c r="A974" t="s">
        <v>2254</v>
      </c>
      <c r="B974">
        <v>973</v>
      </c>
      <c r="C974">
        <v>152.74273883835599</v>
      </c>
      <c r="D974">
        <v>-216</v>
      </c>
      <c r="E974">
        <v>14</v>
      </c>
      <c r="F974" t="s">
        <v>1640</v>
      </c>
    </row>
    <row r="975" spans="1:6">
      <c r="A975" t="s">
        <v>2256</v>
      </c>
      <c r="B975">
        <v>974</v>
      </c>
      <c r="C975">
        <v>152.74273883835599</v>
      </c>
      <c r="D975">
        <v>-209.8125</v>
      </c>
      <c r="E975">
        <v>14</v>
      </c>
      <c r="F975" t="s">
        <v>1640</v>
      </c>
    </row>
    <row r="976" spans="1:6">
      <c r="A976" t="s">
        <v>2257</v>
      </c>
      <c r="B976">
        <v>975</v>
      </c>
      <c r="C976">
        <v>152.74273883835599</v>
      </c>
      <c r="D976">
        <v>-209.8125</v>
      </c>
      <c r="E976">
        <v>14</v>
      </c>
      <c r="F976" t="s">
        <v>1640</v>
      </c>
    </row>
    <row r="977" spans="1:6">
      <c r="A977" t="s">
        <v>2259</v>
      </c>
      <c r="B977">
        <v>976</v>
      </c>
      <c r="C977">
        <v>159.42950474769</v>
      </c>
      <c r="D977">
        <v>-222.1875</v>
      </c>
      <c r="E977">
        <v>14</v>
      </c>
      <c r="F977" t="s">
        <v>1640</v>
      </c>
    </row>
    <row r="978" spans="1:6">
      <c r="A978" t="s">
        <v>2260</v>
      </c>
      <c r="B978">
        <v>977</v>
      </c>
      <c r="C978">
        <v>159.42950474769</v>
      </c>
      <c r="D978">
        <v>-222.1875</v>
      </c>
      <c r="E978">
        <v>14</v>
      </c>
      <c r="F978" t="s">
        <v>1640</v>
      </c>
    </row>
    <row r="979" spans="1:6">
      <c r="A979" t="s">
        <v>2262</v>
      </c>
      <c r="B979">
        <v>978</v>
      </c>
      <c r="C979">
        <v>159.42950474769</v>
      </c>
      <c r="D979">
        <v>-216</v>
      </c>
      <c r="E979">
        <v>14</v>
      </c>
      <c r="F979" t="s">
        <v>1640</v>
      </c>
    </row>
    <row r="980" spans="1:6">
      <c r="A980" t="s">
        <v>2263</v>
      </c>
      <c r="B980">
        <v>979</v>
      </c>
      <c r="C980">
        <v>159.42950474769</v>
      </c>
      <c r="D980">
        <v>-216</v>
      </c>
      <c r="E980">
        <v>14</v>
      </c>
      <c r="F980" t="s">
        <v>1640</v>
      </c>
    </row>
    <row r="981" spans="1:6">
      <c r="A981" t="s">
        <v>2265</v>
      </c>
      <c r="B981">
        <v>980</v>
      </c>
      <c r="C981">
        <v>159.42950474769</v>
      </c>
      <c r="D981">
        <v>-209.8125</v>
      </c>
      <c r="E981">
        <v>14</v>
      </c>
      <c r="F981" t="s">
        <v>1640</v>
      </c>
    </row>
    <row r="982" spans="1:6">
      <c r="A982" t="s">
        <v>2266</v>
      </c>
      <c r="B982">
        <v>981</v>
      </c>
      <c r="C982">
        <v>159.42950474769</v>
      </c>
      <c r="D982">
        <v>-209.8125</v>
      </c>
      <c r="E982">
        <v>14</v>
      </c>
      <c r="F982" t="s">
        <v>1640</v>
      </c>
    </row>
    <row r="983" spans="1:6">
      <c r="A983" t="s">
        <v>2268</v>
      </c>
      <c r="B983">
        <v>982</v>
      </c>
      <c r="C983">
        <v>166.87970100828099</v>
      </c>
      <c r="D983">
        <v>-222.1875</v>
      </c>
      <c r="E983">
        <v>14</v>
      </c>
      <c r="F983" t="s">
        <v>1640</v>
      </c>
    </row>
    <row r="984" spans="1:6">
      <c r="A984" t="s">
        <v>2269</v>
      </c>
      <c r="B984">
        <v>983</v>
      </c>
      <c r="C984">
        <v>166.87970100828099</v>
      </c>
      <c r="D984">
        <v>-222.1875</v>
      </c>
      <c r="E984">
        <v>14</v>
      </c>
      <c r="F984" t="s">
        <v>1640</v>
      </c>
    </row>
    <row r="985" spans="1:6">
      <c r="A985" t="s">
        <v>2271</v>
      </c>
      <c r="B985">
        <v>984</v>
      </c>
      <c r="C985">
        <v>166.87970100828099</v>
      </c>
      <c r="D985">
        <v>-216</v>
      </c>
      <c r="E985">
        <v>14</v>
      </c>
      <c r="F985" t="s">
        <v>1640</v>
      </c>
    </row>
    <row r="986" spans="1:6">
      <c r="A986" t="s">
        <v>2272</v>
      </c>
      <c r="B986">
        <v>985</v>
      </c>
      <c r="C986">
        <v>166.87970100828099</v>
      </c>
      <c r="D986">
        <v>-216</v>
      </c>
      <c r="E986">
        <v>14</v>
      </c>
      <c r="F986" t="s">
        <v>1640</v>
      </c>
    </row>
    <row r="987" spans="1:6">
      <c r="A987" t="s">
        <v>2274</v>
      </c>
      <c r="B987">
        <v>986</v>
      </c>
      <c r="C987">
        <v>166.87970100828099</v>
      </c>
      <c r="D987">
        <v>-209.8125</v>
      </c>
      <c r="E987">
        <v>14</v>
      </c>
      <c r="F987" t="s">
        <v>1640</v>
      </c>
    </row>
    <row r="988" spans="1:6">
      <c r="A988" t="s">
        <v>2275</v>
      </c>
      <c r="B988">
        <v>987</v>
      </c>
      <c r="C988">
        <v>166.87970100828099</v>
      </c>
      <c r="D988">
        <v>-209.8125</v>
      </c>
      <c r="E988">
        <v>14</v>
      </c>
      <c r="F988" t="s">
        <v>1640</v>
      </c>
    </row>
    <row r="989" spans="1:6">
      <c r="A989" t="s">
        <v>2277</v>
      </c>
      <c r="B989">
        <v>988</v>
      </c>
      <c r="C989">
        <v>174.91869874122301</v>
      </c>
      <c r="D989">
        <v>-222.1875</v>
      </c>
      <c r="E989">
        <v>14</v>
      </c>
      <c r="F989" t="s">
        <v>1640</v>
      </c>
    </row>
    <row r="990" spans="1:6">
      <c r="A990" t="s">
        <v>2278</v>
      </c>
      <c r="B990">
        <v>989</v>
      </c>
      <c r="C990">
        <v>174.91869874122301</v>
      </c>
      <c r="D990">
        <v>-222.1875</v>
      </c>
      <c r="E990">
        <v>14</v>
      </c>
      <c r="F990" t="s">
        <v>1640</v>
      </c>
    </row>
    <row r="991" spans="1:6">
      <c r="A991" t="s">
        <v>2280</v>
      </c>
      <c r="B991">
        <v>990</v>
      </c>
      <c r="C991">
        <v>174.91869874122301</v>
      </c>
      <c r="D991">
        <v>-216</v>
      </c>
      <c r="E991">
        <v>14</v>
      </c>
      <c r="F991" t="s">
        <v>1640</v>
      </c>
    </row>
    <row r="992" spans="1:6">
      <c r="A992" t="s">
        <v>2281</v>
      </c>
      <c r="B992">
        <v>991</v>
      </c>
      <c r="C992">
        <v>174.91869874122301</v>
      </c>
      <c r="D992">
        <v>-216</v>
      </c>
      <c r="E992">
        <v>14</v>
      </c>
      <c r="F992" t="s">
        <v>1640</v>
      </c>
    </row>
    <row r="993" spans="1:6">
      <c r="A993" t="s">
        <v>2283</v>
      </c>
      <c r="B993">
        <v>992</v>
      </c>
      <c r="C993">
        <v>174.91869874122301</v>
      </c>
      <c r="D993">
        <v>-209.8125</v>
      </c>
      <c r="E993">
        <v>14</v>
      </c>
      <c r="F993" t="s">
        <v>1640</v>
      </c>
    </row>
    <row r="994" spans="1:6">
      <c r="A994" t="s">
        <v>2284</v>
      </c>
      <c r="B994">
        <v>993</v>
      </c>
      <c r="C994">
        <v>174.91869874122301</v>
      </c>
      <c r="D994">
        <v>-209.8125</v>
      </c>
      <c r="E994">
        <v>14</v>
      </c>
      <c r="F994" t="s">
        <v>1640</v>
      </c>
    </row>
    <row r="995" spans="1:6">
      <c r="A995" t="s">
        <v>2286</v>
      </c>
      <c r="B995">
        <v>994</v>
      </c>
      <c r="C995">
        <v>183.35806926243899</v>
      </c>
      <c r="D995">
        <v>-222.1875</v>
      </c>
      <c r="E995">
        <v>14</v>
      </c>
      <c r="F995" t="s">
        <v>1640</v>
      </c>
    </row>
    <row r="996" spans="1:6">
      <c r="A996" t="s">
        <v>2287</v>
      </c>
      <c r="B996">
        <v>995</v>
      </c>
      <c r="C996">
        <v>183.35806926243899</v>
      </c>
      <c r="D996">
        <v>-222.1875</v>
      </c>
      <c r="E996">
        <v>14</v>
      </c>
      <c r="F996" t="s">
        <v>1640</v>
      </c>
    </row>
    <row r="997" spans="1:6">
      <c r="A997" t="s">
        <v>2289</v>
      </c>
      <c r="B997">
        <v>996</v>
      </c>
      <c r="C997">
        <v>183.35806926243899</v>
      </c>
      <c r="D997">
        <v>-216</v>
      </c>
      <c r="E997">
        <v>14</v>
      </c>
      <c r="F997" t="s">
        <v>1640</v>
      </c>
    </row>
    <row r="998" spans="1:6">
      <c r="A998" t="s">
        <v>2290</v>
      </c>
      <c r="B998">
        <v>997</v>
      </c>
      <c r="C998">
        <v>183.35806926243899</v>
      </c>
      <c r="D998">
        <v>-216</v>
      </c>
      <c r="E998">
        <v>14</v>
      </c>
      <c r="F998" t="s">
        <v>1640</v>
      </c>
    </row>
    <row r="999" spans="1:6">
      <c r="A999" t="s">
        <v>2292</v>
      </c>
      <c r="B999">
        <v>998</v>
      </c>
      <c r="C999">
        <v>183.35806926243899</v>
      </c>
      <c r="D999">
        <v>-209.8125</v>
      </c>
      <c r="E999">
        <v>14</v>
      </c>
      <c r="F999" t="s">
        <v>1640</v>
      </c>
    </row>
    <row r="1000" spans="1:6">
      <c r="A1000" t="s">
        <v>2293</v>
      </c>
      <c r="B1000">
        <v>999</v>
      </c>
      <c r="C1000">
        <v>183.35806926243899</v>
      </c>
      <c r="D1000">
        <v>-209.8125</v>
      </c>
      <c r="E1000">
        <v>14</v>
      </c>
      <c r="F1000" t="s">
        <v>1640</v>
      </c>
    </row>
    <row r="1001" spans="1:6">
      <c r="A1001" t="s">
        <v>2295</v>
      </c>
      <c r="B1001">
        <v>1000</v>
      </c>
      <c r="C1001">
        <v>192</v>
      </c>
      <c r="D1001">
        <v>-222.1875</v>
      </c>
      <c r="E1001">
        <v>14</v>
      </c>
      <c r="F1001" t="s">
        <v>1640</v>
      </c>
    </row>
    <row r="1002" spans="1:6">
      <c r="A1002" t="s">
        <v>2296</v>
      </c>
      <c r="B1002">
        <v>1001</v>
      </c>
      <c r="C1002">
        <v>192</v>
      </c>
      <c r="D1002">
        <v>-222.1875</v>
      </c>
      <c r="E1002">
        <v>14</v>
      </c>
      <c r="F1002" t="s">
        <v>1640</v>
      </c>
    </row>
    <row r="1003" spans="1:6">
      <c r="A1003" t="s">
        <v>2298</v>
      </c>
      <c r="B1003">
        <v>1002</v>
      </c>
      <c r="C1003">
        <v>192</v>
      </c>
      <c r="D1003">
        <v>-216</v>
      </c>
      <c r="E1003">
        <v>14</v>
      </c>
      <c r="F1003" t="s">
        <v>1640</v>
      </c>
    </row>
    <row r="1004" spans="1:6">
      <c r="A1004" t="s">
        <v>2300</v>
      </c>
      <c r="B1004">
        <v>1003</v>
      </c>
      <c r="C1004">
        <v>192</v>
      </c>
      <c r="D1004">
        <v>-209.8125</v>
      </c>
      <c r="E1004">
        <v>14</v>
      </c>
      <c r="F1004" t="s">
        <v>1640</v>
      </c>
    </row>
    <row r="1005" spans="1:6">
      <c r="A1005" t="s">
        <v>2301</v>
      </c>
      <c r="B1005">
        <v>1004</v>
      </c>
      <c r="C1005">
        <v>192</v>
      </c>
      <c r="D1005">
        <v>-209.8125</v>
      </c>
      <c r="E1005">
        <v>14</v>
      </c>
      <c r="F1005" t="s">
        <v>1640</v>
      </c>
    </row>
    <row r="1006" spans="1:6">
      <c r="A1006" t="s">
        <v>2303</v>
      </c>
      <c r="B1006">
        <v>1005</v>
      </c>
      <c r="C1006">
        <v>200.64193073756101</v>
      </c>
      <c r="D1006">
        <v>-222.1875</v>
      </c>
      <c r="E1006">
        <v>14</v>
      </c>
      <c r="F1006" t="s">
        <v>1640</v>
      </c>
    </row>
    <row r="1007" spans="1:6">
      <c r="A1007" t="s">
        <v>2304</v>
      </c>
      <c r="B1007">
        <v>1006</v>
      </c>
      <c r="C1007">
        <v>200.64193073756101</v>
      </c>
      <c r="D1007">
        <v>-222.1875</v>
      </c>
      <c r="E1007">
        <v>14</v>
      </c>
      <c r="F1007" t="s">
        <v>1640</v>
      </c>
    </row>
    <row r="1008" spans="1:6">
      <c r="A1008" t="s">
        <v>2306</v>
      </c>
      <c r="B1008">
        <v>1007</v>
      </c>
      <c r="C1008">
        <v>200.64193073756101</v>
      </c>
      <c r="D1008">
        <v>-216</v>
      </c>
      <c r="E1008">
        <v>14</v>
      </c>
      <c r="F1008" t="s">
        <v>1640</v>
      </c>
    </row>
    <row r="1009" spans="1:6">
      <c r="A1009" t="s">
        <v>2307</v>
      </c>
      <c r="B1009">
        <v>1008</v>
      </c>
      <c r="C1009">
        <v>200.64193073756101</v>
      </c>
      <c r="D1009">
        <v>-216</v>
      </c>
      <c r="E1009">
        <v>14</v>
      </c>
      <c r="F1009" t="s">
        <v>1640</v>
      </c>
    </row>
    <row r="1010" spans="1:6">
      <c r="A1010" t="s">
        <v>2309</v>
      </c>
      <c r="B1010">
        <v>1009</v>
      </c>
      <c r="C1010">
        <v>200.64193073756101</v>
      </c>
      <c r="D1010">
        <v>-209.8125</v>
      </c>
      <c r="E1010">
        <v>14</v>
      </c>
      <c r="F1010" t="s">
        <v>1640</v>
      </c>
    </row>
    <row r="1011" spans="1:6">
      <c r="A1011" t="s">
        <v>2310</v>
      </c>
      <c r="B1011">
        <v>1010</v>
      </c>
      <c r="C1011">
        <v>200.64193073756101</v>
      </c>
      <c r="D1011">
        <v>-209.8125</v>
      </c>
      <c r="E1011">
        <v>14</v>
      </c>
      <c r="F1011" t="s">
        <v>1640</v>
      </c>
    </row>
    <row r="1012" spans="1:6">
      <c r="A1012" t="s">
        <v>2312</v>
      </c>
      <c r="B1012">
        <v>1011</v>
      </c>
      <c r="C1012">
        <v>209.08130125877699</v>
      </c>
      <c r="D1012">
        <v>-222.1875</v>
      </c>
      <c r="E1012">
        <v>14</v>
      </c>
      <c r="F1012" t="s">
        <v>1640</v>
      </c>
    </row>
    <row r="1013" spans="1:6">
      <c r="A1013" t="s">
        <v>2313</v>
      </c>
      <c r="B1013">
        <v>1012</v>
      </c>
      <c r="C1013">
        <v>209.08130125877699</v>
      </c>
      <c r="D1013">
        <v>-222.1875</v>
      </c>
      <c r="E1013">
        <v>14</v>
      </c>
      <c r="F1013" t="s">
        <v>1640</v>
      </c>
    </row>
    <row r="1014" spans="1:6">
      <c r="A1014" t="s">
        <v>2315</v>
      </c>
      <c r="B1014">
        <v>1013</v>
      </c>
      <c r="C1014">
        <v>209.08130125877699</v>
      </c>
      <c r="D1014">
        <v>-216</v>
      </c>
      <c r="E1014">
        <v>14</v>
      </c>
      <c r="F1014" t="s">
        <v>1640</v>
      </c>
    </row>
    <row r="1015" spans="1:6">
      <c r="A1015" t="s">
        <v>2316</v>
      </c>
      <c r="B1015">
        <v>1014</v>
      </c>
      <c r="C1015">
        <v>209.08130125877699</v>
      </c>
      <c r="D1015">
        <v>-216</v>
      </c>
      <c r="E1015">
        <v>14</v>
      </c>
      <c r="F1015" t="s">
        <v>1640</v>
      </c>
    </row>
    <row r="1016" spans="1:6">
      <c r="A1016" t="s">
        <v>2318</v>
      </c>
      <c r="B1016">
        <v>1015</v>
      </c>
      <c r="C1016">
        <v>209.08130125877699</v>
      </c>
      <c r="D1016">
        <v>-209.8125</v>
      </c>
      <c r="E1016">
        <v>14</v>
      </c>
      <c r="F1016" t="s">
        <v>1640</v>
      </c>
    </row>
    <row r="1017" spans="1:6">
      <c r="A1017" t="s">
        <v>2319</v>
      </c>
      <c r="B1017">
        <v>1016</v>
      </c>
      <c r="C1017">
        <v>209.08130125877699</v>
      </c>
      <c r="D1017">
        <v>-209.8125</v>
      </c>
      <c r="E1017">
        <v>14</v>
      </c>
      <c r="F1017" t="s">
        <v>1640</v>
      </c>
    </row>
    <row r="1018" spans="1:6">
      <c r="A1018" t="s">
        <v>2321</v>
      </c>
      <c r="B1018">
        <v>1017</v>
      </c>
      <c r="C1018">
        <v>217.12029899171901</v>
      </c>
      <c r="D1018">
        <v>-222.1875</v>
      </c>
      <c r="E1018">
        <v>14</v>
      </c>
      <c r="F1018" t="s">
        <v>1640</v>
      </c>
    </row>
    <row r="1019" spans="1:6">
      <c r="A1019" t="s">
        <v>2322</v>
      </c>
      <c r="B1019">
        <v>1018</v>
      </c>
      <c r="C1019">
        <v>217.12029899171901</v>
      </c>
      <c r="D1019">
        <v>-222.1875</v>
      </c>
      <c r="E1019">
        <v>14</v>
      </c>
      <c r="F1019" t="s">
        <v>1640</v>
      </c>
    </row>
    <row r="1020" spans="1:6">
      <c r="A1020" t="s">
        <v>2324</v>
      </c>
      <c r="B1020">
        <v>1019</v>
      </c>
      <c r="C1020">
        <v>217.12029899171901</v>
      </c>
      <c r="D1020">
        <v>-216</v>
      </c>
      <c r="E1020">
        <v>14</v>
      </c>
      <c r="F1020" t="s">
        <v>1640</v>
      </c>
    </row>
    <row r="1021" spans="1:6">
      <c r="A1021" t="s">
        <v>2325</v>
      </c>
      <c r="B1021">
        <v>1020</v>
      </c>
      <c r="C1021">
        <v>217.12029899171901</v>
      </c>
      <c r="D1021">
        <v>-216</v>
      </c>
      <c r="E1021">
        <v>14</v>
      </c>
      <c r="F1021" t="s">
        <v>1640</v>
      </c>
    </row>
    <row r="1022" spans="1:6">
      <c r="A1022" t="s">
        <v>2327</v>
      </c>
      <c r="B1022">
        <v>1021</v>
      </c>
      <c r="C1022">
        <v>217.12029899171901</v>
      </c>
      <c r="D1022">
        <v>-209.8125</v>
      </c>
      <c r="E1022">
        <v>14</v>
      </c>
      <c r="F1022" t="s">
        <v>1640</v>
      </c>
    </row>
    <row r="1023" spans="1:6">
      <c r="A1023" t="s">
        <v>2328</v>
      </c>
      <c r="B1023">
        <v>1022</v>
      </c>
      <c r="C1023">
        <v>217.12029899171901</v>
      </c>
      <c r="D1023">
        <v>-209.8125</v>
      </c>
      <c r="E1023">
        <v>14</v>
      </c>
      <c r="F1023" t="s">
        <v>1640</v>
      </c>
    </row>
    <row r="1024" spans="1:6">
      <c r="A1024" t="s">
        <v>2330</v>
      </c>
      <c r="B1024">
        <v>1023</v>
      </c>
      <c r="C1024">
        <v>224.57049525231</v>
      </c>
      <c r="D1024">
        <v>-222.1875</v>
      </c>
      <c r="E1024">
        <v>14</v>
      </c>
      <c r="F1024" t="s">
        <v>1640</v>
      </c>
    </row>
    <row r="1025" spans="1:6">
      <c r="A1025" t="s">
        <v>2331</v>
      </c>
      <c r="B1025">
        <v>1024</v>
      </c>
      <c r="C1025">
        <v>224.57049525231</v>
      </c>
      <c r="D1025">
        <v>-222.1875</v>
      </c>
      <c r="E1025">
        <v>14</v>
      </c>
      <c r="F1025" t="s">
        <v>1640</v>
      </c>
    </row>
    <row r="1026" spans="1:6">
      <c r="A1026" t="s">
        <v>2333</v>
      </c>
      <c r="B1026">
        <v>1025</v>
      </c>
      <c r="C1026">
        <v>224.57049525231</v>
      </c>
      <c r="D1026">
        <v>-216</v>
      </c>
      <c r="E1026">
        <v>14</v>
      </c>
      <c r="F1026" t="s">
        <v>1640</v>
      </c>
    </row>
    <row r="1027" spans="1:6">
      <c r="A1027" t="s">
        <v>2334</v>
      </c>
      <c r="B1027">
        <v>1026</v>
      </c>
      <c r="C1027">
        <v>224.57049525231</v>
      </c>
      <c r="D1027">
        <v>-216</v>
      </c>
      <c r="E1027">
        <v>14</v>
      </c>
      <c r="F1027" t="s">
        <v>1640</v>
      </c>
    </row>
    <row r="1028" spans="1:6">
      <c r="A1028" t="s">
        <v>2336</v>
      </c>
      <c r="B1028">
        <v>1027</v>
      </c>
      <c r="C1028">
        <v>224.57049525231</v>
      </c>
      <c r="D1028">
        <v>-209.8125</v>
      </c>
      <c r="E1028">
        <v>14</v>
      </c>
      <c r="F1028" t="s">
        <v>1640</v>
      </c>
    </row>
    <row r="1029" spans="1:6">
      <c r="A1029" t="s">
        <v>2337</v>
      </c>
      <c r="B1029">
        <v>1028</v>
      </c>
      <c r="C1029">
        <v>224.57049525231</v>
      </c>
      <c r="D1029">
        <v>-209.8125</v>
      </c>
      <c r="E1029">
        <v>14</v>
      </c>
      <c r="F1029" t="s">
        <v>1640</v>
      </c>
    </row>
    <row r="1030" spans="1:6">
      <c r="A1030" t="s">
        <v>2339</v>
      </c>
      <c r="B1030">
        <v>1029</v>
      </c>
      <c r="C1030">
        <v>231.25726116164401</v>
      </c>
      <c r="D1030">
        <v>-222.1875</v>
      </c>
      <c r="E1030">
        <v>14</v>
      </c>
      <c r="F1030" t="s">
        <v>1640</v>
      </c>
    </row>
    <row r="1031" spans="1:6">
      <c r="A1031" t="s">
        <v>2340</v>
      </c>
      <c r="B1031">
        <v>1030</v>
      </c>
      <c r="C1031">
        <v>231.25726116164401</v>
      </c>
      <c r="D1031">
        <v>-222.1875</v>
      </c>
      <c r="E1031">
        <v>14</v>
      </c>
      <c r="F1031" t="s">
        <v>1640</v>
      </c>
    </row>
    <row r="1032" spans="1:6">
      <c r="A1032" t="s">
        <v>2342</v>
      </c>
      <c r="B1032">
        <v>1031</v>
      </c>
      <c r="C1032">
        <v>231.25726116164401</v>
      </c>
      <c r="D1032">
        <v>-216</v>
      </c>
      <c r="E1032">
        <v>14</v>
      </c>
      <c r="F1032" t="s">
        <v>1640</v>
      </c>
    </row>
    <row r="1033" spans="1:6">
      <c r="A1033" t="s">
        <v>2343</v>
      </c>
      <c r="B1033">
        <v>1032</v>
      </c>
      <c r="C1033">
        <v>231.25726116164401</v>
      </c>
      <c r="D1033">
        <v>-216</v>
      </c>
      <c r="E1033">
        <v>14</v>
      </c>
      <c r="F1033" t="s">
        <v>1640</v>
      </c>
    </row>
    <row r="1034" spans="1:6">
      <c r="A1034" t="s">
        <v>2345</v>
      </c>
      <c r="B1034">
        <v>1033</v>
      </c>
      <c r="C1034">
        <v>231.25726116164401</v>
      </c>
      <c r="D1034">
        <v>-209.8125</v>
      </c>
      <c r="E1034">
        <v>14</v>
      </c>
      <c r="F1034" t="s">
        <v>1640</v>
      </c>
    </row>
    <row r="1035" spans="1:6">
      <c r="A1035" t="s">
        <v>2346</v>
      </c>
      <c r="B1035">
        <v>1034</v>
      </c>
      <c r="C1035">
        <v>231.25726116164401</v>
      </c>
      <c r="D1035">
        <v>-209.8125</v>
      </c>
      <c r="E1035">
        <v>14</v>
      </c>
      <c r="F1035" t="s">
        <v>1640</v>
      </c>
    </row>
    <row r="1036" spans="1:6">
      <c r="A1036" t="s">
        <v>2348</v>
      </c>
      <c r="B1036">
        <v>1035</v>
      </c>
      <c r="C1036">
        <v>237.02385894377099</v>
      </c>
      <c r="D1036">
        <v>-222.1875</v>
      </c>
      <c r="E1036">
        <v>14</v>
      </c>
      <c r="F1036" t="s">
        <v>1640</v>
      </c>
    </row>
    <row r="1037" spans="1:6">
      <c r="A1037" t="s">
        <v>2349</v>
      </c>
      <c r="B1037">
        <v>1036</v>
      </c>
      <c r="C1037">
        <v>237.02385894377099</v>
      </c>
      <c r="D1037">
        <v>-222.1875</v>
      </c>
      <c r="E1037">
        <v>14</v>
      </c>
      <c r="F1037" t="s">
        <v>1640</v>
      </c>
    </row>
    <row r="1038" spans="1:6">
      <c r="A1038" t="s">
        <v>2351</v>
      </c>
      <c r="B1038">
        <v>1037</v>
      </c>
      <c r="C1038">
        <v>237.02385894377099</v>
      </c>
      <c r="D1038">
        <v>-216</v>
      </c>
      <c r="E1038">
        <v>14</v>
      </c>
      <c r="F1038" t="s">
        <v>1640</v>
      </c>
    </row>
    <row r="1039" spans="1:6">
      <c r="A1039" t="s">
        <v>2352</v>
      </c>
      <c r="B1039">
        <v>1038</v>
      </c>
      <c r="C1039">
        <v>237.02385894377099</v>
      </c>
      <c r="D1039">
        <v>-216</v>
      </c>
      <c r="E1039">
        <v>14</v>
      </c>
      <c r="F1039" t="s">
        <v>1640</v>
      </c>
    </row>
    <row r="1040" spans="1:6">
      <c r="A1040" t="s">
        <v>2354</v>
      </c>
      <c r="B1040">
        <v>1039</v>
      </c>
      <c r="C1040">
        <v>237.02385894377099</v>
      </c>
      <c r="D1040">
        <v>-209.8125</v>
      </c>
      <c r="E1040">
        <v>14</v>
      </c>
      <c r="F1040" t="s">
        <v>1640</v>
      </c>
    </row>
    <row r="1041" spans="1:6">
      <c r="A1041" t="s">
        <v>2355</v>
      </c>
      <c r="B1041">
        <v>1040</v>
      </c>
      <c r="C1041">
        <v>237.02385894377099</v>
      </c>
      <c r="D1041">
        <v>-209.8125</v>
      </c>
      <c r="E1041">
        <v>14</v>
      </c>
      <c r="F1041" t="s">
        <v>1640</v>
      </c>
    </row>
    <row r="1042" spans="1:6">
      <c r="A1042" t="s">
        <v>2357</v>
      </c>
      <c r="B1042">
        <v>1041</v>
      </c>
      <c r="C1042">
        <v>241.73510959799</v>
      </c>
      <c r="D1042">
        <v>-222.1875</v>
      </c>
      <c r="E1042">
        <v>14</v>
      </c>
      <c r="F1042" t="s">
        <v>1640</v>
      </c>
    </row>
    <row r="1043" spans="1:6">
      <c r="A1043" t="s">
        <v>2358</v>
      </c>
      <c r="B1043">
        <v>1042</v>
      </c>
      <c r="C1043">
        <v>241.73510959799</v>
      </c>
      <c r="D1043">
        <v>-222.1875</v>
      </c>
      <c r="E1043">
        <v>14</v>
      </c>
      <c r="F1043" t="s">
        <v>1640</v>
      </c>
    </row>
    <row r="1044" spans="1:6">
      <c r="A1044" t="s">
        <v>2360</v>
      </c>
      <c r="B1044">
        <v>1043</v>
      </c>
      <c r="C1044">
        <v>241.73510959799</v>
      </c>
      <c r="D1044">
        <v>-216</v>
      </c>
      <c r="E1044">
        <v>14</v>
      </c>
      <c r="F1044" t="s">
        <v>1640</v>
      </c>
    </row>
    <row r="1045" spans="1:6">
      <c r="A1045" t="s">
        <v>2361</v>
      </c>
      <c r="B1045">
        <v>1044</v>
      </c>
      <c r="C1045">
        <v>241.73510959799</v>
      </c>
      <c r="D1045">
        <v>-216</v>
      </c>
      <c r="E1045">
        <v>14</v>
      </c>
      <c r="F1045" t="s">
        <v>1640</v>
      </c>
    </row>
    <row r="1046" spans="1:6">
      <c r="A1046" t="s">
        <v>2363</v>
      </c>
      <c r="B1046">
        <v>1045</v>
      </c>
      <c r="C1046">
        <v>241.73510959799</v>
      </c>
      <c r="D1046">
        <v>-209.8125</v>
      </c>
      <c r="E1046">
        <v>14</v>
      </c>
      <c r="F1046" t="s">
        <v>1640</v>
      </c>
    </row>
    <row r="1047" spans="1:6">
      <c r="A1047" t="s">
        <v>2364</v>
      </c>
      <c r="B1047">
        <v>1046</v>
      </c>
      <c r="C1047">
        <v>241.73510959799</v>
      </c>
      <c r="D1047">
        <v>-209.8125</v>
      </c>
      <c r="E1047">
        <v>14</v>
      </c>
      <c r="F1047" t="s">
        <v>1640</v>
      </c>
    </row>
    <row r="1048" spans="1:6">
      <c r="A1048" t="s">
        <v>2366</v>
      </c>
      <c r="B1048">
        <v>1047</v>
      </c>
      <c r="C1048">
        <v>245.28053429678499</v>
      </c>
      <c r="D1048">
        <v>-222.1875</v>
      </c>
      <c r="E1048">
        <v>14</v>
      </c>
      <c r="F1048" t="s">
        <v>1640</v>
      </c>
    </row>
    <row r="1049" spans="1:6">
      <c r="A1049" t="s">
        <v>2367</v>
      </c>
      <c r="B1049">
        <v>1048</v>
      </c>
      <c r="C1049">
        <v>245.28053429678499</v>
      </c>
      <c r="D1049">
        <v>-222.1875</v>
      </c>
      <c r="E1049">
        <v>14</v>
      </c>
      <c r="F1049" t="s">
        <v>1640</v>
      </c>
    </row>
    <row r="1050" spans="1:6">
      <c r="A1050" t="s">
        <v>2369</v>
      </c>
      <c r="B1050">
        <v>1049</v>
      </c>
      <c r="C1050">
        <v>245.28053429678499</v>
      </c>
      <c r="D1050">
        <v>-216</v>
      </c>
      <c r="E1050">
        <v>14</v>
      </c>
      <c r="F1050" t="s">
        <v>1640</v>
      </c>
    </row>
    <row r="1051" spans="1:6">
      <c r="A1051" t="s">
        <v>2370</v>
      </c>
      <c r="B1051">
        <v>1050</v>
      </c>
      <c r="C1051">
        <v>245.28053429678499</v>
      </c>
      <c r="D1051">
        <v>-216</v>
      </c>
      <c r="E1051">
        <v>14</v>
      </c>
      <c r="F1051" t="s">
        <v>1640</v>
      </c>
    </row>
    <row r="1052" spans="1:6">
      <c r="A1052" t="s">
        <v>2372</v>
      </c>
      <c r="B1052">
        <v>1051</v>
      </c>
      <c r="C1052">
        <v>245.28053429678499</v>
      </c>
      <c r="D1052">
        <v>-209.8125</v>
      </c>
      <c r="E1052">
        <v>14</v>
      </c>
      <c r="F1052" t="s">
        <v>1640</v>
      </c>
    </row>
    <row r="1053" spans="1:6">
      <c r="A1053" t="s">
        <v>2373</v>
      </c>
      <c r="B1053">
        <v>1052</v>
      </c>
      <c r="C1053">
        <v>245.28053429678499</v>
      </c>
      <c r="D1053">
        <v>-209.8125</v>
      </c>
      <c r="E1053">
        <v>14</v>
      </c>
      <c r="F1053" t="s">
        <v>1640</v>
      </c>
    </row>
    <row r="1054" spans="1:6">
      <c r="A1054" t="s">
        <v>2375</v>
      </c>
      <c r="B1054">
        <v>1053</v>
      </c>
      <c r="C1054">
        <v>247.576745526694</v>
      </c>
      <c r="D1054">
        <v>-222.1875</v>
      </c>
      <c r="E1054">
        <v>14</v>
      </c>
      <c r="F1054" t="s">
        <v>1640</v>
      </c>
    </row>
    <row r="1055" spans="1:6">
      <c r="A1055" t="s">
        <v>2376</v>
      </c>
      <c r="B1055">
        <v>1054</v>
      </c>
      <c r="C1055">
        <v>247.576745526694</v>
      </c>
      <c r="D1055">
        <v>-222.1875</v>
      </c>
      <c r="E1055">
        <v>14</v>
      </c>
      <c r="F1055" t="s">
        <v>1640</v>
      </c>
    </row>
    <row r="1056" spans="1:6">
      <c r="A1056" t="s">
        <v>2378</v>
      </c>
      <c r="B1056">
        <v>1055</v>
      </c>
      <c r="C1056">
        <v>247.576745526694</v>
      </c>
      <c r="D1056">
        <v>-216</v>
      </c>
      <c r="E1056">
        <v>14</v>
      </c>
      <c r="F1056" t="s">
        <v>1640</v>
      </c>
    </row>
    <row r="1057" spans="1:6">
      <c r="A1057" t="s">
        <v>2379</v>
      </c>
      <c r="B1057">
        <v>1056</v>
      </c>
      <c r="C1057">
        <v>247.576745526694</v>
      </c>
      <c r="D1057">
        <v>-216</v>
      </c>
      <c r="E1057">
        <v>14</v>
      </c>
      <c r="F1057" t="s">
        <v>1640</v>
      </c>
    </row>
    <row r="1058" spans="1:6">
      <c r="A1058" t="s">
        <v>2381</v>
      </c>
      <c r="B1058">
        <v>1057</v>
      </c>
      <c r="C1058">
        <v>247.576745526694</v>
      </c>
      <c r="D1058">
        <v>-209.8125</v>
      </c>
      <c r="E1058">
        <v>14</v>
      </c>
      <c r="F1058" t="s">
        <v>1640</v>
      </c>
    </row>
    <row r="1059" spans="1:6">
      <c r="A1059" t="s">
        <v>2382</v>
      </c>
      <c r="B1059">
        <v>1058</v>
      </c>
      <c r="C1059">
        <v>247.576745526694</v>
      </c>
      <c r="D1059">
        <v>-209.8125</v>
      </c>
      <c r="E1059">
        <v>14</v>
      </c>
      <c r="F1059" t="s">
        <v>1640</v>
      </c>
    </row>
    <row r="1060" spans="1:6">
      <c r="A1060" t="s">
        <v>2384</v>
      </c>
      <c r="B1060">
        <v>1059</v>
      </c>
      <c r="C1060">
        <v>248.5625</v>
      </c>
      <c r="D1060">
        <v>-222.1875</v>
      </c>
      <c r="E1060">
        <v>14</v>
      </c>
      <c r="F1060" t="s">
        <v>1640</v>
      </c>
    </row>
    <row r="1061" spans="1:6">
      <c r="A1061" t="s">
        <v>2385</v>
      </c>
      <c r="B1061">
        <v>1060</v>
      </c>
      <c r="C1061">
        <v>248.5625</v>
      </c>
      <c r="D1061">
        <v>-222.1875</v>
      </c>
      <c r="E1061">
        <v>14</v>
      </c>
      <c r="F1061" t="s">
        <v>1640</v>
      </c>
    </row>
    <row r="1062" spans="1:6">
      <c r="A1062" t="s">
        <v>2387</v>
      </c>
      <c r="B1062">
        <v>1061</v>
      </c>
      <c r="C1062">
        <v>248.5625</v>
      </c>
      <c r="D1062">
        <v>-216</v>
      </c>
      <c r="E1062">
        <v>14</v>
      </c>
      <c r="F1062" t="s">
        <v>1640</v>
      </c>
    </row>
    <row r="1063" spans="1:6">
      <c r="A1063" t="s">
        <v>2388</v>
      </c>
      <c r="B1063">
        <v>1062</v>
      </c>
      <c r="C1063">
        <v>248.5625</v>
      </c>
      <c r="D1063">
        <v>-216</v>
      </c>
      <c r="E1063">
        <v>14</v>
      </c>
      <c r="F1063" t="s">
        <v>1640</v>
      </c>
    </row>
    <row r="1064" spans="1:6">
      <c r="A1064" t="s">
        <v>2390</v>
      </c>
      <c r="B1064">
        <v>1063</v>
      </c>
      <c r="C1064">
        <v>248.5625</v>
      </c>
      <c r="D1064">
        <v>-209.8125</v>
      </c>
      <c r="E1064">
        <v>14</v>
      </c>
      <c r="F1064" t="s">
        <v>1640</v>
      </c>
    </row>
    <row r="1065" spans="1:6">
      <c r="A1065" t="s">
        <v>2391</v>
      </c>
      <c r="B1065">
        <v>1064</v>
      </c>
      <c r="C1065">
        <v>248.5625</v>
      </c>
      <c r="D1065">
        <v>-209.8125</v>
      </c>
      <c r="E1065">
        <v>14</v>
      </c>
      <c r="F1065" t="s">
        <v>1640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1602-8D2B-47FD-8723-EAB031E9A962}">
  <sheetPr>
    <tabColor indexed="10"/>
  </sheetPr>
  <dimension ref="A1:G297"/>
  <sheetViews>
    <sheetView workbookViewId="0">
      <selection activeCell="H1" sqref="H1:XFD1048576"/>
    </sheetView>
  </sheetViews>
  <sheetFormatPr defaultColWidth="0" defaultRowHeight="14.4"/>
  <cols>
    <col min="1" max="1" width="20.77734375" bestFit="1" customWidth="1"/>
    <col min="2" max="7" width="8.88671875" customWidth="1"/>
    <col min="8" max="16384" width="8.88671875" hidden="1"/>
  </cols>
  <sheetData>
    <row r="1" spans="1:7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>
      <c r="A43" t="s">
        <v>1639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>
      <c r="A44" t="s">
        <v>1653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>
      <c r="A45" t="s">
        <v>1656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>
      <c r="A46" t="s">
        <v>1659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>
      <c r="A47" t="s">
        <v>1662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>
      <c r="A48" t="s">
        <v>1665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>
      <c r="A49" t="s">
        <v>1668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>
      <c r="A50" t="s">
        <v>1671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>
      <c r="A51" t="s">
        <v>1674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>
      <c r="A52" t="s">
        <v>1677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>
      <c r="A53" t="s">
        <v>1680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>
      <c r="A54" t="s">
        <v>1683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>
      <c r="A55" t="s">
        <v>1686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>
      <c r="A56" t="s">
        <v>1689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>
      <c r="A57" t="s">
        <v>1692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>
      <c r="A58" t="s">
        <v>1695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>
      <c r="A59" t="s">
        <v>1698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>
      <c r="A60" t="s">
        <v>1701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>
      <c r="A61" t="s">
        <v>1704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>
      <c r="A62" t="s">
        <v>1707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>
      <c r="A63" t="s">
        <v>1710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>
      <c r="A64" t="s">
        <v>1713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>
      <c r="A65" t="s">
        <v>1716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>
      <c r="A66" t="s">
        <v>1719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>
      <c r="A67" t="s">
        <v>1722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>
      <c r="A68" t="s">
        <v>1725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>
      <c r="A69" t="s">
        <v>1728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>
      <c r="A70" t="s">
        <v>1731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>
      <c r="A71" t="s">
        <v>1734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>
      <c r="A72" t="s">
        <v>1737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>
      <c r="A73" t="s">
        <v>1740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>
      <c r="A74" t="s">
        <v>1743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>
      <c r="A75" t="s">
        <v>1745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>
      <c r="A76" t="s">
        <v>1748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>
      <c r="A77" t="s">
        <v>1751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>
      <c r="A78" t="s">
        <v>1754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>
      <c r="A79" t="s">
        <v>1757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>
      <c r="A80" t="s">
        <v>1760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>
      <c r="A81" t="s">
        <v>1763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>
      <c r="A82" t="s">
        <v>1766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>
      <c r="A83" t="s">
        <v>1769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>
      <c r="A84" t="s">
        <v>1772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>
      <c r="A85" t="s">
        <v>1775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>
      <c r="A86" t="s">
        <v>1778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>
      <c r="A87" t="s">
        <v>1781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>
      <c r="A88" t="s">
        <v>1784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>
      <c r="A89" t="s">
        <v>1787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>
      <c r="A90" t="s">
        <v>1790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>
      <c r="A91" t="s">
        <v>1793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>
      <c r="A92" t="s">
        <v>1796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>
      <c r="A93" t="s">
        <v>1799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>
      <c r="A94" t="s">
        <v>1802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>
      <c r="A95" t="s">
        <v>1805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>
      <c r="A96" t="s">
        <v>1808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>
      <c r="A97" t="s">
        <v>1811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>
      <c r="A98" t="s">
        <v>1814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>
      <c r="A99" t="s">
        <v>1817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>
      <c r="A100" t="s">
        <v>1820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>
      <c r="A101" t="s">
        <v>1823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>
      <c r="A102" t="s">
        <v>1826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>
      <c r="A103" t="s">
        <v>1829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>
      <c r="A104" t="s">
        <v>1832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>
      <c r="A105" t="s">
        <v>1835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>
      <c r="A107" t="s">
        <v>1644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>
      <c r="A108" t="s">
        <v>1838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>
      <c r="A109" t="s">
        <v>1841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>
      <c r="A110" t="s">
        <v>1844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>
      <c r="A111" t="s">
        <v>1847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>
      <c r="A112" t="s">
        <v>1850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>
      <c r="A113" t="s">
        <v>1853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>
      <c r="A114" t="s">
        <v>1856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>
      <c r="A115" t="s">
        <v>1859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>
      <c r="A116" t="s">
        <v>1862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>
      <c r="A117" t="s">
        <v>1865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>
      <c r="A118" t="s">
        <v>1868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>
      <c r="A119" t="s">
        <v>1871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>
      <c r="A120" t="s">
        <v>1874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>
      <c r="A121" t="s">
        <v>1877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>
      <c r="A122" t="s">
        <v>1880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>
      <c r="A123" t="s">
        <v>1883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>
      <c r="A124" t="s">
        <v>1886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>
      <c r="A125" t="s">
        <v>1889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>
      <c r="A126" t="s">
        <v>1892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>
      <c r="A127" t="s">
        <v>1895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>
      <c r="A128" t="s">
        <v>1898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>
      <c r="A129" t="s">
        <v>1901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>
      <c r="A130" t="s">
        <v>1904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>
      <c r="A131" t="s">
        <v>1907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>
      <c r="A132" t="s">
        <v>1910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>
      <c r="A133" t="s">
        <v>1913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>
      <c r="A134" t="s">
        <v>1916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>
      <c r="A135" t="s">
        <v>1919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>
      <c r="A136" t="s">
        <v>1922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>
      <c r="A137" t="s">
        <v>1925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>
      <c r="A138" t="s">
        <v>1928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>
      <c r="A139" t="s">
        <v>1930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>
      <c r="A140" t="s">
        <v>1933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>
      <c r="A141" t="s">
        <v>1936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>
      <c r="A142" t="s">
        <v>1939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>
      <c r="A143" t="s">
        <v>1942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>
      <c r="A144" t="s">
        <v>1945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>
      <c r="A145" t="s">
        <v>1948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>
      <c r="A146" t="s">
        <v>1951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>
      <c r="A147" t="s">
        <v>1954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>
      <c r="A148" t="s">
        <v>1957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>
      <c r="A149" t="s">
        <v>1960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>
      <c r="A150" t="s">
        <v>1963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>
      <c r="A151" t="s">
        <v>1966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>
      <c r="A152" t="s">
        <v>1969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>
      <c r="A153" t="s">
        <v>1972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>
      <c r="A154" t="s">
        <v>1975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>
      <c r="A155" t="s">
        <v>1978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>
      <c r="A156" t="s">
        <v>1981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>
      <c r="A157" t="s">
        <v>1984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>
      <c r="A158" t="s">
        <v>1987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>
      <c r="A159" t="s">
        <v>1990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>
      <c r="A160" t="s">
        <v>1993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>
      <c r="A161" t="s">
        <v>1996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>
      <c r="A162" t="s">
        <v>1999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>
      <c r="A163" t="s">
        <v>2002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>
      <c r="A164" t="s">
        <v>2005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>
      <c r="A165" t="s">
        <v>2008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>
      <c r="A166" t="s">
        <v>2011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>
      <c r="A167" t="s">
        <v>2014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>
      <c r="A168" t="s">
        <v>2017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>
      <c r="A169" t="s">
        <v>2020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>
      <c r="A171" t="s">
        <v>1647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>
      <c r="A172" t="s">
        <v>2023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>
      <c r="A173" t="s">
        <v>2026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>
      <c r="A174" t="s">
        <v>2029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>
      <c r="A175" t="s">
        <v>2032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>
      <c r="A176" t="s">
        <v>2035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>
      <c r="A177" t="s">
        <v>2038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>
      <c r="A178" t="s">
        <v>2041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>
      <c r="A179" t="s">
        <v>2044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>
      <c r="A180" t="s">
        <v>2047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>
      <c r="A181" t="s">
        <v>2050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>
      <c r="A182" t="s">
        <v>2053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>
      <c r="A183" t="s">
        <v>2056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>
      <c r="A184" t="s">
        <v>2059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>
      <c r="A185" t="s">
        <v>2062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>
      <c r="A186" t="s">
        <v>2065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>
      <c r="A187" t="s">
        <v>2068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>
      <c r="A188" t="s">
        <v>2071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>
      <c r="A189" t="s">
        <v>2074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>
      <c r="A190" t="s">
        <v>2077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>
      <c r="A191" t="s">
        <v>2080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>
      <c r="A192" t="s">
        <v>2083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>
      <c r="A193" t="s">
        <v>2086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>
      <c r="A194" t="s">
        <v>2089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>
      <c r="A195" t="s">
        <v>2092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>
      <c r="A196" t="s">
        <v>2095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>
      <c r="A197" t="s">
        <v>2098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>
      <c r="A198" t="s">
        <v>2101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>
      <c r="A199" t="s">
        <v>2104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>
      <c r="A200" t="s">
        <v>2107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>
      <c r="A201" t="s">
        <v>2110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>
      <c r="A202" t="s">
        <v>2113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>
      <c r="A203" t="s">
        <v>2115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>
      <c r="A204" t="s">
        <v>2118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>
      <c r="A205" t="s">
        <v>2121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>
      <c r="A206" t="s">
        <v>2124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>
      <c r="A207" t="s">
        <v>2127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>
      <c r="A208" t="s">
        <v>2130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>
      <c r="A209" t="s">
        <v>2133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>
      <c r="A210" t="s">
        <v>2136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>
      <c r="A211" t="s">
        <v>2139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>
      <c r="A212" t="s">
        <v>2142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>
      <c r="A213" t="s">
        <v>2145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>
      <c r="A214" t="s">
        <v>2148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>
      <c r="A215" t="s">
        <v>2151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>
      <c r="A216" t="s">
        <v>2154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>
      <c r="A217" t="s">
        <v>2157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>
      <c r="A218" t="s">
        <v>2160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>
      <c r="A219" t="s">
        <v>2163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>
      <c r="A220" t="s">
        <v>2166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>
      <c r="A221" t="s">
        <v>2169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>
      <c r="A222" t="s">
        <v>2172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>
      <c r="A223" t="s">
        <v>2175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>
      <c r="A224" t="s">
        <v>2178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>
      <c r="A225" t="s">
        <v>2181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>
      <c r="A226" t="s">
        <v>2184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>
      <c r="A227" t="s">
        <v>2187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>
      <c r="A228" t="s">
        <v>2190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>
      <c r="A229" t="s">
        <v>2193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>
      <c r="A230" t="s">
        <v>2196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>
      <c r="A231" t="s">
        <v>2199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>
      <c r="A232" t="s">
        <v>2202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>
      <c r="A233" t="s">
        <v>2205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>
      <c r="A235" t="s">
        <v>1650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>
      <c r="A236" t="s">
        <v>2208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>
      <c r="A237" t="s">
        <v>2211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>
      <c r="A238" t="s">
        <v>2214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>
      <c r="A239" t="s">
        <v>2217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>
      <c r="A240" t="s">
        <v>2220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>
      <c r="A241" t="s">
        <v>2223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>
      <c r="A242" t="s">
        <v>2226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>
      <c r="A243" t="s">
        <v>2229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>
      <c r="A244" t="s">
        <v>2232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>
      <c r="A245" t="s">
        <v>2235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>
      <c r="A246" t="s">
        <v>2238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>
      <c r="A247" t="s">
        <v>2241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>
      <c r="A248" t="s">
        <v>2244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>
      <c r="A249" t="s">
        <v>2247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>
      <c r="A250" t="s">
        <v>2250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>
      <c r="A251" t="s">
        <v>2253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>
      <c r="A252" t="s">
        <v>2256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>
      <c r="A253" t="s">
        <v>2259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>
      <c r="A254" t="s">
        <v>2262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>
      <c r="A255" t="s">
        <v>2265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>
      <c r="A256" t="s">
        <v>2268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>
      <c r="A257" t="s">
        <v>2271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>
      <c r="A258" t="s">
        <v>2274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>
      <c r="A259" t="s">
        <v>2277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>
      <c r="A260" t="s">
        <v>2280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>
      <c r="A261" t="s">
        <v>2283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>
      <c r="A262" t="s">
        <v>2286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>
      <c r="A263" t="s">
        <v>2289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>
      <c r="A264" t="s">
        <v>2292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>
      <c r="A265" t="s">
        <v>2295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>
      <c r="A266" t="s">
        <v>2298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>
      <c r="A267" t="s">
        <v>2300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>
      <c r="A268" t="s">
        <v>2303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>
      <c r="A269" t="s">
        <v>2306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>
      <c r="A270" t="s">
        <v>2309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>
      <c r="A271" t="s">
        <v>2312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>
      <c r="A272" t="s">
        <v>2315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>
      <c r="A273" t="s">
        <v>2318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>
      <c r="A274" t="s">
        <v>2321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>
      <c r="A275" t="s">
        <v>2324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>
      <c r="A276" t="s">
        <v>2327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>
      <c r="A277" t="s">
        <v>2330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>
      <c r="A278" t="s">
        <v>2333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>
      <c r="A279" t="s">
        <v>2336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>
      <c r="A280" t="s">
        <v>2339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>
      <c r="A281" t="s">
        <v>2342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>
      <c r="A282" t="s">
        <v>2345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>
      <c r="A283" t="s">
        <v>2348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>
      <c r="A284" t="s">
        <v>2351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>
      <c r="A285" t="s">
        <v>2354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>
      <c r="A286" t="s">
        <v>2357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>
      <c r="A287" t="s">
        <v>2360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>
      <c r="A288" t="s">
        <v>2363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>
      <c r="A289" t="s">
        <v>2366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>
      <c r="A290" t="s">
        <v>2369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>
      <c r="A291" t="s">
        <v>2372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>
      <c r="A292" t="s">
        <v>2375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>
      <c r="A293" t="s">
        <v>2378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>
      <c r="A294" t="s">
        <v>2381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>
      <c r="A295" t="s">
        <v>2384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>
      <c r="A296" t="s">
        <v>2387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>
      <c r="A297" t="s">
        <v>2390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83566633-8C3F-4F72-BF89-ED987EFD5E43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7300A-129D-4723-A58C-802E9B370FE8}">
  <sheetPr>
    <tabColor indexed="10"/>
  </sheetPr>
  <dimension ref="A1:B181"/>
  <sheetViews>
    <sheetView workbookViewId="0">
      <selection activeCell="C1" sqref="C1:XFD1048576"/>
    </sheetView>
  </sheetViews>
  <sheetFormatPr defaultColWidth="0" defaultRowHeight="14.4"/>
  <cols>
    <col min="1" max="2" width="20.77734375" customWidth="1"/>
    <col min="3" max="16384" width="8.88671875" hidden="1"/>
  </cols>
  <sheetData>
    <row r="1" spans="1:2">
      <c r="A1" t="s">
        <v>181</v>
      </c>
      <c r="B1" t="s">
        <v>182</v>
      </c>
    </row>
    <row r="2" spans="1:2">
      <c r="A2" t="s">
        <v>202</v>
      </c>
      <c r="B2" t="s">
        <v>201</v>
      </c>
    </row>
    <row r="3" spans="1:2">
      <c r="A3" t="s">
        <v>203</v>
      </c>
      <c r="B3" t="s">
        <v>201</v>
      </c>
    </row>
    <row r="4" spans="1:2">
      <c r="A4" t="s">
        <v>204</v>
      </c>
      <c r="B4" t="s">
        <v>201</v>
      </c>
    </row>
    <row r="5" spans="1:2">
      <c r="A5" t="s">
        <v>205</v>
      </c>
      <c r="B5" t="s">
        <v>201</v>
      </c>
    </row>
    <row r="6" spans="1:2">
      <c r="A6" t="s">
        <v>206</v>
      </c>
      <c r="B6" t="s">
        <v>201</v>
      </c>
    </row>
    <row r="7" spans="1:2">
      <c r="A7" t="s">
        <v>209</v>
      </c>
      <c r="B7" t="s">
        <v>201</v>
      </c>
    </row>
    <row r="8" spans="1:2">
      <c r="A8" t="s">
        <v>210</v>
      </c>
      <c r="B8" t="s">
        <v>201</v>
      </c>
    </row>
    <row r="9" spans="1:2">
      <c r="A9" t="s">
        <v>211</v>
      </c>
      <c r="B9" t="s">
        <v>201</v>
      </c>
    </row>
    <row r="10" spans="1:2">
      <c r="A10" t="s">
        <v>212</v>
      </c>
      <c r="B10" t="s">
        <v>201</v>
      </c>
    </row>
    <row r="11" spans="1:2">
      <c r="A11" t="s">
        <v>213</v>
      </c>
      <c r="B11" t="s">
        <v>201</v>
      </c>
    </row>
    <row r="12" spans="1:2">
      <c r="A12" t="s">
        <v>214</v>
      </c>
      <c r="B12" t="s">
        <v>201</v>
      </c>
    </row>
    <row r="13" spans="1:2">
      <c r="A13" t="s">
        <v>215</v>
      </c>
      <c r="B13" t="s">
        <v>201</v>
      </c>
    </row>
    <row r="14" spans="1:2">
      <c r="A14" t="s">
        <v>216</v>
      </c>
      <c r="B14" t="s">
        <v>201</v>
      </c>
    </row>
    <row r="15" spans="1:2">
      <c r="A15" t="s">
        <v>217</v>
      </c>
      <c r="B15" t="s">
        <v>201</v>
      </c>
    </row>
    <row r="16" spans="1:2">
      <c r="A16" t="s">
        <v>220</v>
      </c>
      <c r="B16" t="s">
        <v>201</v>
      </c>
    </row>
    <row r="17" spans="1:2">
      <c r="A17" t="s">
        <v>221</v>
      </c>
      <c r="B17" t="s">
        <v>201</v>
      </c>
    </row>
    <row r="18" spans="1:2">
      <c r="A18" t="s">
        <v>222</v>
      </c>
      <c r="B18" t="s">
        <v>201</v>
      </c>
    </row>
    <row r="19" spans="1:2">
      <c r="A19" t="s">
        <v>223</v>
      </c>
      <c r="B19" t="s">
        <v>201</v>
      </c>
    </row>
    <row r="20" spans="1:2">
      <c r="A20" t="s">
        <v>225</v>
      </c>
      <c r="B20" t="s">
        <v>224</v>
      </c>
    </row>
    <row r="21" spans="1:2">
      <c r="A21" t="s">
        <v>226</v>
      </c>
      <c r="B21" t="s">
        <v>224</v>
      </c>
    </row>
    <row r="22" spans="1:2">
      <c r="A22" t="s">
        <v>227</v>
      </c>
      <c r="B22" t="s">
        <v>224</v>
      </c>
    </row>
    <row r="23" spans="1:2">
      <c r="A23" t="s">
        <v>228</v>
      </c>
      <c r="B23" t="s">
        <v>224</v>
      </c>
    </row>
    <row r="24" spans="1:2">
      <c r="A24" t="s">
        <v>229</v>
      </c>
      <c r="B24" t="s">
        <v>224</v>
      </c>
    </row>
    <row r="25" spans="1:2">
      <c r="A25" t="s">
        <v>232</v>
      </c>
      <c r="B25" t="s">
        <v>224</v>
      </c>
    </row>
    <row r="26" spans="1:2">
      <c r="A26" t="s">
        <v>233</v>
      </c>
      <c r="B26" t="s">
        <v>224</v>
      </c>
    </row>
    <row r="27" spans="1:2">
      <c r="A27" t="s">
        <v>234</v>
      </c>
      <c r="B27" t="s">
        <v>224</v>
      </c>
    </row>
    <row r="28" spans="1:2">
      <c r="A28" t="s">
        <v>235</v>
      </c>
      <c r="B28" t="s">
        <v>224</v>
      </c>
    </row>
    <row r="29" spans="1:2">
      <c r="A29" t="s">
        <v>236</v>
      </c>
      <c r="B29" t="s">
        <v>224</v>
      </c>
    </row>
    <row r="30" spans="1:2">
      <c r="A30" t="s">
        <v>237</v>
      </c>
      <c r="B30" t="s">
        <v>224</v>
      </c>
    </row>
    <row r="31" spans="1:2">
      <c r="A31" t="s">
        <v>238</v>
      </c>
      <c r="B31" t="s">
        <v>224</v>
      </c>
    </row>
    <row r="32" spans="1:2">
      <c r="A32" t="s">
        <v>239</v>
      </c>
      <c r="B32" t="s">
        <v>224</v>
      </c>
    </row>
    <row r="33" spans="1:2">
      <c r="A33" t="s">
        <v>240</v>
      </c>
      <c r="B33" t="s">
        <v>224</v>
      </c>
    </row>
    <row r="34" spans="1:2">
      <c r="A34" t="s">
        <v>243</v>
      </c>
      <c r="B34" t="s">
        <v>224</v>
      </c>
    </row>
    <row r="35" spans="1:2">
      <c r="A35" t="s">
        <v>244</v>
      </c>
      <c r="B35" t="s">
        <v>224</v>
      </c>
    </row>
    <row r="36" spans="1:2">
      <c r="A36" t="s">
        <v>245</v>
      </c>
      <c r="B36" t="s">
        <v>224</v>
      </c>
    </row>
    <row r="37" spans="1:2">
      <c r="A37" t="s">
        <v>246</v>
      </c>
      <c r="B37" t="s">
        <v>224</v>
      </c>
    </row>
    <row r="38" spans="1:2">
      <c r="A38" t="s">
        <v>248</v>
      </c>
      <c r="B38" t="s">
        <v>247</v>
      </c>
    </row>
    <row r="39" spans="1:2">
      <c r="A39" t="s">
        <v>249</v>
      </c>
      <c r="B39" t="s">
        <v>247</v>
      </c>
    </row>
    <row r="40" spans="1:2">
      <c r="A40" t="s">
        <v>250</v>
      </c>
      <c r="B40" t="s">
        <v>247</v>
      </c>
    </row>
    <row r="41" spans="1:2">
      <c r="A41" t="s">
        <v>251</v>
      </c>
      <c r="B41" t="s">
        <v>247</v>
      </c>
    </row>
    <row r="42" spans="1:2">
      <c r="A42" t="s">
        <v>252</v>
      </c>
      <c r="B42" t="s">
        <v>247</v>
      </c>
    </row>
    <row r="43" spans="1:2">
      <c r="A43" t="s">
        <v>255</v>
      </c>
      <c r="B43" t="s">
        <v>247</v>
      </c>
    </row>
    <row r="44" spans="1:2">
      <c r="A44" t="s">
        <v>256</v>
      </c>
      <c r="B44" t="s">
        <v>247</v>
      </c>
    </row>
    <row r="45" spans="1:2">
      <c r="A45" t="s">
        <v>257</v>
      </c>
      <c r="B45" t="s">
        <v>247</v>
      </c>
    </row>
    <row r="46" spans="1:2">
      <c r="A46" t="s">
        <v>258</v>
      </c>
      <c r="B46" t="s">
        <v>247</v>
      </c>
    </row>
    <row r="47" spans="1:2">
      <c r="A47" t="s">
        <v>259</v>
      </c>
      <c r="B47" t="s">
        <v>247</v>
      </c>
    </row>
    <row r="48" spans="1:2">
      <c r="A48" t="s">
        <v>260</v>
      </c>
      <c r="B48" t="s">
        <v>247</v>
      </c>
    </row>
    <row r="49" spans="1:2">
      <c r="A49" t="s">
        <v>261</v>
      </c>
      <c r="B49" t="s">
        <v>247</v>
      </c>
    </row>
    <row r="50" spans="1:2">
      <c r="A50" t="s">
        <v>262</v>
      </c>
      <c r="B50" t="s">
        <v>247</v>
      </c>
    </row>
    <row r="51" spans="1:2">
      <c r="A51" t="s">
        <v>263</v>
      </c>
      <c r="B51" t="s">
        <v>247</v>
      </c>
    </row>
    <row r="52" spans="1:2">
      <c r="A52" t="s">
        <v>266</v>
      </c>
      <c r="B52" t="s">
        <v>247</v>
      </c>
    </row>
    <row r="53" spans="1:2">
      <c r="A53" t="s">
        <v>267</v>
      </c>
      <c r="B53" t="s">
        <v>247</v>
      </c>
    </row>
    <row r="54" spans="1:2">
      <c r="A54" t="s">
        <v>268</v>
      </c>
      <c r="B54" t="s">
        <v>247</v>
      </c>
    </row>
    <row r="55" spans="1:2">
      <c r="A55" t="s">
        <v>269</v>
      </c>
      <c r="B55" t="s">
        <v>247</v>
      </c>
    </row>
    <row r="56" spans="1:2">
      <c r="A56" t="s">
        <v>271</v>
      </c>
      <c r="B56" t="s">
        <v>270</v>
      </c>
    </row>
    <row r="57" spans="1:2">
      <c r="A57" t="s">
        <v>272</v>
      </c>
      <c r="B57" t="s">
        <v>270</v>
      </c>
    </row>
    <row r="58" spans="1:2">
      <c r="A58" t="s">
        <v>273</v>
      </c>
      <c r="B58" t="s">
        <v>270</v>
      </c>
    </row>
    <row r="59" spans="1:2">
      <c r="A59" t="s">
        <v>274</v>
      </c>
      <c r="B59" t="s">
        <v>270</v>
      </c>
    </row>
    <row r="60" spans="1:2">
      <c r="A60" t="s">
        <v>275</v>
      </c>
      <c r="B60" t="s">
        <v>270</v>
      </c>
    </row>
    <row r="61" spans="1:2">
      <c r="A61" t="s">
        <v>278</v>
      </c>
      <c r="B61" t="s">
        <v>270</v>
      </c>
    </row>
    <row r="62" spans="1:2">
      <c r="A62" t="s">
        <v>279</v>
      </c>
      <c r="B62" t="s">
        <v>270</v>
      </c>
    </row>
    <row r="63" spans="1:2">
      <c r="A63" t="s">
        <v>280</v>
      </c>
      <c r="B63" t="s">
        <v>270</v>
      </c>
    </row>
    <row r="64" spans="1:2">
      <c r="A64" t="s">
        <v>281</v>
      </c>
      <c r="B64" t="s">
        <v>270</v>
      </c>
    </row>
    <row r="65" spans="1:2">
      <c r="A65" t="s">
        <v>282</v>
      </c>
      <c r="B65" t="s">
        <v>270</v>
      </c>
    </row>
    <row r="66" spans="1:2">
      <c r="A66" t="s">
        <v>283</v>
      </c>
      <c r="B66" t="s">
        <v>270</v>
      </c>
    </row>
    <row r="67" spans="1:2">
      <c r="A67" t="s">
        <v>284</v>
      </c>
      <c r="B67" t="s">
        <v>270</v>
      </c>
    </row>
    <row r="68" spans="1:2">
      <c r="A68" t="s">
        <v>285</v>
      </c>
      <c r="B68" t="s">
        <v>270</v>
      </c>
    </row>
    <row r="69" spans="1:2">
      <c r="A69" t="s">
        <v>286</v>
      </c>
      <c r="B69" t="s">
        <v>270</v>
      </c>
    </row>
    <row r="70" spans="1:2">
      <c r="A70" t="s">
        <v>289</v>
      </c>
      <c r="B70" t="s">
        <v>270</v>
      </c>
    </row>
    <row r="71" spans="1:2">
      <c r="A71" t="s">
        <v>290</v>
      </c>
      <c r="B71" t="s">
        <v>270</v>
      </c>
    </row>
    <row r="72" spans="1:2">
      <c r="A72" t="s">
        <v>291</v>
      </c>
      <c r="B72" t="s">
        <v>270</v>
      </c>
    </row>
    <row r="73" spans="1:2">
      <c r="A73" t="s">
        <v>292</v>
      </c>
      <c r="B73" t="s">
        <v>270</v>
      </c>
    </row>
    <row r="74" spans="1:2">
      <c r="A74" t="s">
        <v>294</v>
      </c>
      <c r="B74" t="s">
        <v>293</v>
      </c>
    </row>
    <row r="75" spans="1:2">
      <c r="A75" t="s">
        <v>295</v>
      </c>
      <c r="B75" t="s">
        <v>293</v>
      </c>
    </row>
    <row r="76" spans="1:2">
      <c r="A76" t="s">
        <v>296</v>
      </c>
      <c r="B76" t="s">
        <v>293</v>
      </c>
    </row>
    <row r="77" spans="1:2">
      <c r="A77" t="s">
        <v>297</v>
      </c>
      <c r="B77" t="s">
        <v>293</v>
      </c>
    </row>
    <row r="78" spans="1:2">
      <c r="A78" t="s">
        <v>298</v>
      </c>
      <c r="B78" t="s">
        <v>293</v>
      </c>
    </row>
    <row r="79" spans="1:2">
      <c r="A79" t="s">
        <v>301</v>
      </c>
      <c r="B79" t="s">
        <v>293</v>
      </c>
    </row>
    <row r="80" spans="1:2">
      <c r="A80" t="s">
        <v>302</v>
      </c>
      <c r="B80" t="s">
        <v>293</v>
      </c>
    </row>
    <row r="81" spans="1:2">
      <c r="A81" t="s">
        <v>303</v>
      </c>
      <c r="B81" t="s">
        <v>293</v>
      </c>
    </row>
    <row r="82" spans="1:2">
      <c r="A82" t="s">
        <v>304</v>
      </c>
      <c r="B82" t="s">
        <v>293</v>
      </c>
    </row>
    <row r="83" spans="1:2">
      <c r="A83" t="s">
        <v>305</v>
      </c>
      <c r="B83" t="s">
        <v>293</v>
      </c>
    </row>
    <row r="84" spans="1:2">
      <c r="A84" t="s">
        <v>306</v>
      </c>
      <c r="B84" t="s">
        <v>293</v>
      </c>
    </row>
    <row r="85" spans="1:2">
      <c r="A85" t="s">
        <v>307</v>
      </c>
      <c r="B85" t="s">
        <v>293</v>
      </c>
    </row>
    <row r="86" spans="1:2">
      <c r="A86" t="s">
        <v>308</v>
      </c>
      <c r="B86" t="s">
        <v>293</v>
      </c>
    </row>
    <row r="87" spans="1:2">
      <c r="A87" t="s">
        <v>309</v>
      </c>
      <c r="B87" t="s">
        <v>293</v>
      </c>
    </row>
    <row r="88" spans="1:2">
      <c r="A88" t="s">
        <v>312</v>
      </c>
      <c r="B88" t="s">
        <v>293</v>
      </c>
    </row>
    <row r="89" spans="1:2">
      <c r="A89" t="s">
        <v>313</v>
      </c>
      <c r="B89" t="s">
        <v>293</v>
      </c>
    </row>
    <row r="90" spans="1:2">
      <c r="A90" t="s">
        <v>314</v>
      </c>
      <c r="B90" t="s">
        <v>293</v>
      </c>
    </row>
    <row r="91" spans="1:2">
      <c r="A91" t="s">
        <v>315</v>
      </c>
      <c r="B91" t="s">
        <v>293</v>
      </c>
    </row>
    <row r="92" spans="1:2">
      <c r="A92" t="s">
        <v>317</v>
      </c>
      <c r="B92" t="s">
        <v>316</v>
      </c>
    </row>
    <row r="93" spans="1:2">
      <c r="A93" t="s">
        <v>318</v>
      </c>
      <c r="B93" t="s">
        <v>316</v>
      </c>
    </row>
    <row r="94" spans="1:2">
      <c r="A94" t="s">
        <v>319</v>
      </c>
      <c r="B94" t="s">
        <v>316</v>
      </c>
    </row>
    <row r="95" spans="1:2">
      <c r="A95" t="s">
        <v>320</v>
      </c>
      <c r="B95" t="s">
        <v>316</v>
      </c>
    </row>
    <row r="96" spans="1:2">
      <c r="A96" t="s">
        <v>321</v>
      </c>
      <c r="B96" t="s">
        <v>316</v>
      </c>
    </row>
    <row r="97" spans="1:2">
      <c r="A97" t="s">
        <v>324</v>
      </c>
      <c r="B97" t="s">
        <v>316</v>
      </c>
    </row>
    <row r="98" spans="1:2">
      <c r="A98" t="s">
        <v>325</v>
      </c>
      <c r="B98" t="s">
        <v>316</v>
      </c>
    </row>
    <row r="99" spans="1:2">
      <c r="A99" t="s">
        <v>326</v>
      </c>
      <c r="B99" t="s">
        <v>316</v>
      </c>
    </row>
    <row r="100" spans="1:2">
      <c r="A100" t="s">
        <v>327</v>
      </c>
      <c r="B100" t="s">
        <v>316</v>
      </c>
    </row>
    <row r="101" spans="1:2">
      <c r="A101" t="s">
        <v>328</v>
      </c>
      <c r="B101" t="s">
        <v>316</v>
      </c>
    </row>
    <row r="102" spans="1:2">
      <c r="A102" t="s">
        <v>329</v>
      </c>
      <c r="B102" t="s">
        <v>316</v>
      </c>
    </row>
    <row r="103" spans="1:2">
      <c r="A103" t="s">
        <v>330</v>
      </c>
      <c r="B103" t="s">
        <v>316</v>
      </c>
    </row>
    <row r="104" spans="1:2">
      <c r="A104" t="s">
        <v>331</v>
      </c>
      <c r="B104" t="s">
        <v>316</v>
      </c>
    </row>
    <row r="105" spans="1:2">
      <c r="A105" t="s">
        <v>332</v>
      </c>
      <c r="B105" t="s">
        <v>316</v>
      </c>
    </row>
    <row r="106" spans="1:2">
      <c r="A106" t="s">
        <v>335</v>
      </c>
      <c r="B106" t="s">
        <v>316</v>
      </c>
    </row>
    <row r="107" spans="1:2">
      <c r="A107" t="s">
        <v>336</v>
      </c>
      <c r="B107" t="s">
        <v>316</v>
      </c>
    </row>
    <row r="108" spans="1:2">
      <c r="A108" t="s">
        <v>337</v>
      </c>
      <c r="B108" t="s">
        <v>316</v>
      </c>
    </row>
    <row r="109" spans="1:2">
      <c r="A109" t="s">
        <v>338</v>
      </c>
      <c r="B109" t="s">
        <v>316</v>
      </c>
    </row>
    <row r="110" spans="1:2">
      <c r="A110" t="s">
        <v>340</v>
      </c>
      <c r="B110" t="s">
        <v>339</v>
      </c>
    </row>
    <row r="111" spans="1:2">
      <c r="A111" t="s">
        <v>341</v>
      </c>
      <c r="B111" t="s">
        <v>339</v>
      </c>
    </row>
    <row r="112" spans="1:2">
      <c r="A112" t="s">
        <v>342</v>
      </c>
      <c r="B112" t="s">
        <v>339</v>
      </c>
    </row>
    <row r="113" spans="1:2">
      <c r="A113" t="s">
        <v>343</v>
      </c>
      <c r="B113" t="s">
        <v>339</v>
      </c>
    </row>
    <row r="114" spans="1:2">
      <c r="A114" t="s">
        <v>344</v>
      </c>
      <c r="B114" t="s">
        <v>339</v>
      </c>
    </row>
    <row r="115" spans="1:2">
      <c r="A115" t="s">
        <v>347</v>
      </c>
      <c r="B115" t="s">
        <v>339</v>
      </c>
    </row>
    <row r="116" spans="1:2">
      <c r="A116" t="s">
        <v>348</v>
      </c>
      <c r="B116" t="s">
        <v>339</v>
      </c>
    </row>
    <row r="117" spans="1:2">
      <c r="A117" t="s">
        <v>349</v>
      </c>
      <c r="B117" t="s">
        <v>339</v>
      </c>
    </row>
    <row r="118" spans="1:2">
      <c r="A118" t="s">
        <v>350</v>
      </c>
      <c r="B118" t="s">
        <v>339</v>
      </c>
    </row>
    <row r="119" spans="1:2">
      <c r="A119" t="s">
        <v>351</v>
      </c>
      <c r="B119" t="s">
        <v>339</v>
      </c>
    </row>
    <row r="120" spans="1:2">
      <c r="A120" t="s">
        <v>352</v>
      </c>
      <c r="B120" t="s">
        <v>339</v>
      </c>
    </row>
    <row r="121" spans="1:2">
      <c r="A121" t="s">
        <v>353</v>
      </c>
      <c r="B121" t="s">
        <v>339</v>
      </c>
    </row>
    <row r="122" spans="1:2">
      <c r="A122" t="s">
        <v>354</v>
      </c>
      <c r="B122" t="s">
        <v>339</v>
      </c>
    </row>
    <row r="123" spans="1:2">
      <c r="A123" t="s">
        <v>355</v>
      </c>
      <c r="B123" t="s">
        <v>339</v>
      </c>
    </row>
    <row r="124" spans="1:2">
      <c r="A124" t="s">
        <v>358</v>
      </c>
      <c r="B124" t="s">
        <v>339</v>
      </c>
    </row>
    <row r="125" spans="1:2">
      <c r="A125" t="s">
        <v>359</v>
      </c>
      <c r="B125" t="s">
        <v>339</v>
      </c>
    </row>
    <row r="126" spans="1:2">
      <c r="A126" t="s">
        <v>360</v>
      </c>
      <c r="B126" t="s">
        <v>339</v>
      </c>
    </row>
    <row r="127" spans="1:2">
      <c r="A127" t="s">
        <v>361</v>
      </c>
      <c r="B127" t="s">
        <v>339</v>
      </c>
    </row>
    <row r="128" spans="1:2">
      <c r="A128" t="s">
        <v>363</v>
      </c>
      <c r="B128" t="s">
        <v>362</v>
      </c>
    </row>
    <row r="129" spans="1:2">
      <c r="A129" t="s">
        <v>364</v>
      </c>
      <c r="B129" t="s">
        <v>362</v>
      </c>
    </row>
    <row r="130" spans="1:2">
      <c r="A130" t="s">
        <v>365</v>
      </c>
      <c r="B130" t="s">
        <v>362</v>
      </c>
    </row>
    <row r="131" spans="1:2">
      <c r="A131" t="s">
        <v>366</v>
      </c>
      <c r="B131" t="s">
        <v>362</v>
      </c>
    </row>
    <row r="132" spans="1:2">
      <c r="A132" t="s">
        <v>367</v>
      </c>
      <c r="B132" t="s">
        <v>362</v>
      </c>
    </row>
    <row r="133" spans="1:2">
      <c r="A133" t="s">
        <v>370</v>
      </c>
      <c r="B133" t="s">
        <v>362</v>
      </c>
    </row>
    <row r="134" spans="1:2">
      <c r="A134" t="s">
        <v>371</v>
      </c>
      <c r="B134" t="s">
        <v>362</v>
      </c>
    </row>
    <row r="135" spans="1:2">
      <c r="A135" t="s">
        <v>372</v>
      </c>
      <c r="B135" t="s">
        <v>362</v>
      </c>
    </row>
    <row r="136" spans="1:2">
      <c r="A136" t="s">
        <v>373</v>
      </c>
      <c r="B136" t="s">
        <v>362</v>
      </c>
    </row>
    <row r="137" spans="1:2">
      <c r="A137" t="s">
        <v>374</v>
      </c>
      <c r="B137" t="s">
        <v>362</v>
      </c>
    </row>
    <row r="138" spans="1:2">
      <c r="A138" t="s">
        <v>375</v>
      </c>
      <c r="B138" t="s">
        <v>362</v>
      </c>
    </row>
    <row r="139" spans="1:2">
      <c r="A139" t="s">
        <v>376</v>
      </c>
      <c r="B139" t="s">
        <v>362</v>
      </c>
    </row>
    <row r="140" spans="1:2">
      <c r="A140" t="s">
        <v>377</v>
      </c>
      <c r="B140" t="s">
        <v>362</v>
      </c>
    </row>
    <row r="141" spans="1:2">
      <c r="A141" t="s">
        <v>378</v>
      </c>
      <c r="B141" t="s">
        <v>362</v>
      </c>
    </row>
    <row r="142" spans="1:2">
      <c r="A142" t="s">
        <v>381</v>
      </c>
      <c r="B142" t="s">
        <v>362</v>
      </c>
    </row>
    <row r="143" spans="1:2">
      <c r="A143" t="s">
        <v>382</v>
      </c>
      <c r="B143" t="s">
        <v>362</v>
      </c>
    </row>
    <row r="144" spans="1:2">
      <c r="A144" t="s">
        <v>383</v>
      </c>
      <c r="B144" t="s">
        <v>362</v>
      </c>
    </row>
    <row r="145" spans="1:2">
      <c r="A145" t="s">
        <v>384</v>
      </c>
      <c r="B145" t="s">
        <v>362</v>
      </c>
    </row>
    <row r="146" spans="1:2">
      <c r="A146" t="s">
        <v>386</v>
      </c>
      <c r="B146" t="s">
        <v>385</v>
      </c>
    </row>
    <row r="147" spans="1:2">
      <c r="A147" t="s">
        <v>387</v>
      </c>
      <c r="B147" t="s">
        <v>385</v>
      </c>
    </row>
    <row r="148" spans="1:2">
      <c r="A148" t="s">
        <v>388</v>
      </c>
      <c r="B148" t="s">
        <v>385</v>
      </c>
    </row>
    <row r="149" spans="1:2">
      <c r="A149" t="s">
        <v>389</v>
      </c>
      <c r="B149" t="s">
        <v>385</v>
      </c>
    </row>
    <row r="150" spans="1:2">
      <c r="A150" t="s">
        <v>390</v>
      </c>
      <c r="B150" t="s">
        <v>385</v>
      </c>
    </row>
    <row r="151" spans="1:2">
      <c r="A151" t="s">
        <v>393</v>
      </c>
      <c r="B151" t="s">
        <v>385</v>
      </c>
    </row>
    <row r="152" spans="1:2">
      <c r="A152" t="s">
        <v>394</v>
      </c>
      <c r="B152" t="s">
        <v>385</v>
      </c>
    </row>
    <row r="153" spans="1:2">
      <c r="A153" t="s">
        <v>395</v>
      </c>
      <c r="B153" t="s">
        <v>385</v>
      </c>
    </row>
    <row r="154" spans="1:2">
      <c r="A154" t="s">
        <v>396</v>
      </c>
      <c r="B154" t="s">
        <v>385</v>
      </c>
    </row>
    <row r="155" spans="1:2">
      <c r="A155" t="s">
        <v>397</v>
      </c>
      <c r="B155" t="s">
        <v>385</v>
      </c>
    </row>
    <row r="156" spans="1:2">
      <c r="A156" t="s">
        <v>398</v>
      </c>
      <c r="B156" t="s">
        <v>385</v>
      </c>
    </row>
    <row r="157" spans="1:2">
      <c r="A157" t="s">
        <v>399</v>
      </c>
      <c r="B157" t="s">
        <v>385</v>
      </c>
    </row>
    <row r="158" spans="1:2">
      <c r="A158" t="s">
        <v>400</v>
      </c>
      <c r="B158" t="s">
        <v>385</v>
      </c>
    </row>
    <row r="159" spans="1:2">
      <c r="A159" t="s">
        <v>401</v>
      </c>
      <c r="B159" t="s">
        <v>385</v>
      </c>
    </row>
    <row r="160" spans="1:2">
      <c r="A160" t="s">
        <v>404</v>
      </c>
      <c r="B160" t="s">
        <v>385</v>
      </c>
    </row>
    <row r="161" spans="1:2">
      <c r="A161" t="s">
        <v>405</v>
      </c>
      <c r="B161" t="s">
        <v>385</v>
      </c>
    </row>
    <row r="162" spans="1:2">
      <c r="A162" t="s">
        <v>406</v>
      </c>
      <c r="B162" t="s">
        <v>385</v>
      </c>
    </row>
    <row r="163" spans="1:2">
      <c r="A163" t="s">
        <v>407</v>
      </c>
      <c r="B163" t="s">
        <v>385</v>
      </c>
    </row>
    <row r="164" spans="1:2">
      <c r="A164" t="s">
        <v>409</v>
      </c>
      <c r="B164" t="s">
        <v>408</v>
      </c>
    </row>
    <row r="165" spans="1:2">
      <c r="A165" t="s">
        <v>410</v>
      </c>
      <c r="B165" t="s">
        <v>408</v>
      </c>
    </row>
    <row r="166" spans="1:2">
      <c r="A166" t="s">
        <v>411</v>
      </c>
      <c r="B166" t="s">
        <v>408</v>
      </c>
    </row>
    <row r="167" spans="1:2">
      <c r="A167" t="s">
        <v>412</v>
      </c>
      <c r="B167" t="s">
        <v>408</v>
      </c>
    </row>
    <row r="168" spans="1:2">
      <c r="A168" t="s">
        <v>413</v>
      </c>
      <c r="B168" t="s">
        <v>408</v>
      </c>
    </row>
    <row r="169" spans="1:2">
      <c r="A169" t="s">
        <v>416</v>
      </c>
      <c r="B169" t="s">
        <v>408</v>
      </c>
    </row>
    <row r="170" spans="1:2">
      <c r="A170" t="s">
        <v>417</v>
      </c>
      <c r="B170" t="s">
        <v>408</v>
      </c>
    </row>
    <row r="171" spans="1:2">
      <c r="A171" t="s">
        <v>418</v>
      </c>
      <c r="B171" t="s">
        <v>408</v>
      </c>
    </row>
    <row r="172" spans="1:2">
      <c r="A172" t="s">
        <v>419</v>
      </c>
      <c r="B172" t="s">
        <v>408</v>
      </c>
    </row>
    <row r="173" spans="1:2">
      <c r="A173" t="s">
        <v>420</v>
      </c>
      <c r="B173" t="s">
        <v>408</v>
      </c>
    </row>
    <row r="174" spans="1:2">
      <c r="A174" t="s">
        <v>421</v>
      </c>
      <c r="B174" t="s">
        <v>408</v>
      </c>
    </row>
    <row r="175" spans="1:2">
      <c r="A175" t="s">
        <v>422</v>
      </c>
      <c r="B175" t="s">
        <v>408</v>
      </c>
    </row>
    <row r="176" spans="1:2">
      <c r="A176" t="s">
        <v>423</v>
      </c>
      <c r="B176" t="s">
        <v>408</v>
      </c>
    </row>
    <row r="177" spans="1:2">
      <c r="A177" t="s">
        <v>424</v>
      </c>
      <c r="B177" t="s">
        <v>408</v>
      </c>
    </row>
    <row r="178" spans="1:2">
      <c r="A178" t="s">
        <v>427</v>
      </c>
      <c r="B178" t="s">
        <v>408</v>
      </c>
    </row>
    <row r="179" spans="1:2">
      <c r="A179" t="s">
        <v>428</v>
      </c>
      <c r="B179" t="s">
        <v>408</v>
      </c>
    </row>
    <row r="180" spans="1:2">
      <c r="A180" t="s">
        <v>429</v>
      </c>
      <c r="B180" t="s">
        <v>408</v>
      </c>
    </row>
    <row r="181" spans="1:2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316-E758-4F2E-BB7E-E691246185C4}">
  <sheetPr>
    <tabColor indexed="10"/>
  </sheetPr>
  <dimension ref="A1:G11"/>
  <sheetViews>
    <sheetView workbookViewId="0">
      <selection activeCell="H1" sqref="H1:XFD1048576"/>
    </sheetView>
  </sheetViews>
  <sheetFormatPr defaultColWidth="0" defaultRowHeight="14.4"/>
  <cols>
    <col min="1" max="1" width="10.109375" bestFit="1" customWidth="1"/>
    <col min="2" max="7" width="8.88671875" customWidth="1"/>
    <col min="8" max="16384" width="8.88671875" hidden="1"/>
  </cols>
  <sheetData>
    <row r="1" spans="1:7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0EE4-F270-4A04-851A-377E4ED175AD}">
  <sheetPr>
    <tabColor indexed="10"/>
  </sheetPr>
  <dimension ref="A1:H1257"/>
  <sheetViews>
    <sheetView workbookViewId="0">
      <selection activeCell="I1" sqref="I1:XFD1048576"/>
    </sheetView>
  </sheetViews>
  <sheetFormatPr defaultColWidth="0" defaultRowHeight="14.4"/>
  <cols>
    <col min="1" max="1" width="19.5546875" bestFit="1" customWidth="1"/>
    <col min="2" max="2" width="8.88671875" customWidth="1"/>
    <col min="3" max="3" width="19.33203125" customWidth="1"/>
    <col min="4" max="4" width="20.77734375" bestFit="1" customWidth="1"/>
    <col min="5" max="5" width="20.109375" bestFit="1" customWidth="1"/>
    <col min="6" max="7" width="14.5546875" customWidth="1"/>
    <col min="8" max="8" width="16.88671875" bestFit="1" customWidth="1"/>
    <col min="9" max="16384" width="8.88671875" hidden="1"/>
  </cols>
  <sheetData>
    <row r="1" spans="1:8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31</v>
      </c>
      <c r="H42" t="s">
        <v>1515</v>
      </c>
    </row>
    <row r="43" spans="1:8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31</v>
      </c>
      <c r="H43" t="s">
        <v>1515</v>
      </c>
    </row>
    <row r="44" spans="1:8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31</v>
      </c>
      <c r="H44" t="s">
        <v>1516</v>
      </c>
    </row>
    <row r="45" spans="1:8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31</v>
      </c>
      <c r="H45" t="s">
        <v>1516</v>
      </c>
    </row>
    <row r="46" spans="1:8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32</v>
      </c>
      <c r="H46" t="s">
        <v>1517</v>
      </c>
    </row>
    <row r="47" spans="1:8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32</v>
      </c>
      <c r="H47" t="s">
        <v>1517</v>
      </c>
    </row>
    <row r="48" spans="1:8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32</v>
      </c>
      <c r="H48" t="s">
        <v>1518</v>
      </c>
    </row>
    <row r="49" spans="1:8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32</v>
      </c>
      <c r="H49" t="s">
        <v>1518</v>
      </c>
    </row>
    <row r="50" spans="1:8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31</v>
      </c>
      <c r="H90" t="s">
        <v>1515</v>
      </c>
    </row>
    <row r="91" spans="1:8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31</v>
      </c>
      <c r="H91" t="s">
        <v>1515</v>
      </c>
    </row>
    <row r="92" spans="1:8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31</v>
      </c>
      <c r="H92" t="s">
        <v>1516</v>
      </c>
    </row>
    <row r="93" spans="1:8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31</v>
      </c>
      <c r="H93" t="s">
        <v>1516</v>
      </c>
    </row>
    <row r="94" spans="1:8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32</v>
      </c>
      <c r="H94" t="s">
        <v>1517</v>
      </c>
    </row>
    <row r="95" spans="1:8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32</v>
      </c>
      <c r="H95" t="s">
        <v>1517</v>
      </c>
    </row>
    <row r="96" spans="1:8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32</v>
      </c>
      <c r="H96" t="s">
        <v>1518</v>
      </c>
    </row>
    <row r="97" spans="1:8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32</v>
      </c>
      <c r="H97" t="s">
        <v>1518</v>
      </c>
    </row>
    <row r="98" spans="1:8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31</v>
      </c>
      <c r="H138" t="s">
        <v>1515</v>
      </c>
    </row>
    <row r="139" spans="1:8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31</v>
      </c>
      <c r="H139" t="s">
        <v>1515</v>
      </c>
    </row>
    <row r="140" spans="1:8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31</v>
      </c>
      <c r="H140" t="s">
        <v>1516</v>
      </c>
    </row>
    <row r="141" spans="1:8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31</v>
      </c>
      <c r="H141" t="s">
        <v>1516</v>
      </c>
    </row>
    <row r="142" spans="1:8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32</v>
      </c>
      <c r="H142" t="s">
        <v>1517</v>
      </c>
    </row>
    <row r="143" spans="1:8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32</v>
      </c>
      <c r="H143" t="s">
        <v>1517</v>
      </c>
    </row>
    <row r="144" spans="1:8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32</v>
      </c>
      <c r="H144" t="s">
        <v>1518</v>
      </c>
    </row>
    <row r="145" spans="1:8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32</v>
      </c>
      <c r="H145" t="s">
        <v>1518</v>
      </c>
    </row>
    <row r="146" spans="1:8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31</v>
      </c>
      <c r="H186" t="s">
        <v>1515</v>
      </c>
    </row>
    <row r="187" spans="1:8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31</v>
      </c>
      <c r="H187" t="s">
        <v>1515</v>
      </c>
    </row>
    <row r="188" spans="1:8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31</v>
      </c>
      <c r="H188" t="s">
        <v>1516</v>
      </c>
    </row>
    <row r="189" spans="1:8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31</v>
      </c>
      <c r="H189" t="s">
        <v>1516</v>
      </c>
    </row>
    <row r="190" spans="1:8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32</v>
      </c>
      <c r="H190" t="s">
        <v>1517</v>
      </c>
    </row>
    <row r="191" spans="1:8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32</v>
      </c>
      <c r="H191" t="s">
        <v>1517</v>
      </c>
    </row>
    <row r="192" spans="1:8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32</v>
      </c>
      <c r="H192" t="s">
        <v>1518</v>
      </c>
    </row>
    <row r="193" spans="1:8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32</v>
      </c>
      <c r="H193" t="s">
        <v>1518</v>
      </c>
    </row>
    <row r="194" spans="1:8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31</v>
      </c>
      <c r="H234" t="s">
        <v>1515</v>
      </c>
    </row>
    <row r="235" spans="1:8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31</v>
      </c>
      <c r="H235" t="s">
        <v>1515</v>
      </c>
    </row>
    <row r="236" spans="1:8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31</v>
      </c>
      <c r="H236" t="s">
        <v>1516</v>
      </c>
    </row>
    <row r="237" spans="1:8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31</v>
      </c>
      <c r="H237" t="s">
        <v>1516</v>
      </c>
    </row>
    <row r="238" spans="1:8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32</v>
      </c>
      <c r="H238" t="s">
        <v>1517</v>
      </c>
    </row>
    <row r="239" spans="1:8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32</v>
      </c>
      <c r="H239" t="s">
        <v>1517</v>
      </c>
    </row>
    <row r="240" spans="1:8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32</v>
      </c>
      <c r="H240" t="s">
        <v>1518</v>
      </c>
    </row>
    <row r="241" spans="1:8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32</v>
      </c>
      <c r="H241" t="s">
        <v>1518</v>
      </c>
    </row>
    <row r="242" spans="1:8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31</v>
      </c>
      <c r="H282" t="s">
        <v>1515</v>
      </c>
    </row>
    <row r="283" spans="1:8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31</v>
      </c>
      <c r="H283" t="s">
        <v>1515</v>
      </c>
    </row>
    <row r="284" spans="1:8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31</v>
      </c>
      <c r="H284" t="s">
        <v>1516</v>
      </c>
    </row>
    <row r="285" spans="1:8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31</v>
      </c>
      <c r="H285" t="s">
        <v>1516</v>
      </c>
    </row>
    <row r="286" spans="1:8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32</v>
      </c>
      <c r="H286" t="s">
        <v>1517</v>
      </c>
    </row>
    <row r="287" spans="1:8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32</v>
      </c>
      <c r="H287" t="s">
        <v>1517</v>
      </c>
    </row>
    <row r="288" spans="1:8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32</v>
      </c>
      <c r="H288" t="s">
        <v>1518</v>
      </c>
    </row>
    <row r="289" spans="1:8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32</v>
      </c>
      <c r="H289" t="s">
        <v>1518</v>
      </c>
    </row>
    <row r="290" spans="1:8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31</v>
      </c>
      <c r="H330" t="s">
        <v>1515</v>
      </c>
    </row>
    <row r="331" spans="1:8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31</v>
      </c>
      <c r="H331" t="s">
        <v>1515</v>
      </c>
    </row>
    <row r="332" spans="1:8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31</v>
      </c>
      <c r="H332" t="s">
        <v>1516</v>
      </c>
    </row>
    <row r="333" spans="1:8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31</v>
      </c>
      <c r="H333" t="s">
        <v>1516</v>
      </c>
    </row>
    <row r="334" spans="1:8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32</v>
      </c>
      <c r="H334" t="s">
        <v>1517</v>
      </c>
    </row>
    <row r="335" spans="1:8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32</v>
      </c>
      <c r="H335" t="s">
        <v>1517</v>
      </c>
    </row>
    <row r="336" spans="1:8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32</v>
      </c>
      <c r="H336" t="s">
        <v>1518</v>
      </c>
    </row>
    <row r="337" spans="1:8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32</v>
      </c>
      <c r="H337" t="s">
        <v>1518</v>
      </c>
    </row>
    <row r="338" spans="1:8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31</v>
      </c>
      <c r="H378" t="s">
        <v>1515</v>
      </c>
    </row>
    <row r="379" spans="1:8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31</v>
      </c>
      <c r="H379" t="s">
        <v>1515</v>
      </c>
    </row>
    <row r="380" spans="1:8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31</v>
      </c>
      <c r="H380" t="s">
        <v>1516</v>
      </c>
    </row>
    <row r="381" spans="1:8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31</v>
      </c>
      <c r="H381" t="s">
        <v>1516</v>
      </c>
    </row>
    <row r="382" spans="1:8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32</v>
      </c>
      <c r="H382" t="s">
        <v>1517</v>
      </c>
    </row>
    <row r="383" spans="1:8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32</v>
      </c>
      <c r="H383" t="s">
        <v>1517</v>
      </c>
    </row>
    <row r="384" spans="1:8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32</v>
      </c>
      <c r="H384" t="s">
        <v>1518</v>
      </c>
    </row>
    <row r="385" spans="1:8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32</v>
      </c>
      <c r="H385" t="s">
        <v>1518</v>
      </c>
    </row>
    <row r="386" spans="1:8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31</v>
      </c>
      <c r="H426" t="s">
        <v>1515</v>
      </c>
    </row>
    <row r="427" spans="1:8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31</v>
      </c>
      <c r="H427" t="s">
        <v>1515</v>
      </c>
    </row>
    <row r="428" spans="1:8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31</v>
      </c>
      <c r="H428" t="s">
        <v>1516</v>
      </c>
    </row>
    <row r="429" spans="1:8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31</v>
      </c>
      <c r="H429" t="s">
        <v>1516</v>
      </c>
    </row>
    <row r="430" spans="1:8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32</v>
      </c>
      <c r="H430" t="s">
        <v>1517</v>
      </c>
    </row>
    <row r="431" spans="1:8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32</v>
      </c>
      <c r="H431" t="s">
        <v>1517</v>
      </c>
    </row>
    <row r="432" spans="1:8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32</v>
      </c>
      <c r="H432" t="s">
        <v>1518</v>
      </c>
    </row>
    <row r="433" spans="1:8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32</v>
      </c>
      <c r="H433" t="s">
        <v>1518</v>
      </c>
    </row>
    <row r="434" spans="1:8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31</v>
      </c>
      <c r="H474" t="s">
        <v>1515</v>
      </c>
    </row>
    <row r="475" spans="1:8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31</v>
      </c>
      <c r="H475" t="s">
        <v>1515</v>
      </c>
    </row>
    <row r="476" spans="1:8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31</v>
      </c>
      <c r="H476" t="s">
        <v>1516</v>
      </c>
    </row>
    <row r="477" spans="1:8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31</v>
      </c>
      <c r="H477" t="s">
        <v>1516</v>
      </c>
    </row>
    <row r="478" spans="1:8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32</v>
      </c>
      <c r="H478" t="s">
        <v>1517</v>
      </c>
    </row>
    <row r="479" spans="1:8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32</v>
      </c>
      <c r="H479" t="s">
        <v>1517</v>
      </c>
    </row>
    <row r="480" spans="1:8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32</v>
      </c>
      <c r="H480" t="s">
        <v>1518</v>
      </c>
    </row>
    <row r="481" spans="1:8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32</v>
      </c>
      <c r="H481" t="s">
        <v>1518</v>
      </c>
    </row>
    <row r="482" spans="1:8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31</v>
      </c>
    </row>
    <row r="483" spans="1:8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31</v>
      </c>
    </row>
    <row r="484" spans="1:8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32</v>
      </c>
    </row>
    <row r="485" spans="1:8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32</v>
      </c>
    </row>
    <row r="486" spans="1:8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2648</v>
      </c>
      <c r="H727" t="s">
        <v>1566</v>
      </c>
    </row>
    <row r="728" spans="1:8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2648</v>
      </c>
      <c r="H729" t="s">
        <v>1566</v>
      </c>
    </row>
    <row r="730" spans="1:8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2648</v>
      </c>
      <c r="H731" t="s">
        <v>1566</v>
      </c>
    </row>
    <row r="732" spans="1:8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2648</v>
      </c>
      <c r="H733" t="s">
        <v>1566</v>
      </c>
    </row>
    <row r="734" spans="1:8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2648</v>
      </c>
      <c r="H735" t="s">
        <v>1566</v>
      </c>
    </row>
    <row r="736" spans="1:8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2648</v>
      </c>
      <c r="H737" t="s">
        <v>1566</v>
      </c>
    </row>
    <row r="738" spans="1:8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2648</v>
      </c>
      <c r="H739" t="s">
        <v>1566</v>
      </c>
    </row>
    <row r="740" spans="1:8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2648</v>
      </c>
      <c r="H741" t="s">
        <v>1566</v>
      </c>
    </row>
    <row r="742" spans="1:8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2649</v>
      </c>
      <c r="H743" t="s">
        <v>1566</v>
      </c>
    </row>
    <row r="744" spans="1:8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2649</v>
      </c>
      <c r="H745" t="s">
        <v>1566</v>
      </c>
    </row>
    <row r="746" spans="1:8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2649</v>
      </c>
      <c r="H747" t="s">
        <v>1566</v>
      </c>
    </row>
    <row r="748" spans="1:8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2649</v>
      </c>
      <c r="H749" t="s">
        <v>1566</v>
      </c>
    </row>
    <row r="750" spans="1:8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2649</v>
      </c>
      <c r="H751" t="s">
        <v>1566</v>
      </c>
    </row>
    <row r="752" spans="1:8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2649</v>
      </c>
      <c r="H753" t="s">
        <v>1566</v>
      </c>
    </row>
    <row r="754" spans="1:8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2649</v>
      </c>
      <c r="H755" t="s">
        <v>1566</v>
      </c>
    </row>
    <row r="756" spans="1:8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2649</v>
      </c>
      <c r="H757" t="s">
        <v>1566</v>
      </c>
    </row>
    <row r="758" spans="1:8">
      <c r="A758" t="s">
        <v>2393</v>
      </c>
      <c r="B758">
        <v>757</v>
      </c>
      <c r="C758" t="s">
        <v>1057</v>
      </c>
      <c r="D758" t="s">
        <v>187</v>
      </c>
      <c r="E758" t="s">
        <v>1641</v>
      </c>
      <c r="F758" t="s">
        <v>1634</v>
      </c>
      <c r="H758" t="s">
        <v>1643</v>
      </c>
    </row>
    <row r="759" spans="1:8">
      <c r="A759" t="s">
        <v>1642</v>
      </c>
      <c r="B759">
        <v>758</v>
      </c>
      <c r="C759" t="s">
        <v>2641</v>
      </c>
      <c r="D759" t="s">
        <v>1639</v>
      </c>
      <c r="E759" t="s">
        <v>1641</v>
      </c>
      <c r="F759" t="s">
        <v>1634</v>
      </c>
      <c r="H759" t="s">
        <v>1640</v>
      </c>
    </row>
    <row r="760" spans="1:8">
      <c r="A760" t="s">
        <v>2394</v>
      </c>
      <c r="B760">
        <v>759</v>
      </c>
      <c r="C760" t="s">
        <v>1057</v>
      </c>
      <c r="D760" t="s">
        <v>187</v>
      </c>
      <c r="E760" t="s">
        <v>1654</v>
      </c>
      <c r="F760" t="s">
        <v>1634</v>
      </c>
      <c r="H760" t="s">
        <v>1643</v>
      </c>
    </row>
    <row r="761" spans="1:8">
      <c r="A761" t="s">
        <v>1655</v>
      </c>
      <c r="B761">
        <v>760</v>
      </c>
      <c r="C761" t="s">
        <v>2641</v>
      </c>
      <c r="D761" t="s">
        <v>1653</v>
      </c>
      <c r="E761" t="s">
        <v>1654</v>
      </c>
      <c r="F761" t="s">
        <v>1634</v>
      </c>
      <c r="H761" t="s">
        <v>1640</v>
      </c>
    </row>
    <row r="762" spans="1:8">
      <c r="A762" t="s">
        <v>2395</v>
      </c>
      <c r="B762">
        <v>761</v>
      </c>
      <c r="C762" t="s">
        <v>1057</v>
      </c>
      <c r="D762" t="s">
        <v>187</v>
      </c>
      <c r="E762" t="s">
        <v>1657</v>
      </c>
      <c r="F762" t="s">
        <v>1634</v>
      </c>
      <c r="H762" t="s">
        <v>1643</v>
      </c>
    </row>
    <row r="763" spans="1:8">
      <c r="A763" t="s">
        <v>1658</v>
      </c>
      <c r="B763">
        <v>762</v>
      </c>
      <c r="C763" t="s">
        <v>2641</v>
      </c>
      <c r="D763" t="s">
        <v>1656</v>
      </c>
      <c r="E763" t="s">
        <v>1657</v>
      </c>
      <c r="F763" t="s">
        <v>1634</v>
      </c>
      <c r="H763" t="s">
        <v>1640</v>
      </c>
    </row>
    <row r="764" spans="1:8">
      <c r="A764" t="s">
        <v>2396</v>
      </c>
      <c r="B764">
        <v>763</v>
      </c>
      <c r="C764" t="s">
        <v>1057</v>
      </c>
      <c r="D764" t="s">
        <v>187</v>
      </c>
      <c r="E764" t="s">
        <v>1660</v>
      </c>
      <c r="F764" t="s">
        <v>1634</v>
      </c>
      <c r="H764" t="s">
        <v>1643</v>
      </c>
    </row>
    <row r="765" spans="1:8">
      <c r="A765" t="s">
        <v>1661</v>
      </c>
      <c r="B765">
        <v>764</v>
      </c>
      <c r="C765" t="s">
        <v>2641</v>
      </c>
      <c r="D765" t="s">
        <v>1659</v>
      </c>
      <c r="E765" t="s">
        <v>1660</v>
      </c>
      <c r="F765" t="s">
        <v>1634</v>
      </c>
      <c r="H765" t="s">
        <v>1640</v>
      </c>
    </row>
    <row r="766" spans="1:8">
      <c r="A766" t="s">
        <v>2397</v>
      </c>
      <c r="B766">
        <v>765</v>
      </c>
      <c r="C766" t="s">
        <v>1057</v>
      </c>
      <c r="D766" t="s">
        <v>187</v>
      </c>
      <c r="E766" t="s">
        <v>1663</v>
      </c>
      <c r="F766" t="s">
        <v>1634</v>
      </c>
      <c r="H766" t="s">
        <v>1643</v>
      </c>
    </row>
    <row r="767" spans="1:8">
      <c r="A767" t="s">
        <v>1664</v>
      </c>
      <c r="B767">
        <v>766</v>
      </c>
      <c r="C767" t="s">
        <v>2641</v>
      </c>
      <c r="D767" t="s">
        <v>1662</v>
      </c>
      <c r="E767" t="s">
        <v>1663</v>
      </c>
      <c r="F767" t="s">
        <v>1634</v>
      </c>
      <c r="H767" t="s">
        <v>1640</v>
      </c>
    </row>
    <row r="768" spans="1:8">
      <c r="A768" t="s">
        <v>2398</v>
      </c>
      <c r="B768">
        <v>767</v>
      </c>
      <c r="C768" t="s">
        <v>1057</v>
      </c>
      <c r="D768" t="s">
        <v>187</v>
      </c>
      <c r="E768" t="s">
        <v>1666</v>
      </c>
      <c r="F768" t="s">
        <v>1634</v>
      </c>
      <c r="H768" t="s">
        <v>1643</v>
      </c>
    </row>
    <row r="769" spans="1:8">
      <c r="A769" t="s">
        <v>1667</v>
      </c>
      <c r="B769">
        <v>768</v>
      </c>
      <c r="C769" t="s">
        <v>2641</v>
      </c>
      <c r="D769" t="s">
        <v>1665</v>
      </c>
      <c r="E769" t="s">
        <v>1666</v>
      </c>
      <c r="F769" t="s">
        <v>1634</v>
      </c>
      <c r="H769" t="s">
        <v>1640</v>
      </c>
    </row>
    <row r="770" spans="1:8">
      <c r="A770" t="s">
        <v>2399</v>
      </c>
      <c r="B770">
        <v>769</v>
      </c>
      <c r="C770" t="s">
        <v>1057</v>
      </c>
      <c r="D770" t="s">
        <v>187</v>
      </c>
      <c r="E770" t="s">
        <v>1669</v>
      </c>
      <c r="F770" t="s">
        <v>1634</v>
      </c>
      <c r="H770" t="s">
        <v>1643</v>
      </c>
    </row>
    <row r="771" spans="1:8">
      <c r="A771" t="s">
        <v>1670</v>
      </c>
      <c r="B771">
        <v>770</v>
      </c>
      <c r="C771" t="s">
        <v>2641</v>
      </c>
      <c r="D771" t="s">
        <v>1668</v>
      </c>
      <c r="E771" t="s">
        <v>1669</v>
      </c>
      <c r="F771" t="s">
        <v>1634</v>
      </c>
      <c r="H771" t="s">
        <v>1640</v>
      </c>
    </row>
    <row r="772" spans="1:8">
      <c r="A772" t="s">
        <v>2400</v>
      </c>
      <c r="B772">
        <v>771</v>
      </c>
      <c r="C772" t="s">
        <v>1057</v>
      </c>
      <c r="D772" t="s">
        <v>187</v>
      </c>
      <c r="E772" t="s">
        <v>1672</v>
      </c>
      <c r="F772" t="s">
        <v>1634</v>
      </c>
      <c r="H772" t="s">
        <v>1643</v>
      </c>
    </row>
    <row r="773" spans="1:8">
      <c r="A773" t="s">
        <v>1673</v>
      </c>
      <c r="B773">
        <v>772</v>
      </c>
      <c r="C773" t="s">
        <v>2641</v>
      </c>
      <c r="D773" t="s">
        <v>1671</v>
      </c>
      <c r="E773" t="s">
        <v>1672</v>
      </c>
      <c r="F773" t="s">
        <v>1634</v>
      </c>
      <c r="H773" t="s">
        <v>1640</v>
      </c>
    </row>
    <row r="774" spans="1:8">
      <c r="A774" t="s">
        <v>2401</v>
      </c>
      <c r="B774">
        <v>773</v>
      </c>
      <c r="C774" t="s">
        <v>1057</v>
      </c>
      <c r="D774" t="s">
        <v>187</v>
      </c>
      <c r="E774" t="s">
        <v>1675</v>
      </c>
      <c r="F774" t="s">
        <v>1634</v>
      </c>
      <c r="H774" t="s">
        <v>1643</v>
      </c>
    </row>
    <row r="775" spans="1:8">
      <c r="A775" t="s">
        <v>1676</v>
      </c>
      <c r="B775">
        <v>774</v>
      </c>
      <c r="C775" t="s">
        <v>2641</v>
      </c>
      <c r="D775" t="s">
        <v>1674</v>
      </c>
      <c r="E775" t="s">
        <v>1675</v>
      </c>
      <c r="F775" t="s">
        <v>1634</v>
      </c>
      <c r="H775" t="s">
        <v>1640</v>
      </c>
    </row>
    <row r="776" spans="1:8">
      <c r="A776" t="s">
        <v>2402</v>
      </c>
      <c r="B776">
        <v>775</v>
      </c>
      <c r="C776" t="s">
        <v>1057</v>
      </c>
      <c r="D776" t="s">
        <v>187</v>
      </c>
      <c r="E776" t="s">
        <v>1678</v>
      </c>
      <c r="F776" t="s">
        <v>1634</v>
      </c>
      <c r="H776" t="s">
        <v>1643</v>
      </c>
    </row>
    <row r="777" spans="1:8">
      <c r="A777" t="s">
        <v>1679</v>
      </c>
      <c r="B777">
        <v>776</v>
      </c>
      <c r="C777" t="s">
        <v>2641</v>
      </c>
      <c r="D777" t="s">
        <v>1677</v>
      </c>
      <c r="E777" t="s">
        <v>1678</v>
      </c>
      <c r="F777" t="s">
        <v>1634</v>
      </c>
      <c r="H777" t="s">
        <v>1640</v>
      </c>
    </row>
    <row r="778" spans="1:8">
      <c r="A778" t="s">
        <v>2403</v>
      </c>
      <c r="B778">
        <v>777</v>
      </c>
      <c r="C778" t="s">
        <v>1057</v>
      </c>
      <c r="D778" t="s">
        <v>187</v>
      </c>
      <c r="E778" t="s">
        <v>1681</v>
      </c>
      <c r="F778" t="s">
        <v>1634</v>
      </c>
      <c r="H778" t="s">
        <v>1643</v>
      </c>
    </row>
    <row r="779" spans="1:8">
      <c r="A779" t="s">
        <v>1682</v>
      </c>
      <c r="B779">
        <v>778</v>
      </c>
      <c r="C779" t="s">
        <v>2641</v>
      </c>
      <c r="D779" t="s">
        <v>1680</v>
      </c>
      <c r="E779" t="s">
        <v>1681</v>
      </c>
      <c r="F779" t="s">
        <v>1634</v>
      </c>
      <c r="H779" t="s">
        <v>1640</v>
      </c>
    </row>
    <row r="780" spans="1:8">
      <c r="A780" t="s">
        <v>2404</v>
      </c>
      <c r="B780">
        <v>779</v>
      </c>
      <c r="C780" t="s">
        <v>1057</v>
      </c>
      <c r="D780" t="s">
        <v>187</v>
      </c>
      <c r="E780" t="s">
        <v>1684</v>
      </c>
      <c r="F780" t="s">
        <v>1634</v>
      </c>
      <c r="H780" t="s">
        <v>1643</v>
      </c>
    </row>
    <row r="781" spans="1:8">
      <c r="A781" t="s">
        <v>1685</v>
      </c>
      <c r="B781">
        <v>780</v>
      </c>
      <c r="C781" t="s">
        <v>2641</v>
      </c>
      <c r="D781" t="s">
        <v>1683</v>
      </c>
      <c r="E781" t="s">
        <v>1684</v>
      </c>
      <c r="F781" t="s">
        <v>1634</v>
      </c>
      <c r="H781" t="s">
        <v>1640</v>
      </c>
    </row>
    <row r="782" spans="1:8">
      <c r="A782" t="s">
        <v>2405</v>
      </c>
      <c r="B782">
        <v>781</v>
      </c>
      <c r="C782" t="s">
        <v>1057</v>
      </c>
      <c r="D782" t="s">
        <v>187</v>
      </c>
      <c r="E782" t="s">
        <v>1687</v>
      </c>
      <c r="F782" t="s">
        <v>1634</v>
      </c>
      <c r="H782" t="s">
        <v>1643</v>
      </c>
    </row>
    <row r="783" spans="1:8">
      <c r="A783" t="s">
        <v>1688</v>
      </c>
      <c r="B783">
        <v>782</v>
      </c>
      <c r="C783" t="s">
        <v>2641</v>
      </c>
      <c r="D783" t="s">
        <v>1686</v>
      </c>
      <c r="E783" t="s">
        <v>1687</v>
      </c>
      <c r="F783" t="s">
        <v>1634</v>
      </c>
      <c r="H783" t="s">
        <v>1640</v>
      </c>
    </row>
    <row r="784" spans="1:8">
      <c r="A784" t="s">
        <v>2406</v>
      </c>
      <c r="B784">
        <v>783</v>
      </c>
      <c r="C784" t="s">
        <v>1057</v>
      </c>
      <c r="D784" t="s">
        <v>187</v>
      </c>
      <c r="E784" t="s">
        <v>1690</v>
      </c>
      <c r="F784" t="s">
        <v>1634</v>
      </c>
      <c r="H784" t="s">
        <v>1643</v>
      </c>
    </row>
    <row r="785" spans="1:8">
      <c r="A785" t="s">
        <v>1691</v>
      </c>
      <c r="B785">
        <v>784</v>
      </c>
      <c r="C785" t="s">
        <v>2641</v>
      </c>
      <c r="D785" t="s">
        <v>1689</v>
      </c>
      <c r="E785" t="s">
        <v>1690</v>
      </c>
      <c r="F785" t="s">
        <v>1634</v>
      </c>
      <c r="H785" t="s">
        <v>1640</v>
      </c>
    </row>
    <row r="786" spans="1:8">
      <c r="A786" t="s">
        <v>2407</v>
      </c>
      <c r="B786">
        <v>785</v>
      </c>
      <c r="C786" t="s">
        <v>1057</v>
      </c>
      <c r="D786" t="s">
        <v>187</v>
      </c>
      <c r="E786" t="s">
        <v>1693</v>
      </c>
      <c r="F786" t="s">
        <v>1634</v>
      </c>
      <c r="H786" t="s">
        <v>1643</v>
      </c>
    </row>
    <row r="787" spans="1:8">
      <c r="A787" t="s">
        <v>1694</v>
      </c>
      <c r="B787">
        <v>786</v>
      </c>
      <c r="C787" t="s">
        <v>2641</v>
      </c>
      <c r="D787" t="s">
        <v>1692</v>
      </c>
      <c r="E787" t="s">
        <v>1693</v>
      </c>
      <c r="F787" t="s">
        <v>1634</v>
      </c>
      <c r="H787" t="s">
        <v>1640</v>
      </c>
    </row>
    <row r="788" spans="1:8">
      <c r="A788" t="s">
        <v>2408</v>
      </c>
      <c r="B788">
        <v>787</v>
      </c>
      <c r="C788" t="s">
        <v>1057</v>
      </c>
      <c r="D788" t="s">
        <v>187</v>
      </c>
      <c r="E788" t="s">
        <v>1696</v>
      </c>
      <c r="F788" t="s">
        <v>1634</v>
      </c>
      <c r="H788" t="s">
        <v>1643</v>
      </c>
    </row>
    <row r="789" spans="1:8">
      <c r="A789" t="s">
        <v>1697</v>
      </c>
      <c r="B789">
        <v>788</v>
      </c>
      <c r="C789" t="s">
        <v>2641</v>
      </c>
      <c r="D789" t="s">
        <v>1695</v>
      </c>
      <c r="E789" t="s">
        <v>1696</v>
      </c>
      <c r="F789" t="s">
        <v>1634</v>
      </c>
      <c r="H789" t="s">
        <v>1640</v>
      </c>
    </row>
    <row r="790" spans="1:8">
      <c r="A790" t="s">
        <v>2409</v>
      </c>
      <c r="B790">
        <v>789</v>
      </c>
      <c r="C790" t="s">
        <v>1057</v>
      </c>
      <c r="D790" t="s">
        <v>187</v>
      </c>
      <c r="E790" t="s">
        <v>1699</v>
      </c>
      <c r="F790" t="s">
        <v>1634</v>
      </c>
      <c r="H790" t="s">
        <v>1643</v>
      </c>
    </row>
    <row r="791" spans="1:8">
      <c r="A791" t="s">
        <v>1700</v>
      </c>
      <c r="B791">
        <v>790</v>
      </c>
      <c r="C791" t="s">
        <v>2641</v>
      </c>
      <c r="D791" t="s">
        <v>1698</v>
      </c>
      <c r="E791" t="s">
        <v>1699</v>
      </c>
      <c r="F791" t="s">
        <v>1634</v>
      </c>
      <c r="H791" t="s">
        <v>1640</v>
      </c>
    </row>
    <row r="792" spans="1:8">
      <c r="A792" t="s">
        <v>2410</v>
      </c>
      <c r="B792">
        <v>791</v>
      </c>
      <c r="C792" t="s">
        <v>1057</v>
      </c>
      <c r="D792" t="s">
        <v>187</v>
      </c>
      <c r="E792" t="s">
        <v>1702</v>
      </c>
      <c r="F792" t="s">
        <v>1634</v>
      </c>
      <c r="H792" t="s">
        <v>1643</v>
      </c>
    </row>
    <row r="793" spans="1:8">
      <c r="A793" t="s">
        <v>1703</v>
      </c>
      <c r="B793">
        <v>792</v>
      </c>
      <c r="C793" t="s">
        <v>2641</v>
      </c>
      <c r="D793" t="s">
        <v>1701</v>
      </c>
      <c r="E793" t="s">
        <v>1702</v>
      </c>
      <c r="F793" t="s">
        <v>1634</v>
      </c>
      <c r="H793" t="s">
        <v>1640</v>
      </c>
    </row>
    <row r="794" spans="1:8">
      <c r="A794" t="s">
        <v>2411</v>
      </c>
      <c r="B794">
        <v>793</v>
      </c>
      <c r="C794" t="s">
        <v>1057</v>
      </c>
      <c r="D794" t="s">
        <v>187</v>
      </c>
      <c r="E794" t="s">
        <v>1705</v>
      </c>
      <c r="F794" t="s">
        <v>1634</v>
      </c>
      <c r="H794" t="s">
        <v>1643</v>
      </c>
    </row>
    <row r="795" spans="1:8">
      <c r="A795" t="s">
        <v>1706</v>
      </c>
      <c r="B795">
        <v>794</v>
      </c>
      <c r="C795" t="s">
        <v>2641</v>
      </c>
      <c r="D795" t="s">
        <v>1704</v>
      </c>
      <c r="E795" t="s">
        <v>1705</v>
      </c>
      <c r="F795" t="s">
        <v>1634</v>
      </c>
      <c r="H795" t="s">
        <v>1640</v>
      </c>
    </row>
    <row r="796" spans="1:8">
      <c r="A796" t="s">
        <v>2412</v>
      </c>
      <c r="B796">
        <v>795</v>
      </c>
      <c r="C796" t="s">
        <v>1057</v>
      </c>
      <c r="D796" t="s">
        <v>187</v>
      </c>
      <c r="E796" t="s">
        <v>1708</v>
      </c>
      <c r="F796" t="s">
        <v>1634</v>
      </c>
      <c r="H796" t="s">
        <v>1643</v>
      </c>
    </row>
    <row r="797" spans="1:8">
      <c r="A797" t="s">
        <v>1709</v>
      </c>
      <c r="B797">
        <v>796</v>
      </c>
      <c r="C797" t="s">
        <v>2641</v>
      </c>
      <c r="D797" t="s">
        <v>1707</v>
      </c>
      <c r="E797" t="s">
        <v>1708</v>
      </c>
      <c r="F797" t="s">
        <v>1634</v>
      </c>
      <c r="H797" t="s">
        <v>1640</v>
      </c>
    </row>
    <row r="798" spans="1:8">
      <c r="A798" t="s">
        <v>2413</v>
      </c>
      <c r="B798">
        <v>797</v>
      </c>
      <c r="C798" t="s">
        <v>1057</v>
      </c>
      <c r="D798" t="s">
        <v>187</v>
      </c>
      <c r="E798" t="s">
        <v>1711</v>
      </c>
      <c r="F798" t="s">
        <v>1634</v>
      </c>
      <c r="H798" t="s">
        <v>1643</v>
      </c>
    </row>
    <row r="799" spans="1:8">
      <c r="A799" t="s">
        <v>1712</v>
      </c>
      <c r="B799">
        <v>798</v>
      </c>
      <c r="C799" t="s">
        <v>2641</v>
      </c>
      <c r="D799" t="s">
        <v>1710</v>
      </c>
      <c r="E799" t="s">
        <v>1711</v>
      </c>
      <c r="F799" t="s">
        <v>1634</v>
      </c>
      <c r="H799" t="s">
        <v>1640</v>
      </c>
    </row>
    <row r="800" spans="1:8">
      <c r="A800" t="s">
        <v>2414</v>
      </c>
      <c r="B800">
        <v>799</v>
      </c>
      <c r="C800" t="s">
        <v>1057</v>
      </c>
      <c r="D800" t="s">
        <v>187</v>
      </c>
      <c r="E800" t="s">
        <v>1714</v>
      </c>
      <c r="F800" t="s">
        <v>1634</v>
      </c>
      <c r="H800" t="s">
        <v>1643</v>
      </c>
    </row>
    <row r="801" spans="1:8">
      <c r="A801" t="s">
        <v>1715</v>
      </c>
      <c r="B801">
        <v>800</v>
      </c>
      <c r="C801" t="s">
        <v>2641</v>
      </c>
      <c r="D801" t="s">
        <v>1713</v>
      </c>
      <c r="E801" t="s">
        <v>1714</v>
      </c>
      <c r="F801" t="s">
        <v>1634</v>
      </c>
      <c r="H801" t="s">
        <v>1640</v>
      </c>
    </row>
    <row r="802" spans="1:8">
      <c r="A802" t="s">
        <v>2415</v>
      </c>
      <c r="B802">
        <v>801</v>
      </c>
      <c r="C802" t="s">
        <v>1057</v>
      </c>
      <c r="D802" t="s">
        <v>187</v>
      </c>
      <c r="E802" t="s">
        <v>1717</v>
      </c>
      <c r="F802" t="s">
        <v>1634</v>
      </c>
      <c r="H802" t="s">
        <v>1643</v>
      </c>
    </row>
    <row r="803" spans="1:8">
      <c r="A803" t="s">
        <v>1718</v>
      </c>
      <c r="B803">
        <v>802</v>
      </c>
      <c r="C803" t="s">
        <v>2641</v>
      </c>
      <c r="D803" t="s">
        <v>1716</v>
      </c>
      <c r="E803" t="s">
        <v>1717</v>
      </c>
      <c r="F803" t="s">
        <v>1634</v>
      </c>
      <c r="H803" t="s">
        <v>1640</v>
      </c>
    </row>
    <row r="804" spans="1:8">
      <c r="A804" t="s">
        <v>2416</v>
      </c>
      <c r="B804">
        <v>803</v>
      </c>
      <c r="C804" t="s">
        <v>1057</v>
      </c>
      <c r="D804" t="s">
        <v>187</v>
      </c>
      <c r="E804" t="s">
        <v>1720</v>
      </c>
      <c r="F804" t="s">
        <v>1634</v>
      </c>
      <c r="H804" t="s">
        <v>1643</v>
      </c>
    </row>
    <row r="805" spans="1:8">
      <c r="A805" t="s">
        <v>1721</v>
      </c>
      <c r="B805">
        <v>804</v>
      </c>
      <c r="C805" t="s">
        <v>2641</v>
      </c>
      <c r="D805" t="s">
        <v>1719</v>
      </c>
      <c r="E805" t="s">
        <v>1720</v>
      </c>
      <c r="F805" t="s">
        <v>1634</v>
      </c>
      <c r="H805" t="s">
        <v>1640</v>
      </c>
    </row>
    <row r="806" spans="1:8">
      <c r="A806" t="s">
        <v>2417</v>
      </c>
      <c r="B806">
        <v>805</v>
      </c>
      <c r="C806" t="s">
        <v>1057</v>
      </c>
      <c r="D806" t="s">
        <v>187</v>
      </c>
      <c r="E806" t="s">
        <v>1723</v>
      </c>
      <c r="F806" t="s">
        <v>1634</v>
      </c>
      <c r="H806" t="s">
        <v>1643</v>
      </c>
    </row>
    <row r="807" spans="1:8">
      <c r="A807" t="s">
        <v>1724</v>
      </c>
      <c r="B807">
        <v>806</v>
      </c>
      <c r="C807" t="s">
        <v>2641</v>
      </c>
      <c r="D807" t="s">
        <v>1722</v>
      </c>
      <c r="E807" t="s">
        <v>1723</v>
      </c>
      <c r="F807" t="s">
        <v>1634</v>
      </c>
      <c r="H807" t="s">
        <v>1640</v>
      </c>
    </row>
    <row r="808" spans="1:8">
      <c r="A808" t="s">
        <v>2418</v>
      </c>
      <c r="B808">
        <v>807</v>
      </c>
      <c r="C808" t="s">
        <v>1057</v>
      </c>
      <c r="D808" t="s">
        <v>187</v>
      </c>
      <c r="E808" t="s">
        <v>1726</v>
      </c>
      <c r="F808" t="s">
        <v>1634</v>
      </c>
      <c r="H808" t="s">
        <v>1643</v>
      </c>
    </row>
    <row r="809" spans="1:8">
      <c r="A809" t="s">
        <v>1727</v>
      </c>
      <c r="B809">
        <v>808</v>
      </c>
      <c r="C809" t="s">
        <v>2641</v>
      </c>
      <c r="D809" t="s">
        <v>1725</v>
      </c>
      <c r="E809" t="s">
        <v>1726</v>
      </c>
      <c r="F809" t="s">
        <v>1634</v>
      </c>
      <c r="H809" t="s">
        <v>1640</v>
      </c>
    </row>
    <row r="810" spans="1:8">
      <c r="A810" t="s">
        <v>2419</v>
      </c>
      <c r="B810">
        <v>809</v>
      </c>
      <c r="C810" t="s">
        <v>1057</v>
      </c>
      <c r="D810" t="s">
        <v>187</v>
      </c>
      <c r="E810" t="s">
        <v>1729</v>
      </c>
      <c r="F810" t="s">
        <v>1634</v>
      </c>
      <c r="H810" t="s">
        <v>1643</v>
      </c>
    </row>
    <row r="811" spans="1:8">
      <c r="A811" t="s">
        <v>1730</v>
      </c>
      <c r="B811">
        <v>810</v>
      </c>
      <c r="C811" t="s">
        <v>2641</v>
      </c>
      <c r="D811" t="s">
        <v>1728</v>
      </c>
      <c r="E811" t="s">
        <v>1729</v>
      </c>
      <c r="F811" t="s">
        <v>1634</v>
      </c>
      <c r="H811" t="s">
        <v>1640</v>
      </c>
    </row>
    <row r="812" spans="1:8">
      <c r="A812" t="s">
        <v>2420</v>
      </c>
      <c r="B812">
        <v>811</v>
      </c>
      <c r="C812" t="s">
        <v>1057</v>
      </c>
      <c r="D812" t="s">
        <v>187</v>
      </c>
      <c r="E812" t="s">
        <v>1732</v>
      </c>
      <c r="F812" t="s">
        <v>1634</v>
      </c>
      <c r="H812" t="s">
        <v>1643</v>
      </c>
    </row>
    <row r="813" spans="1:8">
      <c r="A813" t="s">
        <v>1733</v>
      </c>
      <c r="B813">
        <v>812</v>
      </c>
      <c r="C813" t="s">
        <v>2641</v>
      </c>
      <c r="D813" t="s">
        <v>1731</v>
      </c>
      <c r="E813" t="s">
        <v>1732</v>
      </c>
      <c r="F813" t="s">
        <v>1634</v>
      </c>
      <c r="H813" t="s">
        <v>1640</v>
      </c>
    </row>
    <row r="814" spans="1:8">
      <c r="A814" t="s">
        <v>2421</v>
      </c>
      <c r="B814">
        <v>813</v>
      </c>
      <c r="C814" t="s">
        <v>1057</v>
      </c>
      <c r="D814" t="s">
        <v>187</v>
      </c>
      <c r="E814" t="s">
        <v>1735</v>
      </c>
      <c r="F814" t="s">
        <v>1634</v>
      </c>
      <c r="H814" t="s">
        <v>1643</v>
      </c>
    </row>
    <row r="815" spans="1:8">
      <c r="A815" t="s">
        <v>1736</v>
      </c>
      <c r="B815">
        <v>814</v>
      </c>
      <c r="C815" t="s">
        <v>2641</v>
      </c>
      <c r="D815" t="s">
        <v>1734</v>
      </c>
      <c r="E815" t="s">
        <v>1735</v>
      </c>
      <c r="F815" t="s">
        <v>1634</v>
      </c>
      <c r="H815" t="s">
        <v>1640</v>
      </c>
    </row>
    <row r="816" spans="1:8">
      <c r="A816" t="s">
        <v>2422</v>
      </c>
      <c r="B816">
        <v>815</v>
      </c>
      <c r="C816" t="s">
        <v>1057</v>
      </c>
      <c r="D816" t="s">
        <v>187</v>
      </c>
      <c r="E816" t="s">
        <v>1738</v>
      </c>
      <c r="F816" t="s">
        <v>1634</v>
      </c>
      <c r="H816" t="s">
        <v>1643</v>
      </c>
    </row>
    <row r="817" spans="1:8">
      <c r="A817" t="s">
        <v>1739</v>
      </c>
      <c r="B817">
        <v>816</v>
      </c>
      <c r="C817" t="s">
        <v>2641</v>
      </c>
      <c r="D817" t="s">
        <v>1737</v>
      </c>
      <c r="E817" t="s">
        <v>1738</v>
      </c>
      <c r="F817" t="s">
        <v>1634</v>
      </c>
      <c r="H817" t="s">
        <v>1640</v>
      </c>
    </row>
    <row r="818" spans="1:8">
      <c r="A818" t="s">
        <v>2423</v>
      </c>
      <c r="B818">
        <v>817</v>
      </c>
      <c r="C818" t="s">
        <v>1057</v>
      </c>
      <c r="D818" t="s">
        <v>187</v>
      </c>
      <c r="E818" t="s">
        <v>1741</v>
      </c>
      <c r="F818" t="s">
        <v>1634</v>
      </c>
      <c r="H818" t="s">
        <v>1643</v>
      </c>
    </row>
    <row r="819" spans="1:8">
      <c r="A819" t="s">
        <v>1742</v>
      </c>
      <c r="B819">
        <v>818</v>
      </c>
      <c r="C819" t="s">
        <v>2641</v>
      </c>
      <c r="D819" t="s">
        <v>1740</v>
      </c>
      <c r="E819" t="s">
        <v>1741</v>
      </c>
      <c r="F819" t="s">
        <v>1634</v>
      </c>
      <c r="H819" t="s">
        <v>1640</v>
      </c>
    </row>
    <row r="820" spans="1:8">
      <c r="A820" t="s">
        <v>1744</v>
      </c>
      <c r="B820">
        <v>819</v>
      </c>
      <c r="C820" t="s">
        <v>2641</v>
      </c>
      <c r="D820" t="s">
        <v>1743</v>
      </c>
      <c r="E820" t="s">
        <v>187</v>
      </c>
      <c r="F820" t="s">
        <v>1634</v>
      </c>
      <c r="H820" t="s">
        <v>1640</v>
      </c>
    </row>
    <row r="821" spans="1:8">
      <c r="A821" t="s">
        <v>2424</v>
      </c>
      <c r="B821">
        <v>820</v>
      </c>
      <c r="C821" t="s">
        <v>1057</v>
      </c>
      <c r="D821" t="s">
        <v>187</v>
      </c>
      <c r="E821" t="s">
        <v>1746</v>
      </c>
      <c r="F821" t="s">
        <v>1634</v>
      </c>
      <c r="H821" t="s">
        <v>1643</v>
      </c>
    </row>
    <row r="822" spans="1:8">
      <c r="A822" t="s">
        <v>1747</v>
      </c>
      <c r="B822">
        <v>821</v>
      </c>
      <c r="C822" t="s">
        <v>2641</v>
      </c>
      <c r="D822" t="s">
        <v>1745</v>
      </c>
      <c r="E822" t="s">
        <v>1746</v>
      </c>
      <c r="F822" t="s">
        <v>1634</v>
      </c>
      <c r="H822" t="s">
        <v>1640</v>
      </c>
    </row>
    <row r="823" spans="1:8">
      <c r="A823" t="s">
        <v>2425</v>
      </c>
      <c r="B823">
        <v>822</v>
      </c>
      <c r="C823" t="s">
        <v>1057</v>
      </c>
      <c r="D823" t="s">
        <v>187</v>
      </c>
      <c r="E823" t="s">
        <v>1749</v>
      </c>
      <c r="F823" t="s">
        <v>1634</v>
      </c>
      <c r="H823" t="s">
        <v>1643</v>
      </c>
    </row>
    <row r="824" spans="1:8">
      <c r="A824" t="s">
        <v>1750</v>
      </c>
      <c r="B824">
        <v>823</v>
      </c>
      <c r="C824" t="s">
        <v>2641</v>
      </c>
      <c r="D824" t="s">
        <v>1748</v>
      </c>
      <c r="E824" t="s">
        <v>1749</v>
      </c>
      <c r="F824" t="s">
        <v>1634</v>
      </c>
      <c r="H824" t="s">
        <v>1640</v>
      </c>
    </row>
    <row r="825" spans="1:8">
      <c r="A825" t="s">
        <v>2426</v>
      </c>
      <c r="B825">
        <v>824</v>
      </c>
      <c r="C825" t="s">
        <v>1057</v>
      </c>
      <c r="D825" t="s">
        <v>187</v>
      </c>
      <c r="E825" t="s">
        <v>1752</v>
      </c>
      <c r="F825" t="s">
        <v>1634</v>
      </c>
      <c r="H825" t="s">
        <v>1643</v>
      </c>
    </row>
    <row r="826" spans="1:8">
      <c r="A826" t="s">
        <v>1753</v>
      </c>
      <c r="B826">
        <v>825</v>
      </c>
      <c r="C826" t="s">
        <v>2641</v>
      </c>
      <c r="D826" t="s">
        <v>1751</v>
      </c>
      <c r="E826" t="s">
        <v>1752</v>
      </c>
      <c r="F826" t="s">
        <v>1634</v>
      </c>
      <c r="H826" t="s">
        <v>1640</v>
      </c>
    </row>
    <row r="827" spans="1:8">
      <c r="A827" t="s">
        <v>2427</v>
      </c>
      <c r="B827">
        <v>826</v>
      </c>
      <c r="C827" t="s">
        <v>1057</v>
      </c>
      <c r="D827" t="s">
        <v>187</v>
      </c>
      <c r="E827" t="s">
        <v>1755</v>
      </c>
      <c r="F827" t="s">
        <v>1634</v>
      </c>
      <c r="H827" t="s">
        <v>1643</v>
      </c>
    </row>
    <row r="828" spans="1:8">
      <c r="A828" t="s">
        <v>1756</v>
      </c>
      <c r="B828">
        <v>827</v>
      </c>
      <c r="C828" t="s">
        <v>2641</v>
      </c>
      <c r="D828" t="s">
        <v>1754</v>
      </c>
      <c r="E828" t="s">
        <v>1755</v>
      </c>
      <c r="F828" t="s">
        <v>1634</v>
      </c>
      <c r="H828" t="s">
        <v>1640</v>
      </c>
    </row>
    <row r="829" spans="1:8">
      <c r="A829" t="s">
        <v>2428</v>
      </c>
      <c r="B829">
        <v>828</v>
      </c>
      <c r="C829" t="s">
        <v>1057</v>
      </c>
      <c r="D829" t="s">
        <v>187</v>
      </c>
      <c r="E829" t="s">
        <v>1758</v>
      </c>
      <c r="F829" t="s">
        <v>1634</v>
      </c>
      <c r="H829" t="s">
        <v>1643</v>
      </c>
    </row>
    <row r="830" spans="1:8">
      <c r="A830" t="s">
        <v>1759</v>
      </c>
      <c r="B830">
        <v>829</v>
      </c>
      <c r="C830" t="s">
        <v>2641</v>
      </c>
      <c r="D830" t="s">
        <v>1757</v>
      </c>
      <c r="E830" t="s">
        <v>1758</v>
      </c>
      <c r="F830" t="s">
        <v>1634</v>
      </c>
      <c r="H830" t="s">
        <v>1640</v>
      </c>
    </row>
    <row r="831" spans="1:8">
      <c r="A831" t="s">
        <v>2429</v>
      </c>
      <c r="B831">
        <v>830</v>
      </c>
      <c r="C831" t="s">
        <v>1057</v>
      </c>
      <c r="D831" t="s">
        <v>187</v>
      </c>
      <c r="E831" t="s">
        <v>1761</v>
      </c>
      <c r="F831" t="s">
        <v>1634</v>
      </c>
      <c r="H831" t="s">
        <v>1643</v>
      </c>
    </row>
    <row r="832" spans="1:8">
      <c r="A832" t="s">
        <v>1762</v>
      </c>
      <c r="B832">
        <v>831</v>
      </c>
      <c r="C832" t="s">
        <v>2641</v>
      </c>
      <c r="D832" t="s">
        <v>1760</v>
      </c>
      <c r="E832" t="s">
        <v>1761</v>
      </c>
      <c r="F832" t="s">
        <v>1634</v>
      </c>
      <c r="H832" t="s">
        <v>1640</v>
      </c>
    </row>
    <row r="833" spans="1:8">
      <c r="A833" t="s">
        <v>2430</v>
      </c>
      <c r="B833">
        <v>832</v>
      </c>
      <c r="C833" t="s">
        <v>1057</v>
      </c>
      <c r="D833" t="s">
        <v>187</v>
      </c>
      <c r="E833" t="s">
        <v>1764</v>
      </c>
      <c r="F833" t="s">
        <v>1634</v>
      </c>
      <c r="H833" t="s">
        <v>1643</v>
      </c>
    </row>
    <row r="834" spans="1:8">
      <c r="A834" t="s">
        <v>1765</v>
      </c>
      <c r="B834">
        <v>833</v>
      </c>
      <c r="C834" t="s">
        <v>2641</v>
      </c>
      <c r="D834" t="s">
        <v>1763</v>
      </c>
      <c r="E834" t="s">
        <v>1764</v>
      </c>
      <c r="F834" t="s">
        <v>1634</v>
      </c>
      <c r="H834" t="s">
        <v>1640</v>
      </c>
    </row>
    <row r="835" spans="1:8">
      <c r="A835" t="s">
        <v>2431</v>
      </c>
      <c r="B835">
        <v>834</v>
      </c>
      <c r="C835" t="s">
        <v>1057</v>
      </c>
      <c r="D835" t="s">
        <v>187</v>
      </c>
      <c r="E835" t="s">
        <v>1767</v>
      </c>
      <c r="F835" t="s">
        <v>1634</v>
      </c>
      <c r="H835" t="s">
        <v>1643</v>
      </c>
    </row>
    <row r="836" spans="1:8">
      <c r="A836" t="s">
        <v>1768</v>
      </c>
      <c r="B836">
        <v>835</v>
      </c>
      <c r="C836" t="s">
        <v>2641</v>
      </c>
      <c r="D836" t="s">
        <v>1766</v>
      </c>
      <c r="E836" t="s">
        <v>1767</v>
      </c>
      <c r="F836" t="s">
        <v>1634</v>
      </c>
      <c r="H836" t="s">
        <v>1640</v>
      </c>
    </row>
    <row r="837" spans="1:8">
      <c r="A837" t="s">
        <v>2432</v>
      </c>
      <c r="B837">
        <v>836</v>
      </c>
      <c r="C837" t="s">
        <v>1057</v>
      </c>
      <c r="D837" t="s">
        <v>187</v>
      </c>
      <c r="E837" t="s">
        <v>1770</v>
      </c>
      <c r="F837" t="s">
        <v>1634</v>
      </c>
      <c r="H837" t="s">
        <v>1643</v>
      </c>
    </row>
    <row r="838" spans="1:8">
      <c r="A838" t="s">
        <v>1771</v>
      </c>
      <c r="B838">
        <v>837</v>
      </c>
      <c r="C838" t="s">
        <v>2641</v>
      </c>
      <c r="D838" t="s">
        <v>1769</v>
      </c>
      <c r="E838" t="s">
        <v>1770</v>
      </c>
      <c r="F838" t="s">
        <v>1634</v>
      </c>
      <c r="H838" t="s">
        <v>1640</v>
      </c>
    </row>
    <row r="839" spans="1:8">
      <c r="A839" t="s">
        <v>2433</v>
      </c>
      <c r="B839">
        <v>838</v>
      </c>
      <c r="C839" t="s">
        <v>1057</v>
      </c>
      <c r="D839" t="s">
        <v>187</v>
      </c>
      <c r="E839" t="s">
        <v>1773</v>
      </c>
      <c r="F839" t="s">
        <v>1634</v>
      </c>
      <c r="H839" t="s">
        <v>1643</v>
      </c>
    </row>
    <row r="840" spans="1:8">
      <c r="A840" t="s">
        <v>1774</v>
      </c>
      <c r="B840">
        <v>839</v>
      </c>
      <c r="C840" t="s">
        <v>2641</v>
      </c>
      <c r="D840" t="s">
        <v>1772</v>
      </c>
      <c r="E840" t="s">
        <v>1773</v>
      </c>
      <c r="F840" t="s">
        <v>1634</v>
      </c>
      <c r="H840" t="s">
        <v>1640</v>
      </c>
    </row>
    <row r="841" spans="1:8">
      <c r="A841" t="s">
        <v>2434</v>
      </c>
      <c r="B841">
        <v>840</v>
      </c>
      <c r="C841" t="s">
        <v>1057</v>
      </c>
      <c r="D841" t="s">
        <v>187</v>
      </c>
      <c r="E841" t="s">
        <v>1776</v>
      </c>
      <c r="F841" t="s">
        <v>1634</v>
      </c>
      <c r="H841" t="s">
        <v>1643</v>
      </c>
    </row>
    <row r="842" spans="1:8">
      <c r="A842" t="s">
        <v>1777</v>
      </c>
      <c r="B842">
        <v>841</v>
      </c>
      <c r="C842" t="s">
        <v>2641</v>
      </c>
      <c r="D842" t="s">
        <v>1775</v>
      </c>
      <c r="E842" t="s">
        <v>1776</v>
      </c>
      <c r="F842" t="s">
        <v>1634</v>
      </c>
      <c r="H842" t="s">
        <v>1640</v>
      </c>
    </row>
    <row r="843" spans="1:8">
      <c r="A843" t="s">
        <v>2435</v>
      </c>
      <c r="B843">
        <v>842</v>
      </c>
      <c r="C843" t="s">
        <v>1057</v>
      </c>
      <c r="D843" t="s">
        <v>187</v>
      </c>
      <c r="E843" t="s">
        <v>1779</v>
      </c>
      <c r="F843" t="s">
        <v>1634</v>
      </c>
      <c r="H843" t="s">
        <v>1643</v>
      </c>
    </row>
    <row r="844" spans="1:8">
      <c r="A844" t="s">
        <v>1780</v>
      </c>
      <c r="B844">
        <v>843</v>
      </c>
      <c r="C844" t="s">
        <v>2641</v>
      </c>
      <c r="D844" t="s">
        <v>1778</v>
      </c>
      <c r="E844" t="s">
        <v>1779</v>
      </c>
      <c r="F844" t="s">
        <v>1634</v>
      </c>
      <c r="H844" t="s">
        <v>1640</v>
      </c>
    </row>
    <row r="845" spans="1:8">
      <c r="A845" t="s">
        <v>2436</v>
      </c>
      <c r="B845">
        <v>844</v>
      </c>
      <c r="C845" t="s">
        <v>1057</v>
      </c>
      <c r="D845" t="s">
        <v>187</v>
      </c>
      <c r="E845" t="s">
        <v>1782</v>
      </c>
      <c r="F845" t="s">
        <v>1634</v>
      </c>
      <c r="H845" t="s">
        <v>1643</v>
      </c>
    </row>
    <row r="846" spans="1:8">
      <c r="A846" t="s">
        <v>1783</v>
      </c>
      <c r="B846">
        <v>845</v>
      </c>
      <c r="C846" t="s">
        <v>2641</v>
      </c>
      <c r="D846" t="s">
        <v>1781</v>
      </c>
      <c r="E846" t="s">
        <v>1782</v>
      </c>
      <c r="F846" t="s">
        <v>1634</v>
      </c>
      <c r="H846" t="s">
        <v>1640</v>
      </c>
    </row>
    <row r="847" spans="1:8">
      <c r="A847" t="s">
        <v>2437</v>
      </c>
      <c r="B847">
        <v>846</v>
      </c>
      <c r="C847" t="s">
        <v>1057</v>
      </c>
      <c r="D847" t="s">
        <v>187</v>
      </c>
      <c r="E847" t="s">
        <v>1785</v>
      </c>
      <c r="F847" t="s">
        <v>1634</v>
      </c>
      <c r="H847" t="s">
        <v>1643</v>
      </c>
    </row>
    <row r="848" spans="1:8">
      <c r="A848" t="s">
        <v>1786</v>
      </c>
      <c r="B848">
        <v>847</v>
      </c>
      <c r="C848" t="s">
        <v>2641</v>
      </c>
      <c r="D848" t="s">
        <v>1784</v>
      </c>
      <c r="E848" t="s">
        <v>1785</v>
      </c>
      <c r="F848" t="s">
        <v>1634</v>
      </c>
      <c r="H848" t="s">
        <v>1640</v>
      </c>
    </row>
    <row r="849" spans="1:8">
      <c r="A849" t="s">
        <v>2438</v>
      </c>
      <c r="B849">
        <v>848</v>
      </c>
      <c r="C849" t="s">
        <v>1057</v>
      </c>
      <c r="D849" t="s">
        <v>187</v>
      </c>
      <c r="E849" t="s">
        <v>1788</v>
      </c>
      <c r="F849" t="s">
        <v>1634</v>
      </c>
      <c r="H849" t="s">
        <v>1643</v>
      </c>
    </row>
    <row r="850" spans="1:8">
      <c r="A850" t="s">
        <v>1789</v>
      </c>
      <c r="B850">
        <v>849</v>
      </c>
      <c r="C850" t="s">
        <v>2641</v>
      </c>
      <c r="D850" t="s">
        <v>1787</v>
      </c>
      <c r="E850" t="s">
        <v>1788</v>
      </c>
      <c r="F850" t="s">
        <v>1634</v>
      </c>
      <c r="H850" t="s">
        <v>1640</v>
      </c>
    </row>
    <row r="851" spans="1:8">
      <c r="A851" t="s">
        <v>2439</v>
      </c>
      <c r="B851">
        <v>850</v>
      </c>
      <c r="C851" t="s">
        <v>1057</v>
      </c>
      <c r="D851" t="s">
        <v>187</v>
      </c>
      <c r="E851" t="s">
        <v>1791</v>
      </c>
      <c r="F851" t="s">
        <v>1634</v>
      </c>
      <c r="H851" t="s">
        <v>1643</v>
      </c>
    </row>
    <row r="852" spans="1:8">
      <c r="A852" t="s">
        <v>1792</v>
      </c>
      <c r="B852">
        <v>851</v>
      </c>
      <c r="C852" t="s">
        <v>2641</v>
      </c>
      <c r="D852" t="s">
        <v>1790</v>
      </c>
      <c r="E852" t="s">
        <v>1791</v>
      </c>
      <c r="F852" t="s">
        <v>1634</v>
      </c>
      <c r="H852" t="s">
        <v>1640</v>
      </c>
    </row>
    <row r="853" spans="1:8">
      <c r="A853" t="s">
        <v>2440</v>
      </c>
      <c r="B853">
        <v>852</v>
      </c>
      <c r="C853" t="s">
        <v>1057</v>
      </c>
      <c r="D853" t="s">
        <v>187</v>
      </c>
      <c r="E853" t="s">
        <v>1794</v>
      </c>
      <c r="F853" t="s">
        <v>1634</v>
      </c>
      <c r="H853" t="s">
        <v>1643</v>
      </c>
    </row>
    <row r="854" spans="1:8">
      <c r="A854" t="s">
        <v>1795</v>
      </c>
      <c r="B854">
        <v>853</v>
      </c>
      <c r="C854" t="s">
        <v>2641</v>
      </c>
      <c r="D854" t="s">
        <v>1793</v>
      </c>
      <c r="E854" t="s">
        <v>1794</v>
      </c>
      <c r="F854" t="s">
        <v>1634</v>
      </c>
      <c r="H854" t="s">
        <v>1640</v>
      </c>
    </row>
    <row r="855" spans="1:8">
      <c r="A855" t="s">
        <v>2441</v>
      </c>
      <c r="B855">
        <v>854</v>
      </c>
      <c r="C855" t="s">
        <v>1057</v>
      </c>
      <c r="D855" t="s">
        <v>187</v>
      </c>
      <c r="E855" t="s">
        <v>1797</v>
      </c>
      <c r="F855" t="s">
        <v>1634</v>
      </c>
      <c r="H855" t="s">
        <v>1643</v>
      </c>
    </row>
    <row r="856" spans="1:8">
      <c r="A856" t="s">
        <v>1798</v>
      </c>
      <c r="B856">
        <v>855</v>
      </c>
      <c r="C856" t="s">
        <v>2641</v>
      </c>
      <c r="D856" t="s">
        <v>1796</v>
      </c>
      <c r="E856" t="s">
        <v>1797</v>
      </c>
      <c r="F856" t="s">
        <v>1634</v>
      </c>
      <c r="H856" t="s">
        <v>1640</v>
      </c>
    </row>
    <row r="857" spans="1:8">
      <c r="A857" t="s">
        <v>2442</v>
      </c>
      <c r="B857">
        <v>856</v>
      </c>
      <c r="C857" t="s">
        <v>1057</v>
      </c>
      <c r="D857" t="s">
        <v>187</v>
      </c>
      <c r="E857" t="s">
        <v>1800</v>
      </c>
      <c r="F857" t="s">
        <v>1634</v>
      </c>
      <c r="H857" t="s">
        <v>1643</v>
      </c>
    </row>
    <row r="858" spans="1:8">
      <c r="A858" t="s">
        <v>1801</v>
      </c>
      <c r="B858">
        <v>857</v>
      </c>
      <c r="C858" t="s">
        <v>2641</v>
      </c>
      <c r="D858" t="s">
        <v>1799</v>
      </c>
      <c r="E858" t="s">
        <v>1800</v>
      </c>
      <c r="F858" t="s">
        <v>1634</v>
      </c>
      <c r="H858" t="s">
        <v>1640</v>
      </c>
    </row>
    <row r="859" spans="1:8">
      <c r="A859" t="s">
        <v>2443</v>
      </c>
      <c r="B859">
        <v>858</v>
      </c>
      <c r="C859" t="s">
        <v>1057</v>
      </c>
      <c r="D859" t="s">
        <v>187</v>
      </c>
      <c r="E859" t="s">
        <v>1803</v>
      </c>
      <c r="F859" t="s">
        <v>1634</v>
      </c>
      <c r="H859" t="s">
        <v>1643</v>
      </c>
    </row>
    <row r="860" spans="1:8">
      <c r="A860" t="s">
        <v>1804</v>
      </c>
      <c r="B860">
        <v>859</v>
      </c>
      <c r="C860" t="s">
        <v>2641</v>
      </c>
      <c r="D860" t="s">
        <v>1802</v>
      </c>
      <c r="E860" t="s">
        <v>1803</v>
      </c>
      <c r="F860" t="s">
        <v>1634</v>
      </c>
      <c r="H860" t="s">
        <v>1640</v>
      </c>
    </row>
    <row r="861" spans="1:8">
      <c r="A861" t="s">
        <v>2444</v>
      </c>
      <c r="B861">
        <v>860</v>
      </c>
      <c r="C861" t="s">
        <v>1057</v>
      </c>
      <c r="D861" t="s">
        <v>187</v>
      </c>
      <c r="E861" t="s">
        <v>1806</v>
      </c>
      <c r="F861" t="s">
        <v>1634</v>
      </c>
      <c r="H861" t="s">
        <v>1643</v>
      </c>
    </row>
    <row r="862" spans="1:8">
      <c r="A862" t="s">
        <v>1807</v>
      </c>
      <c r="B862">
        <v>861</v>
      </c>
      <c r="C862" t="s">
        <v>2641</v>
      </c>
      <c r="D862" t="s">
        <v>1805</v>
      </c>
      <c r="E862" t="s">
        <v>1806</v>
      </c>
      <c r="F862" t="s">
        <v>1634</v>
      </c>
      <c r="H862" t="s">
        <v>1640</v>
      </c>
    </row>
    <row r="863" spans="1:8">
      <c r="A863" t="s">
        <v>2445</v>
      </c>
      <c r="B863">
        <v>862</v>
      </c>
      <c r="C863" t="s">
        <v>1057</v>
      </c>
      <c r="D863" t="s">
        <v>187</v>
      </c>
      <c r="E863" t="s">
        <v>1809</v>
      </c>
      <c r="F863" t="s">
        <v>1634</v>
      </c>
      <c r="H863" t="s">
        <v>1643</v>
      </c>
    </row>
    <row r="864" spans="1:8">
      <c r="A864" t="s">
        <v>1810</v>
      </c>
      <c r="B864">
        <v>863</v>
      </c>
      <c r="C864" t="s">
        <v>2641</v>
      </c>
      <c r="D864" t="s">
        <v>1808</v>
      </c>
      <c r="E864" t="s">
        <v>1809</v>
      </c>
      <c r="F864" t="s">
        <v>1634</v>
      </c>
      <c r="H864" t="s">
        <v>1640</v>
      </c>
    </row>
    <row r="865" spans="1:8">
      <c r="A865" t="s">
        <v>2446</v>
      </c>
      <c r="B865">
        <v>864</v>
      </c>
      <c r="C865" t="s">
        <v>1057</v>
      </c>
      <c r="D865" t="s">
        <v>187</v>
      </c>
      <c r="E865" t="s">
        <v>1812</v>
      </c>
      <c r="F865" t="s">
        <v>1634</v>
      </c>
      <c r="H865" t="s">
        <v>1643</v>
      </c>
    </row>
    <row r="866" spans="1:8">
      <c r="A866" t="s">
        <v>1813</v>
      </c>
      <c r="B866">
        <v>865</v>
      </c>
      <c r="C866" t="s">
        <v>2641</v>
      </c>
      <c r="D866" t="s">
        <v>1811</v>
      </c>
      <c r="E866" t="s">
        <v>1812</v>
      </c>
      <c r="F866" t="s">
        <v>1634</v>
      </c>
      <c r="H866" t="s">
        <v>1640</v>
      </c>
    </row>
    <row r="867" spans="1:8">
      <c r="A867" t="s">
        <v>2447</v>
      </c>
      <c r="B867">
        <v>866</v>
      </c>
      <c r="C867" t="s">
        <v>1057</v>
      </c>
      <c r="D867" t="s">
        <v>187</v>
      </c>
      <c r="E867" t="s">
        <v>1815</v>
      </c>
      <c r="F867" t="s">
        <v>1634</v>
      </c>
      <c r="H867" t="s">
        <v>1643</v>
      </c>
    </row>
    <row r="868" spans="1:8">
      <c r="A868" t="s">
        <v>1816</v>
      </c>
      <c r="B868">
        <v>867</v>
      </c>
      <c r="C868" t="s">
        <v>2641</v>
      </c>
      <c r="D868" t="s">
        <v>1814</v>
      </c>
      <c r="E868" t="s">
        <v>1815</v>
      </c>
      <c r="F868" t="s">
        <v>1634</v>
      </c>
      <c r="H868" t="s">
        <v>1640</v>
      </c>
    </row>
    <row r="869" spans="1:8">
      <c r="A869" t="s">
        <v>2448</v>
      </c>
      <c r="B869">
        <v>868</v>
      </c>
      <c r="C869" t="s">
        <v>1057</v>
      </c>
      <c r="D869" t="s">
        <v>187</v>
      </c>
      <c r="E869" t="s">
        <v>1818</v>
      </c>
      <c r="F869" t="s">
        <v>1634</v>
      </c>
      <c r="H869" t="s">
        <v>1643</v>
      </c>
    </row>
    <row r="870" spans="1:8">
      <c r="A870" t="s">
        <v>1819</v>
      </c>
      <c r="B870">
        <v>869</v>
      </c>
      <c r="C870" t="s">
        <v>2641</v>
      </c>
      <c r="D870" t="s">
        <v>1817</v>
      </c>
      <c r="E870" t="s">
        <v>1818</v>
      </c>
      <c r="F870" t="s">
        <v>1634</v>
      </c>
      <c r="H870" t="s">
        <v>1640</v>
      </c>
    </row>
    <row r="871" spans="1:8">
      <c r="A871" t="s">
        <v>2449</v>
      </c>
      <c r="B871">
        <v>870</v>
      </c>
      <c r="C871" t="s">
        <v>1057</v>
      </c>
      <c r="D871" t="s">
        <v>187</v>
      </c>
      <c r="E871" t="s">
        <v>1821</v>
      </c>
      <c r="F871" t="s">
        <v>1634</v>
      </c>
      <c r="H871" t="s">
        <v>1643</v>
      </c>
    </row>
    <row r="872" spans="1:8">
      <c r="A872" t="s">
        <v>1822</v>
      </c>
      <c r="B872">
        <v>871</v>
      </c>
      <c r="C872" t="s">
        <v>2641</v>
      </c>
      <c r="D872" t="s">
        <v>1820</v>
      </c>
      <c r="E872" t="s">
        <v>1821</v>
      </c>
      <c r="F872" t="s">
        <v>1634</v>
      </c>
      <c r="H872" t="s">
        <v>1640</v>
      </c>
    </row>
    <row r="873" spans="1:8">
      <c r="A873" t="s">
        <v>2450</v>
      </c>
      <c r="B873">
        <v>872</v>
      </c>
      <c r="C873" t="s">
        <v>1057</v>
      </c>
      <c r="D873" t="s">
        <v>187</v>
      </c>
      <c r="E873" t="s">
        <v>1824</v>
      </c>
      <c r="F873" t="s">
        <v>1634</v>
      </c>
      <c r="H873" t="s">
        <v>1643</v>
      </c>
    </row>
    <row r="874" spans="1:8">
      <c r="A874" t="s">
        <v>1825</v>
      </c>
      <c r="B874">
        <v>873</v>
      </c>
      <c r="C874" t="s">
        <v>2641</v>
      </c>
      <c r="D874" t="s">
        <v>1823</v>
      </c>
      <c r="E874" t="s">
        <v>1824</v>
      </c>
      <c r="F874" t="s">
        <v>1634</v>
      </c>
      <c r="H874" t="s">
        <v>1640</v>
      </c>
    </row>
    <row r="875" spans="1:8">
      <c r="A875" t="s">
        <v>2451</v>
      </c>
      <c r="B875">
        <v>874</v>
      </c>
      <c r="C875" t="s">
        <v>1057</v>
      </c>
      <c r="D875" t="s">
        <v>187</v>
      </c>
      <c r="E875" t="s">
        <v>1827</v>
      </c>
      <c r="F875" t="s">
        <v>1634</v>
      </c>
      <c r="H875" t="s">
        <v>1643</v>
      </c>
    </row>
    <row r="876" spans="1:8">
      <c r="A876" t="s">
        <v>1828</v>
      </c>
      <c r="B876">
        <v>875</v>
      </c>
      <c r="C876" t="s">
        <v>2641</v>
      </c>
      <c r="D876" t="s">
        <v>1826</v>
      </c>
      <c r="E876" t="s">
        <v>1827</v>
      </c>
      <c r="F876" t="s">
        <v>1634</v>
      </c>
      <c r="H876" t="s">
        <v>1640</v>
      </c>
    </row>
    <row r="877" spans="1:8">
      <c r="A877" t="s">
        <v>2452</v>
      </c>
      <c r="B877">
        <v>876</v>
      </c>
      <c r="C877" t="s">
        <v>1057</v>
      </c>
      <c r="D877" t="s">
        <v>187</v>
      </c>
      <c r="E877" t="s">
        <v>1830</v>
      </c>
      <c r="F877" t="s">
        <v>1634</v>
      </c>
      <c r="H877" t="s">
        <v>1643</v>
      </c>
    </row>
    <row r="878" spans="1:8">
      <c r="A878" t="s">
        <v>1831</v>
      </c>
      <c r="B878">
        <v>877</v>
      </c>
      <c r="C878" t="s">
        <v>2641</v>
      </c>
      <c r="D878" t="s">
        <v>1829</v>
      </c>
      <c r="E878" t="s">
        <v>1830</v>
      </c>
      <c r="F878" t="s">
        <v>1634</v>
      </c>
      <c r="H878" t="s">
        <v>1640</v>
      </c>
    </row>
    <row r="879" spans="1:8">
      <c r="A879" t="s">
        <v>2453</v>
      </c>
      <c r="B879">
        <v>878</v>
      </c>
      <c r="C879" t="s">
        <v>1057</v>
      </c>
      <c r="D879" t="s">
        <v>187</v>
      </c>
      <c r="E879" t="s">
        <v>1833</v>
      </c>
      <c r="F879" t="s">
        <v>1634</v>
      </c>
      <c r="H879" t="s">
        <v>1643</v>
      </c>
    </row>
    <row r="880" spans="1:8">
      <c r="A880" t="s">
        <v>1834</v>
      </c>
      <c r="B880">
        <v>879</v>
      </c>
      <c r="C880" t="s">
        <v>2641</v>
      </c>
      <c r="D880" t="s">
        <v>1832</v>
      </c>
      <c r="E880" t="s">
        <v>1833</v>
      </c>
      <c r="F880" t="s">
        <v>1634</v>
      </c>
      <c r="H880" t="s">
        <v>1640</v>
      </c>
    </row>
    <row r="881" spans="1:8">
      <c r="A881" t="s">
        <v>2454</v>
      </c>
      <c r="B881">
        <v>880</v>
      </c>
      <c r="C881" t="s">
        <v>1057</v>
      </c>
      <c r="D881" t="s">
        <v>187</v>
      </c>
      <c r="E881" t="s">
        <v>1836</v>
      </c>
      <c r="F881" t="s">
        <v>1634</v>
      </c>
      <c r="H881" t="s">
        <v>1643</v>
      </c>
    </row>
    <row r="882" spans="1:8">
      <c r="A882" t="s">
        <v>1837</v>
      </c>
      <c r="B882">
        <v>881</v>
      </c>
      <c r="C882" t="s">
        <v>2641</v>
      </c>
      <c r="D882" t="s">
        <v>1835</v>
      </c>
      <c r="E882" t="s">
        <v>1836</v>
      </c>
      <c r="F882" t="s">
        <v>1634</v>
      </c>
      <c r="H882" t="s">
        <v>1640</v>
      </c>
    </row>
    <row r="883" spans="1:8">
      <c r="A883" t="s">
        <v>2455</v>
      </c>
      <c r="B883">
        <v>882</v>
      </c>
      <c r="C883" t="s">
        <v>1057</v>
      </c>
      <c r="D883" t="s">
        <v>188</v>
      </c>
      <c r="E883" t="s">
        <v>1645</v>
      </c>
      <c r="F883" t="s">
        <v>1635</v>
      </c>
      <c r="H883" t="s">
        <v>1643</v>
      </c>
    </row>
    <row r="884" spans="1:8">
      <c r="A884" t="s">
        <v>1646</v>
      </c>
      <c r="B884">
        <v>883</v>
      </c>
      <c r="C884" t="s">
        <v>2641</v>
      </c>
      <c r="D884" t="s">
        <v>1644</v>
      </c>
      <c r="E884" t="s">
        <v>1645</v>
      </c>
      <c r="F884" t="s">
        <v>1635</v>
      </c>
      <c r="H884" t="s">
        <v>1640</v>
      </c>
    </row>
    <row r="885" spans="1:8">
      <c r="A885" t="s">
        <v>2456</v>
      </c>
      <c r="B885">
        <v>884</v>
      </c>
      <c r="C885" t="s">
        <v>1057</v>
      </c>
      <c r="D885" t="s">
        <v>188</v>
      </c>
      <c r="E885" t="s">
        <v>1839</v>
      </c>
      <c r="F885" t="s">
        <v>1635</v>
      </c>
      <c r="H885" t="s">
        <v>1643</v>
      </c>
    </row>
    <row r="886" spans="1:8">
      <c r="A886" t="s">
        <v>1840</v>
      </c>
      <c r="B886">
        <v>885</v>
      </c>
      <c r="C886" t="s">
        <v>2641</v>
      </c>
      <c r="D886" t="s">
        <v>1838</v>
      </c>
      <c r="E886" t="s">
        <v>1839</v>
      </c>
      <c r="F886" t="s">
        <v>1635</v>
      </c>
      <c r="H886" t="s">
        <v>1640</v>
      </c>
    </row>
    <row r="887" spans="1:8">
      <c r="A887" t="s">
        <v>2457</v>
      </c>
      <c r="B887">
        <v>886</v>
      </c>
      <c r="C887" t="s">
        <v>1057</v>
      </c>
      <c r="D887" t="s">
        <v>188</v>
      </c>
      <c r="E887" t="s">
        <v>1842</v>
      </c>
      <c r="F887" t="s">
        <v>1635</v>
      </c>
      <c r="H887" t="s">
        <v>1643</v>
      </c>
    </row>
    <row r="888" spans="1:8">
      <c r="A888" t="s">
        <v>1843</v>
      </c>
      <c r="B888">
        <v>887</v>
      </c>
      <c r="C888" t="s">
        <v>2641</v>
      </c>
      <c r="D888" t="s">
        <v>1841</v>
      </c>
      <c r="E888" t="s">
        <v>1842</v>
      </c>
      <c r="F888" t="s">
        <v>1635</v>
      </c>
      <c r="H888" t="s">
        <v>1640</v>
      </c>
    </row>
    <row r="889" spans="1:8">
      <c r="A889" t="s">
        <v>2458</v>
      </c>
      <c r="B889">
        <v>888</v>
      </c>
      <c r="C889" t="s">
        <v>1057</v>
      </c>
      <c r="D889" t="s">
        <v>188</v>
      </c>
      <c r="E889" t="s">
        <v>1845</v>
      </c>
      <c r="F889" t="s">
        <v>1635</v>
      </c>
      <c r="H889" t="s">
        <v>1643</v>
      </c>
    </row>
    <row r="890" spans="1:8">
      <c r="A890" t="s">
        <v>1846</v>
      </c>
      <c r="B890">
        <v>889</v>
      </c>
      <c r="C890" t="s">
        <v>2641</v>
      </c>
      <c r="D890" t="s">
        <v>1844</v>
      </c>
      <c r="E890" t="s">
        <v>1845</v>
      </c>
      <c r="F890" t="s">
        <v>1635</v>
      </c>
      <c r="H890" t="s">
        <v>1640</v>
      </c>
    </row>
    <row r="891" spans="1:8">
      <c r="A891" t="s">
        <v>2459</v>
      </c>
      <c r="B891">
        <v>890</v>
      </c>
      <c r="C891" t="s">
        <v>1057</v>
      </c>
      <c r="D891" t="s">
        <v>188</v>
      </c>
      <c r="E891" t="s">
        <v>1848</v>
      </c>
      <c r="F891" t="s">
        <v>1635</v>
      </c>
      <c r="H891" t="s">
        <v>1643</v>
      </c>
    </row>
    <row r="892" spans="1:8">
      <c r="A892" t="s">
        <v>1849</v>
      </c>
      <c r="B892">
        <v>891</v>
      </c>
      <c r="C892" t="s">
        <v>2641</v>
      </c>
      <c r="D892" t="s">
        <v>1847</v>
      </c>
      <c r="E892" t="s">
        <v>1848</v>
      </c>
      <c r="F892" t="s">
        <v>1635</v>
      </c>
      <c r="H892" t="s">
        <v>1640</v>
      </c>
    </row>
    <row r="893" spans="1:8">
      <c r="A893" t="s">
        <v>2460</v>
      </c>
      <c r="B893">
        <v>892</v>
      </c>
      <c r="C893" t="s">
        <v>1057</v>
      </c>
      <c r="D893" t="s">
        <v>188</v>
      </c>
      <c r="E893" t="s">
        <v>1851</v>
      </c>
      <c r="F893" t="s">
        <v>1635</v>
      </c>
      <c r="H893" t="s">
        <v>1643</v>
      </c>
    </row>
    <row r="894" spans="1:8">
      <c r="A894" t="s">
        <v>1852</v>
      </c>
      <c r="B894">
        <v>893</v>
      </c>
      <c r="C894" t="s">
        <v>2641</v>
      </c>
      <c r="D894" t="s">
        <v>1850</v>
      </c>
      <c r="E894" t="s">
        <v>1851</v>
      </c>
      <c r="F894" t="s">
        <v>1635</v>
      </c>
      <c r="H894" t="s">
        <v>1640</v>
      </c>
    </row>
    <row r="895" spans="1:8">
      <c r="A895" t="s">
        <v>2461</v>
      </c>
      <c r="B895">
        <v>894</v>
      </c>
      <c r="C895" t="s">
        <v>1057</v>
      </c>
      <c r="D895" t="s">
        <v>188</v>
      </c>
      <c r="E895" t="s">
        <v>1854</v>
      </c>
      <c r="F895" t="s">
        <v>1635</v>
      </c>
      <c r="H895" t="s">
        <v>1643</v>
      </c>
    </row>
    <row r="896" spans="1:8">
      <c r="A896" t="s">
        <v>1855</v>
      </c>
      <c r="B896">
        <v>895</v>
      </c>
      <c r="C896" t="s">
        <v>2641</v>
      </c>
      <c r="D896" t="s">
        <v>1853</v>
      </c>
      <c r="E896" t="s">
        <v>1854</v>
      </c>
      <c r="F896" t="s">
        <v>1635</v>
      </c>
      <c r="H896" t="s">
        <v>1640</v>
      </c>
    </row>
    <row r="897" spans="1:8">
      <c r="A897" t="s">
        <v>2462</v>
      </c>
      <c r="B897">
        <v>896</v>
      </c>
      <c r="C897" t="s">
        <v>1057</v>
      </c>
      <c r="D897" t="s">
        <v>188</v>
      </c>
      <c r="E897" t="s">
        <v>1857</v>
      </c>
      <c r="F897" t="s">
        <v>1635</v>
      </c>
      <c r="H897" t="s">
        <v>1643</v>
      </c>
    </row>
    <row r="898" spans="1:8">
      <c r="A898" t="s">
        <v>1858</v>
      </c>
      <c r="B898">
        <v>897</v>
      </c>
      <c r="C898" t="s">
        <v>2641</v>
      </c>
      <c r="D898" t="s">
        <v>1856</v>
      </c>
      <c r="E898" t="s">
        <v>1857</v>
      </c>
      <c r="F898" t="s">
        <v>1635</v>
      </c>
      <c r="H898" t="s">
        <v>1640</v>
      </c>
    </row>
    <row r="899" spans="1:8">
      <c r="A899" t="s">
        <v>2463</v>
      </c>
      <c r="B899">
        <v>898</v>
      </c>
      <c r="C899" t="s">
        <v>1057</v>
      </c>
      <c r="D899" t="s">
        <v>188</v>
      </c>
      <c r="E899" t="s">
        <v>1860</v>
      </c>
      <c r="F899" t="s">
        <v>1635</v>
      </c>
      <c r="H899" t="s">
        <v>1643</v>
      </c>
    </row>
    <row r="900" spans="1:8">
      <c r="A900" t="s">
        <v>1861</v>
      </c>
      <c r="B900">
        <v>899</v>
      </c>
      <c r="C900" t="s">
        <v>2641</v>
      </c>
      <c r="D900" t="s">
        <v>1859</v>
      </c>
      <c r="E900" t="s">
        <v>1860</v>
      </c>
      <c r="F900" t="s">
        <v>1635</v>
      </c>
      <c r="H900" t="s">
        <v>1640</v>
      </c>
    </row>
    <row r="901" spans="1:8">
      <c r="A901" t="s">
        <v>2464</v>
      </c>
      <c r="B901">
        <v>900</v>
      </c>
      <c r="C901" t="s">
        <v>1057</v>
      </c>
      <c r="D901" t="s">
        <v>188</v>
      </c>
      <c r="E901" t="s">
        <v>1863</v>
      </c>
      <c r="F901" t="s">
        <v>1635</v>
      </c>
      <c r="H901" t="s">
        <v>1643</v>
      </c>
    </row>
    <row r="902" spans="1:8">
      <c r="A902" t="s">
        <v>1864</v>
      </c>
      <c r="B902">
        <v>901</v>
      </c>
      <c r="C902" t="s">
        <v>2641</v>
      </c>
      <c r="D902" t="s">
        <v>1862</v>
      </c>
      <c r="E902" t="s">
        <v>1863</v>
      </c>
      <c r="F902" t="s">
        <v>1635</v>
      </c>
      <c r="H902" t="s">
        <v>1640</v>
      </c>
    </row>
    <row r="903" spans="1:8">
      <c r="A903" t="s">
        <v>2465</v>
      </c>
      <c r="B903">
        <v>902</v>
      </c>
      <c r="C903" t="s">
        <v>1057</v>
      </c>
      <c r="D903" t="s">
        <v>188</v>
      </c>
      <c r="E903" t="s">
        <v>1866</v>
      </c>
      <c r="F903" t="s">
        <v>1635</v>
      </c>
      <c r="H903" t="s">
        <v>1643</v>
      </c>
    </row>
    <row r="904" spans="1:8">
      <c r="A904" t="s">
        <v>1867</v>
      </c>
      <c r="B904">
        <v>903</v>
      </c>
      <c r="C904" t="s">
        <v>2641</v>
      </c>
      <c r="D904" t="s">
        <v>1865</v>
      </c>
      <c r="E904" t="s">
        <v>1866</v>
      </c>
      <c r="F904" t="s">
        <v>1635</v>
      </c>
      <c r="H904" t="s">
        <v>1640</v>
      </c>
    </row>
    <row r="905" spans="1:8">
      <c r="A905" t="s">
        <v>2466</v>
      </c>
      <c r="B905">
        <v>904</v>
      </c>
      <c r="C905" t="s">
        <v>1057</v>
      </c>
      <c r="D905" t="s">
        <v>188</v>
      </c>
      <c r="E905" t="s">
        <v>1869</v>
      </c>
      <c r="F905" t="s">
        <v>1635</v>
      </c>
      <c r="H905" t="s">
        <v>1643</v>
      </c>
    </row>
    <row r="906" spans="1:8">
      <c r="A906" t="s">
        <v>1870</v>
      </c>
      <c r="B906">
        <v>905</v>
      </c>
      <c r="C906" t="s">
        <v>2641</v>
      </c>
      <c r="D906" t="s">
        <v>1868</v>
      </c>
      <c r="E906" t="s">
        <v>1869</v>
      </c>
      <c r="F906" t="s">
        <v>1635</v>
      </c>
      <c r="H906" t="s">
        <v>1640</v>
      </c>
    </row>
    <row r="907" spans="1:8">
      <c r="A907" t="s">
        <v>2467</v>
      </c>
      <c r="B907">
        <v>906</v>
      </c>
      <c r="C907" t="s">
        <v>1057</v>
      </c>
      <c r="D907" t="s">
        <v>188</v>
      </c>
      <c r="E907" t="s">
        <v>1872</v>
      </c>
      <c r="F907" t="s">
        <v>1635</v>
      </c>
      <c r="H907" t="s">
        <v>1643</v>
      </c>
    </row>
    <row r="908" spans="1:8">
      <c r="A908" t="s">
        <v>1873</v>
      </c>
      <c r="B908">
        <v>907</v>
      </c>
      <c r="C908" t="s">
        <v>2641</v>
      </c>
      <c r="D908" t="s">
        <v>1871</v>
      </c>
      <c r="E908" t="s">
        <v>1872</v>
      </c>
      <c r="F908" t="s">
        <v>1635</v>
      </c>
      <c r="H908" t="s">
        <v>1640</v>
      </c>
    </row>
    <row r="909" spans="1:8">
      <c r="A909" t="s">
        <v>2468</v>
      </c>
      <c r="B909">
        <v>908</v>
      </c>
      <c r="C909" t="s">
        <v>1057</v>
      </c>
      <c r="D909" t="s">
        <v>188</v>
      </c>
      <c r="E909" t="s">
        <v>1875</v>
      </c>
      <c r="F909" t="s">
        <v>1635</v>
      </c>
      <c r="H909" t="s">
        <v>1643</v>
      </c>
    </row>
    <row r="910" spans="1:8">
      <c r="A910" t="s">
        <v>1876</v>
      </c>
      <c r="B910">
        <v>909</v>
      </c>
      <c r="C910" t="s">
        <v>2641</v>
      </c>
      <c r="D910" t="s">
        <v>1874</v>
      </c>
      <c r="E910" t="s">
        <v>1875</v>
      </c>
      <c r="F910" t="s">
        <v>1635</v>
      </c>
      <c r="H910" t="s">
        <v>1640</v>
      </c>
    </row>
    <row r="911" spans="1:8">
      <c r="A911" t="s">
        <v>2469</v>
      </c>
      <c r="B911">
        <v>910</v>
      </c>
      <c r="C911" t="s">
        <v>1057</v>
      </c>
      <c r="D911" t="s">
        <v>188</v>
      </c>
      <c r="E911" t="s">
        <v>1878</v>
      </c>
      <c r="F911" t="s">
        <v>1635</v>
      </c>
      <c r="H911" t="s">
        <v>1643</v>
      </c>
    </row>
    <row r="912" spans="1:8">
      <c r="A912" t="s">
        <v>1879</v>
      </c>
      <c r="B912">
        <v>911</v>
      </c>
      <c r="C912" t="s">
        <v>2641</v>
      </c>
      <c r="D912" t="s">
        <v>1877</v>
      </c>
      <c r="E912" t="s">
        <v>1878</v>
      </c>
      <c r="F912" t="s">
        <v>1635</v>
      </c>
      <c r="H912" t="s">
        <v>1640</v>
      </c>
    </row>
    <row r="913" spans="1:8">
      <c r="A913" t="s">
        <v>2470</v>
      </c>
      <c r="B913">
        <v>912</v>
      </c>
      <c r="C913" t="s">
        <v>1057</v>
      </c>
      <c r="D913" t="s">
        <v>188</v>
      </c>
      <c r="E913" t="s">
        <v>1881</v>
      </c>
      <c r="F913" t="s">
        <v>1635</v>
      </c>
      <c r="H913" t="s">
        <v>1643</v>
      </c>
    </row>
    <row r="914" spans="1:8">
      <c r="A914" t="s">
        <v>1882</v>
      </c>
      <c r="B914">
        <v>913</v>
      </c>
      <c r="C914" t="s">
        <v>2641</v>
      </c>
      <c r="D914" t="s">
        <v>1880</v>
      </c>
      <c r="E914" t="s">
        <v>1881</v>
      </c>
      <c r="F914" t="s">
        <v>1635</v>
      </c>
      <c r="H914" t="s">
        <v>1640</v>
      </c>
    </row>
    <row r="915" spans="1:8">
      <c r="A915" t="s">
        <v>2471</v>
      </c>
      <c r="B915">
        <v>914</v>
      </c>
      <c r="C915" t="s">
        <v>1057</v>
      </c>
      <c r="D915" t="s">
        <v>188</v>
      </c>
      <c r="E915" t="s">
        <v>1884</v>
      </c>
      <c r="F915" t="s">
        <v>1635</v>
      </c>
      <c r="H915" t="s">
        <v>1643</v>
      </c>
    </row>
    <row r="916" spans="1:8">
      <c r="A916" t="s">
        <v>1885</v>
      </c>
      <c r="B916">
        <v>915</v>
      </c>
      <c r="C916" t="s">
        <v>2641</v>
      </c>
      <c r="D916" t="s">
        <v>1883</v>
      </c>
      <c r="E916" t="s">
        <v>1884</v>
      </c>
      <c r="F916" t="s">
        <v>1635</v>
      </c>
      <c r="H916" t="s">
        <v>1640</v>
      </c>
    </row>
    <row r="917" spans="1:8">
      <c r="A917" t="s">
        <v>2472</v>
      </c>
      <c r="B917">
        <v>916</v>
      </c>
      <c r="C917" t="s">
        <v>1057</v>
      </c>
      <c r="D917" t="s">
        <v>188</v>
      </c>
      <c r="E917" t="s">
        <v>1887</v>
      </c>
      <c r="F917" t="s">
        <v>1635</v>
      </c>
      <c r="H917" t="s">
        <v>1643</v>
      </c>
    </row>
    <row r="918" spans="1:8">
      <c r="A918" t="s">
        <v>1888</v>
      </c>
      <c r="B918">
        <v>917</v>
      </c>
      <c r="C918" t="s">
        <v>2641</v>
      </c>
      <c r="D918" t="s">
        <v>1886</v>
      </c>
      <c r="E918" t="s">
        <v>1887</v>
      </c>
      <c r="F918" t="s">
        <v>1635</v>
      </c>
      <c r="H918" t="s">
        <v>1640</v>
      </c>
    </row>
    <row r="919" spans="1:8">
      <c r="A919" t="s">
        <v>2473</v>
      </c>
      <c r="B919">
        <v>918</v>
      </c>
      <c r="C919" t="s">
        <v>1057</v>
      </c>
      <c r="D919" t="s">
        <v>188</v>
      </c>
      <c r="E919" t="s">
        <v>1890</v>
      </c>
      <c r="F919" t="s">
        <v>1635</v>
      </c>
      <c r="H919" t="s">
        <v>1643</v>
      </c>
    </row>
    <row r="920" spans="1:8">
      <c r="A920" t="s">
        <v>1891</v>
      </c>
      <c r="B920">
        <v>919</v>
      </c>
      <c r="C920" t="s">
        <v>2641</v>
      </c>
      <c r="D920" t="s">
        <v>1889</v>
      </c>
      <c r="E920" t="s">
        <v>1890</v>
      </c>
      <c r="F920" t="s">
        <v>1635</v>
      </c>
      <c r="H920" t="s">
        <v>1640</v>
      </c>
    </row>
    <row r="921" spans="1:8">
      <c r="A921" t="s">
        <v>2474</v>
      </c>
      <c r="B921">
        <v>920</v>
      </c>
      <c r="C921" t="s">
        <v>1057</v>
      </c>
      <c r="D921" t="s">
        <v>188</v>
      </c>
      <c r="E921" t="s">
        <v>1893</v>
      </c>
      <c r="F921" t="s">
        <v>1635</v>
      </c>
      <c r="H921" t="s">
        <v>1643</v>
      </c>
    </row>
    <row r="922" spans="1:8">
      <c r="A922" t="s">
        <v>1894</v>
      </c>
      <c r="B922">
        <v>921</v>
      </c>
      <c r="C922" t="s">
        <v>2641</v>
      </c>
      <c r="D922" t="s">
        <v>1892</v>
      </c>
      <c r="E922" t="s">
        <v>1893</v>
      </c>
      <c r="F922" t="s">
        <v>1635</v>
      </c>
      <c r="H922" t="s">
        <v>1640</v>
      </c>
    </row>
    <row r="923" spans="1:8">
      <c r="A923" t="s">
        <v>2475</v>
      </c>
      <c r="B923">
        <v>922</v>
      </c>
      <c r="C923" t="s">
        <v>1057</v>
      </c>
      <c r="D923" t="s">
        <v>188</v>
      </c>
      <c r="E923" t="s">
        <v>1896</v>
      </c>
      <c r="F923" t="s">
        <v>1635</v>
      </c>
      <c r="H923" t="s">
        <v>1643</v>
      </c>
    </row>
    <row r="924" spans="1:8">
      <c r="A924" t="s">
        <v>1897</v>
      </c>
      <c r="B924">
        <v>923</v>
      </c>
      <c r="C924" t="s">
        <v>2641</v>
      </c>
      <c r="D924" t="s">
        <v>1895</v>
      </c>
      <c r="E924" t="s">
        <v>1896</v>
      </c>
      <c r="F924" t="s">
        <v>1635</v>
      </c>
      <c r="H924" t="s">
        <v>1640</v>
      </c>
    </row>
    <row r="925" spans="1:8">
      <c r="A925" t="s">
        <v>2476</v>
      </c>
      <c r="B925">
        <v>924</v>
      </c>
      <c r="C925" t="s">
        <v>1057</v>
      </c>
      <c r="D925" t="s">
        <v>188</v>
      </c>
      <c r="E925" t="s">
        <v>1899</v>
      </c>
      <c r="F925" t="s">
        <v>1635</v>
      </c>
      <c r="H925" t="s">
        <v>1643</v>
      </c>
    </row>
    <row r="926" spans="1:8">
      <c r="A926" t="s">
        <v>1900</v>
      </c>
      <c r="B926">
        <v>925</v>
      </c>
      <c r="C926" t="s">
        <v>2641</v>
      </c>
      <c r="D926" t="s">
        <v>1898</v>
      </c>
      <c r="E926" t="s">
        <v>1899</v>
      </c>
      <c r="F926" t="s">
        <v>1635</v>
      </c>
      <c r="H926" t="s">
        <v>1640</v>
      </c>
    </row>
    <row r="927" spans="1:8">
      <c r="A927" t="s">
        <v>2477</v>
      </c>
      <c r="B927">
        <v>926</v>
      </c>
      <c r="C927" t="s">
        <v>1057</v>
      </c>
      <c r="D927" t="s">
        <v>188</v>
      </c>
      <c r="E927" t="s">
        <v>1902</v>
      </c>
      <c r="F927" t="s">
        <v>1635</v>
      </c>
      <c r="H927" t="s">
        <v>1643</v>
      </c>
    </row>
    <row r="928" spans="1:8">
      <c r="A928" t="s">
        <v>1903</v>
      </c>
      <c r="B928">
        <v>927</v>
      </c>
      <c r="C928" t="s">
        <v>2641</v>
      </c>
      <c r="D928" t="s">
        <v>1901</v>
      </c>
      <c r="E928" t="s">
        <v>1902</v>
      </c>
      <c r="F928" t="s">
        <v>1635</v>
      </c>
      <c r="H928" t="s">
        <v>1640</v>
      </c>
    </row>
    <row r="929" spans="1:8">
      <c r="A929" t="s">
        <v>2478</v>
      </c>
      <c r="B929">
        <v>928</v>
      </c>
      <c r="C929" t="s">
        <v>1057</v>
      </c>
      <c r="D929" t="s">
        <v>188</v>
      </c>
      <c r="E929" t="s">
        <v>1905</v>
      </c>
      <c r="F929" t="s">
        <v>1635</v>
      </c>
      <c r="H929" t="s">
        <v>1643</v>
      </c>
    </row>
    <row r="930" spans="1:8">
      <c r="A930" t="s">
        <v>1906</v>
      </c>
      <c r="B930">
        <v>929</v>
      </c>
      <c r="C930" t="s">
        <v>2641</v>
      </c>
      <c r="D930" t="s">
        <v>1904</v>
      </c>
      <c r="E930" t="s">
        <v>1905</v>
      </c>
      <c r="F930" t="s">
        <v>1635</v>
      </c>
      <c r="H930" t="s">
        <v>1640</v>
      </c>
    </row>
    <row r="931" spans="1:8">
      <c r="A931" t="s">
        <v>2479</v>
      </c>
      <c r="B931">
        <v>930</v>
      </c>
      <c r="C931" t="s">
        <v>1057</v>
      </c>
      <c r="D931" t="s">
        <v>188</v>
      </c>
      <c r="E931" t="s">
        <v>1908</v>
      </c>
      <c r="F931" t="s">
        <v>1635</v>
      </c>
      <c r="H931" t="s">
        <v>1643</v>
      </c>
    </row>
    <row r="932" spans="1:8">
      <c r="A932" t="s">
        <v>1909</v>
      </c>
      <c r="B932">
        <v>931</v>
      </c>
      <c r="C932" t="s">
        <v>2641</v>
      </c>
      <c r="D932" t="s">
        <v>1907</v>
      </c>
      <c r="E932" t="s">
        <v>1908</v>
      </c>
      <c r="F932" t="s">
        <v>1635</v>
      </c>
      <c r="H932" t="s">
        <v>1640</v>
      </c>
    </row>
    <row r="933" spans="1:8">
      <c r="A933" t="s">
        <v>2480</v>
      </c>
      <c r="B933">
        <v>932</v>
      </c>
      <c r="C933" t="s">
        <v>1057</v>
      </c>
      <c r="D933" t="s">
        <v>188</v>
      </c>
      <c r="E933" t="s">
        <v>1911</v>
      </c>
      <c r="F933" t="s">
        <v>1635</v>
      </c>
      <c r="H933" t="s">
        <v>1643</v>
      </c>
    </row>
    <row r="934" spans="1:8">
      <c r="A934" t="s">
        <v>1912</v>
      </c>
      <c r="B934">
        <v>933</v>
      </c>
      <c r="C934" t="s">
        <v>2641</v>
      </c>
      <c r="D934" t="s">
        <v>1910</v>
      </c>
      <c r="E934" t="s">
        <v>1911</v>
      </c>
      <c r="F934" t="s">
        <v>1635</v>
      </c>
      <c r="H934" t="s">
        <v>1640</v>
      </c>
    </row>
    <row r="935" spans="1:8">
      <c r="A935" t="s">
        <v>2481</v>
      </c>
      <c r="B935">
        <v>934</v>
      </c>
      <c r="C935" t="s">
        <v>1057</v>
      </c>
      <c r="D935" t="s">
        <v>188</v>
      </c>
      <c r="E935" t="s">
        <v>1914</v>
      </c>
      <c r="F935" t="s">
        <v>1635</v>
      </c>
      <c r="H935" t="s">
        <v>1643</v>
      </c>
    </row>
    <row r="936" spans="1:8">
      <c r="A936" t="s">
        <v>1915</v>
      </c>
      <c r="B936">
        <v>935</v>
      </c>
      <c r="C936" t="s">
        <v>2641</v>
      </c>
      <c r="D936" t="s">
        <v>1913</v>
      </c>
      <c r="E936" t="s">
        <v>1914</v>
      </c>
      <c r="F936" t="s">
        <v>1635</v>
      </c>
      <c r="H936" t="s">
        <v>1640</v>
      </c>
    </row>
    <row r="937" spans="1:8">
      <c r="A937" t="s">
        <v>2482</v>
      </c>
      <c r="B937">
        <v>936</v>
      </c>
      <c r="C937" t="s">
        <v>1057</v>
      </c>
      <c r="D937" t="s">
        <v>188</v>
      </c>
      <c r="E937" t="s">
        <v>1917</v>
      </c>
      <c r="F937" t="s">
        <v>1635</v>
      </c>
      <c r="H937" t="s">
        <v>1643</v>
      </c>
    </row>
    <row r="938" spans="1:8">
      <c r="A938" t="s">
        <v>1918</v>
      </c>
      <c r="B938">
        <v>937</v>
      </c>
      <c r="C938" t="s">
        <v>2641</v>
      </c>
      <c r="D938" t="s">
        <v>1916</v>
      </c>
      <c r="E938" t="s">
        <v>1917</v>
      </c>
      <c r="F938" t="s">
        <v>1635</v>
      </c>
      <c r="H938" t="s">
        <v>1640</v>
      </c>
    </row>
    <row r="939" spans="1:8">
      <c r="A939" t="s">
        <v>2483</v>
      </c>
      <c r="B939">
        <v>938</v>
      </c>
      <c r="C939" t="s">
        <v>1057</v>
      </c>
      <c r="D939" t="s">
        <v>188</v>
      </c>
      <c r="E939" t="s">
        <v>1920</v>
      </c>
      <c r="F939" t="s">
        <v>1635</v>
      </c>
      <c r="H939" t="s">
        <v>1643</v>
      </c>
    </row>
    <row r="940" spans="1:8">
      <c r="A940" t="s">
        <v>1921</v>
      </c>
      <c r="B940">
        <v>939</v>
      </c>
      <c r="C940" t="s">
        <v>2641</v>
      </c>
      <c r="D940" t="s">
        <v>1919</v>
      </c>
      <c r="E940" t="s">
        <v>1920</v>
      </c>
      <c r="F940" t="s">
        <v>1635</v>
      </c>
      <c r="H940" t="s">
        <v>1640</v>
      </c>
    </row>
    <row r="941" spans="1:8">
      <c r="A941" t="s">
        <v>2484</v>
      </c>
      <c r="B941">
        <v>940</v>
      </c>
      <c r="C941" t="s">
        <v>1057</v>
      </c>
      <c r="D941" t="s">
        <v>188</v>
      </c>
      <c r="E941" t="s">
        <v>1923</v>
      </c>
      <c r="F941" t="s">
        <v>1635</v>
      </c>
      <c r="H941" t="s">
        <v>1643</v>
      </c>
    </row>
    <row r="942" spans="1:8">
      <c r="A942" t="s">
        <v>1924</v>
      </c>
      <c r="B942">
        <v>941</v>
      </c>
      <c r="C942" t="s">
        <v>2641</v>
      </c>
      <c r="D942" t="s">
        <v>1922</v>
      </c>
      <c r="E942" t="s">
        <v>1923</v>
      </c>
      <c r="F942" t="s">
        <v>1635</v>
      </c>
      <c r="H942" t="s">
        <v>1640</v>
      </c>
    </row>
    <row r="943" spans="1:8">
      <c r="A943" t="s">
        <v>2485</v>
      </c>
      <c r="B943">
        <v>942</v>
      </c>
      <c r="C943" t="s">
        <v>1057</v>
      </c>
      <c r="D943" t="s">
        <v>188</v>
      </c>
      <c r="E943" t="s">
        <v>1926</v>
      </c>
      <c r="F943" t="s">
        <v>1635</v>
      </c>
      <c r="H943" t="s">
        <v>1643</v>
      </c>
    </row>
    <row r="944" spans="1:8">
      <c r="A944" t="s">
        <v>1927</v>
      </c>
      <c r="B944">
        <v>943</v>
      </c>
      <c r="C944" t="s">
        <v>2641</v>
      </c>
      <c r="D944" t="s">
        <v>1925</v>
      </c>
      <c r="E944" t="s">
        <v>1926</v>
      </c>
      <c r="F944" t="s">
        <v>1635</v>
      </c>
      <c r="H944" t="s">
        <v>1640</v>
      </c>
    </row>
    <row r="945" spans="1:8">
      <c r="A945" t="s">
        <v>1929</v>
      </c>
      <c r="B945">
        <v>944</v>
      </c>
      <c r="C945" t="s">
        <v>2641</v>
      </c>
      <c r="D945" t="s">
        <v>1928</v>
      </c>
      <c r="E945" t="s">
        <v>188</v>
      </c>
      <c r="F945" t="s">
        <v>1635</v>
      </c>
      <c r="H945" t="s">
        <v>1640</v>
      </c>
    </row>
    <row r="946" spans="1:8">
      <c r="A946" t="s">
        <v>2486</v>
      </c>
      <c r="B946">
        <v>945</v>
      </c>
      <c r="C946" t="s">
        <v>1057</v>
      </c>
      <c r="D946" t="s">
        <v>188</v>
      </c>
      <c r="E946" t="s">
        <v>1931</v>
      </c>
      <c r="F946" t="s">
        <v>1635</v>
      </c>
      <c r="H946" t="s">
        <v>1643</v>
      </c>
    </row>
    <row r="947" spans="1:8">
      <c r="A947" t="s">
        <v>1932</v>
      </c>
      <c r="B947">
        <v>946</v>
      </c>
      <c r="C947" t="s">
        <v>2641</v>
      </c>
      <c r="D947" t="s">
        <v>1930</v>
      </c>
      <c r="E947" t="s">
        <v>1931</v>
      </c>
      <c r="F947" t="s">
        <v>1635</v>
      </c>
      <c r="H947" t="s">
        <v>1640</v>
      </c>
    </row>
    <row r="948" spans="1:8">
      <c r="A948" t="s">
        <v>2487</v>
      </c>
      <c r="B948">
        <v>947</v>
      </c>
      <c r="C948" t="s">
        <v>1057</v>
      </c>
      <c r="D948" t="s">
        <v>188</v>
      </c>
      <c r="E948" t="s">
        <v>1934</v>
      </c>
      <c r="F948" t="s">
        <v>1635</v>
      </c>
      <c r="H948" t="s">
        <v>1643</v>
      </c>
    </row>
    <row r="949" spans="1:8">
      <c r="A949" t="s">
        <v>1935</v>
      </c>
      <c r="B949">
        <v>948</v>
      </c>
      <c r="C949" t="s">
        <v>2641</v>
      </c>
      <c r="D949" t="s">
        <v>1933</v>
      </c>
      <c r="E949" t="s">
        <v>1934</v>
      </c>
      <c r="F949" t="s">
        <v>1635</v>
      </c>
      <c r="H949" t="s">
        <v>1640</v>
      </c>
    </row>
    <row r="950" spans="1:8">
      <c r="A950" t="s">
        <v>2488</v>
      </c>
      <c r="B950">
        <v>949</v>
      </c>
      <c r="C950" t="s">
        <v>1057</v>
      </c>
      <c r="D950" t="s">
        <v>188</v>
      </c>
      <c r="E950" t="s">
        <v>1937</v>
      </c>
      <c r="F950" t="s">
        <v>1635</v>
      </c>
      <c r="H950" t="s">
        <v>1643</v>
      </c>
    </row>
    <row r="951" spans="1:8">
      <c r="A951" t="s">
        <v>1938</v>
      </c>
      <c r="B951">
        <v>950</v>
      </c>
      <c r="C951" t="s">
        <v>2641</v>
      </c>
      <c r="D951" t="s">
        <v>1936</v>
      </c>
      <c r="E951" t="s">
        <v>1937</v>
      </c>
      <c r="F951" t="s">
        <v>1635</v>
      </c>
      <c r="H951" t="s">
        <v>1640</v>
      </c>
    </row>
    <row r="952" spans="1:8">
      <c r="A952" t="s">
        <v>2489</v>
      </c>
      <c r="B952">
        <v>951</v>
      </c>
      <c r="C952" t="s">
        <v>1057</v>
      </c>
      <c r="D952" t="s">
        <v>188</v>
      </c>
      <c r="E952" t="s">
        <v>1940</v>
      </c>
      <c r="F952" t="s">
        <v>1635</v>
      </c>
      <c r="H952" t="s">
        <v>1643</v>
      </c>
    </row>
    <row r="953" spans="1:8">
      <c r="A953" t="s">
        <v>1941</v>
      </c>
      <c r="B953">
        <v>952</v>
      </c>
      <c r="C953" t="s">
        <v>2641</v>
      </c>
      <c r="D953" t="s">
        <v>1939</v>
      </c>
      <c r="E953" t="s">
        <v>1940</v>
      </c>
      <c r="F953" t="s">
        <v>1635</v>
      </c>
      <c r="H953" t="s">
        <v>1640</v>
      </c>
    </row>
    <row r="954" spans="1:8">
      <c r="A954" t="s">
        <v>2490</v>
      </c>
      <c r="B954">
        <v>953</v>
      </c>
      <c r="C954" t="s">
        <v>1057</v>
      </c>
      <c r="D954" t="s">
        <v>188</v>
      </c>
      <c r="E954" t="s">
        <v>1943</v>
      </c>
      <c r="F954" t="s">
        <v>1635</v>
      </c>
      <c r="H954" t="s">
        <v>1643</v>
      </c>
    </row>
    <row r="955" spans="1:8">
      <c r="A955" t="s">
        <v>1944</v>
      </c>
      <c r="B955">
        <v>954</v>
      </c>
      <c r="C955" t="s">
        <v>2641</v>
      </c>
      <c r="D955" t="s">
        <v>1942</v>
      </c>
      <c r="E955" t="s">
        <v>1943</v>
      </c>
      <c r="F955" t="s">
        <v>1635</v>
      </c>
      <c r="H955" t="s">
        <v>1640</v>
      </c>
    </row>
    <row r="956" spans="1:8">
      <c r="A956" t="s">
        <v>2491</v>
      </c>
      <c r="B956">
        <v>955</v>
      </c>
      <c r="C956" t="s">
        <v>1057</v>
      </c>
      <c r="D956" t="s">
        <v>188</v>
      </c>
      <c r="E956" t="s">
        <v>1946</v>
      </c>
      <c r="F956" t="s">
        <v>1635</v>
      </c>
      <c r="H956" t="s">
        <v>1643</v>
      </c>
    </row>
    <row r="957" spans="1:8">
      <c r="A957" t="s">
        <v>1947</v>
      </c>
      <c r="B957">
        <v>956</v>
      </c>
      <c r="C957" t="s">
        <v>2641</v>
      </c>
      <c r="D957" t="s">
        <v>1945</v>
      </c>
      <c r="E957" t="s">
        <v>1946</v>
      </c>
      <c r="F957" t="s">
        <v>1635</v>
      </c>
      <c r="H957" t="s">
        <v>1640</v>
      </c>
    </row>
    <row r="958" spans="1:8">
      <c r="A958" t="s">
        <v>2492</v>
      </c>
      <c r="B958">
        <v>957</v>
      </c>
      <c r="C958" t="s">
        <v>1057</v>
      </c>
      <c r="D958" t="s">
        <v>188</v>
      </c>
      <c r="E958" t="s">
        <v>1949</v>
      </c>
      <c r="F958" t="s">
        <v>1635</v>
      </c>
      <c r="H958" t="s">
        <v>1643</v>
      </c>
    </row>
    <row r="959" spans="1:8">
      <c r="A959" t="s">
        <v>1950</v>
      </c>
      <c r="B959">
        <v>958</v>
      </c>
      <c r="C959" t="s">
        <v>2641</v>
      </c>
      <c r="D959" t="s">
        <v>1948</v>
      </c>
      <c r="E959" t="s">
        <v>1949</v>
      </c>
      <c r="F959" t="s">
        <v>1635</v>
      </c>
      <c r="H959" t="s">
        <v>1640</v>
      </c>
    </row>
    <row r="960" spans="1:8">
      <c r="A960" t="s">
        <v>2493</v>
      </c>
      <c r="B960">
        <v>959</v>
      </c>
      <c r="C960" t="s">
        <v>1057</v>
      </c>
      <c r="D960" t="s">
        <v>188</v>
      </c>
      <c r="E960" t="s">
        <v>1952</v>
      </c>
      <c r="F960" t="s">
        <v>1635</v>
      </c>
      <c r="H960" t="s">
        <v>1643</v>
      </c>
    </row>
    <row r="961" spans="1:8">
      <c r="A961" t="s">
        <v>1953</v>
      </c>
      <c r="B961">
        <v>960</v>
      </c>
      <c r="C961" t="s">
        <v>2641</v>
      </c>
      <c r="D961" t="s">
        <v>1951</v>
      </c>
      <c r="E961" t="s">
        <v>1952</v>
      </c>
      <c r="F961" t="s">
        <v>1635</v>
      </c>
      <c r="H961" t="s">
        <v>1640</v>
      </c>
    </row>
    <row r="962" spans="1:8">
      <c r="A962" t="s">
        <v>2494</v>
      </c>
      <c r="B962">
        <v>961</v>
      </c>
      <c r="C962" t="s">
        <v>1057</v>
      </c>
      <c r="D962" t="s">
        <v>188</v>
      </c>
      <c r="E962" t="s">
        <v>1955</v>
      </c>
      <c r="F962" t="s">
        <v>1635</v>
      </c>
      <c r="H962" t="s">
        <v>1643</v>
      </c>
    </row>
    <row r="963" spans="1:8">
      <c r="A963" t="s">
        <v>1956</v>
      </c>
      <c r="B963">
        <v>962</v>
      </c>
      <c r="C963" t="s">
        <v>2641</v>
      </c>
      <c r="D963" t="s">
        <v>1954</v>
      </c>
      <c r="E963" t="s">
        <v>1955</v>
      </c>
      <c r="F963" t="s">
        <v>1635</v>
      </c>
      <c r="H963" t="s">
        <v>1640</v>
      </c>
    </row>
    <row r="964" spans="1:8">
      <c r="A964" t="s">
        <v>2495</v>
      </c>
      <c r="B964">
        <v>963</v>
      </c>
      <c r="C964" t="s">
        <v>1057</v>
      </c>
      <c r="D964" t="s">
        <v>188</v>
      </c>
      <c r="E964" t="s">
        <v>1958</v>
      </c>
      <c r="F964" t="s">
        <v>1635</v>
      </c>
      <c r="H964" t="s">
        <v>1643</v>
      </c>
    </row>
    <row r="965" spans="1:8">
      <c r="A965" t="s">
        <v>1959</v>
      </c>
      <c r="B965">
        <v>964</v>
      </c>
      <c r="C965" t="s">
        <v>2641</v>
      </c>
      <c r="D965" t="s">
        <v>1957</v>
      </c>
      <c r="E965" t="s">
        <v>1958</v>
      </c>
      <c r="F965" t="s">
        <v>1635</v>
      </c>
      <c r="H965" t="s">
        <v>1640</v>
      </c>
    </row>
    <row r="966" spans="1:8">
      <c r="A966" t="s">
        <v>2496</v>
      </c>
      <c r="B966">
        <v>965</v>
      </c>
      <c r="C966" t="s">
        <v>1057</v>
      </c>
      <c r="D966" t="s">
        <v>188</v>
      </c>
      <c r="E966" t="s">
        <v>1961</v>
      </c>
      <c r="F966" t="s">
        <v>1635</v>
      </c>
      <c r="H966" t="s">
        <v>1643</v>
      </c>
    </row>
    <row r="967" spans="1:8">
      <c r="A967" t="s">
        <v>1962</v>
      </c>
      <c r="B967">
        <v>966</v>
      </c>
      <c r="C967" t="s">
        <v>2641</v>
      </c>
      <c r="D967" t="s">
        <v>1960</v>
      </c>
      <c r="E967" t="s">
        <v>1961</v>
      </c>
      <c r="F967" t="s">
        <v>1635</v>
      </c>
      <c r="H967" t="s">
        <v>1640</v>
      </c>
    </row>
    <row r="968" spans="1:8">
      <c r="A968" t="s">
        <v>2497</v>
      </c>
      <c r="B968">
        <v>967</v>
      </c>
      <c r="C968" t="s">
        <v>1057</v>
      </c>
      <c r="D968" t="s">
        <v>188</v>
      </c>
      <c r="E968" t="s">
        <v>1964</v>
      </c>
      <c r="F968" t="s">
        <v>1635</v>
      </c>
      <c r="H968" t="s">
        <v>1643</v>
      </c>
    </row>
    <row r="969" spans="1:8">
      <c r="A969" t="s">
        <v>1965</v>
      </c>
      <c r="B969">
        <v>968</v>
      </c>
      <c r="C969" t="s">
        <v>2641</v>
      </c>
      <c r="D969" t="s">
        <v>1963</v>
      </c>
      <c r="E969" t="s">
        <v>1964</v>
      </c>
      <c r="F969" t="s">
        <v>1635</v>
      </c>
      <c r="H969" t="s">
        <v>1640</v>
      </c>
    </row>
    <row r="970" spans="1:8">
      <c r="A970" t="s">
        <v>2498</v>
      </c>
      <c r="B970">
        <v>969</v>
      </c>
      <c r="C970" t="s">
        <v>1057</v>
      </c>
      <c r="D970" t="s">
        <v>188</v>
      </c>
      <c r="E970" t="s">
        <v>1967</v>
      </c>
      <c r="F970" t="s">
        <v>1635</v>
      </c>
      <c r="H970" t="s">
        <v>1643</v>
      </c>
    </row>
    <row r="971" spans="1:8">
      <c r="A971" t="s">
        <v>1968</v>
      </c>
      <c r="B971">
        <v>970</v>
      </c>
      <c r="C971" t="s">
        <v>2641</v>
      </c>
      <c r="D971" t="s">
        <v>1966</v>
      </c>
      <c r="E971" t="s">
        <v>1967</v>
      </c>
      <c r="F971" t="s">
        <v>1635</v>
      </c>
      <c r="H971" t="s">
        <v>1640</v>
      </c>
    </row>
    <row r="972" spans="1:8">
      <c r="A972" t="s">
        <v>2499</v>
      </c>
      <c r="B972">
        <v>971</v>
      </c>
      <c r="C972" t="s">
        <v>1057</v>
      </c>
      <c r="D972" t="s">
        <v>188</v>
      </c>
      <c r="E972" t="s">
        <v>1970</v>
      </c>
      <c r="F972" t="s">
        <v>1635</v>
      </c>
      <c r="H972" t="s">
        <v>1643</v>
      </c>
    </row>
    <row r="973" spans="1:8">
      <c r="A973" t="s">
        <v>1971</v>
      </c>
      <c r="B973">
        <v>972</v>
      </c>
      <c r="C973" t="s">
        <v>2641</v>
      </c>
      <c r="D973" t="s">
        <v>1969</v>
      </c>
      <c r="E973" t="s">
        <v>1970</v>
      </c>
      <c r="F973" t="s">
        <v>1635</v>
      </c>
      <c r="H973" t="s">
        <v>1640</v>
      </c>
    </row>
    <row r="974" spans="1:8">
      <c r="A974" t="s">
        <v>2500</v>
      </c>
      <c r="B974">
        <v>973</v>
      </c>
      <c r="C974" t="s">
        <v>1057</v>
      </c>
      <c r="D974" t="s">
        <v>188</v>
      </c>
      <c r="E974" t="s">
        <v>1973</v>
      </c>
      <c r="F974" t="s">
        <v>1635</v>
      </c>
      <c r="H974" t="s">
        <v>1643</v>
      </c>
    </row>
    <row r="975" spans="1:8">
      <c r="A975" t="s">
        <v>1974</v>
      </c>
      <c r="B975">
        <v>974</v>
      </c>
      <c r="C975" t="s">
        <v>2641</v>
      </c>
      <c r="D975" t="s">
        <v>1972</v>
      </c>
      <c r="E975" t="s">
        <v>1973</v>
      </c>
      <c r="F975" t="s">
        <v>1635</v>
      </c>
      <c r="H975" t="s">
        <v>1640</v>
      </c>
    </row>
    <row r="976" spans="1:8">
      <c r="A976" t="s">
        <v>2501</v>
      </c>
      <c r="B976">
        <v>975</v>
      </c>
      <c r="C976" t="s">
        <v>1057</v>
      </c>
      <c r="D976" t="s">
        <v>188</v>
      </c>
      <c r="E976" t="s">
        <v>1976</v>
      </c>
      <c r="F976" t="s">
        <v>1635</v>
      </c>
      <c r="H976" t="s">
        <v>1643</v>
      </c>
    </row>
    <row r="977" spans="1:8">
      <c r="A977" t="s">
        <v>1977</v>
      </c>
      <c r="B977">
        <v>976</v>
      </c>
      <c r="C977" t="s">
        <v>2641</v>
      </c>
      <c r="D977" t="s">
        <v>1975</v>
      </c>
      <c r="E977" t="s">
        <v>1976</v>
      </c>
      <c r="F977" t="s">
        <v>1635</v>
      </c>
      <c r="H977" t="s">
        <v>1640</v>
      </c>
    </row>
    <row r="978" spans="1:8">
      <c r="A978" t="s">
        <v>2502</v>
      </c>
      <c r="B978">
        <v>977</v>
      </c>
      <c r="C978" t="s">
        <v>1057</v>
      </c>
      <c r="D978" t="s">
        <v>188</v>
      </c>
      <c r="E978" t="s">
        <v>1979</v>
      </c>
      <c r="F978" t="s">
        <v>1635</v>
      </c>
      <c r="H978" t="s">
        <v>1643</v>
      </c>
    </row>
    <row r="979" spans="1:8">
      <c r="A979" t="s">
        <v>1980</v>
      </c>
      <c r="B979">
        <v>978</v>
      </c>
      <c r="C979" t="s">
        <v>2641</v>
      </c>
      <c r="D979" t="s">
        <v>1978</v>
      </c>
      <c r="E979" t="s">
        <v>1979</v>
      </c>
      <c r="F979" t="s">
        <v>1635</v>
      </c>
      <c r="H979" t="s">
        <v>1640</v>
      </c>
    </row>
    <row r="980" spans="1:8">
      <c r="A980" t="s">
        <v>2503</v>
      </c>
      <c r="B980">
        <v>979</v>
      </c>
      <c r="C980" t="s">
        <v>1057</v>
      </c>
      <c r="D980" t="s">
        <v>188</v>
      </c>
      <c r="E980" t="s">
        <v>1982</v>
      </c>
      <c r="F980" t="s">
        <v>1635</v>
      </c>
      <c r="H980" t="s">
        <v>1643</v>
      </c>
    </row>
    <row r="981" spans="1:8">
      <c r="A981" t="s">
        <v>1983</v>
      </c>
      <c r="B981">
        <v>980</v>
      </c>
      <c r="C981" t="s">
        <v>2641</v>
      </c>
      <c r="D981" t="s">
        <v>1981</v>
      </c>
      <c r="E981" t="s">
        <v>1982</v>
      </c>
      <c r="F981" t="s">
        <v>1635</v>
      </c>
      <c r="H981" t="s">
        <v>1640</v>
      </c>
    </row>
    <row r="982" spans="1:8">
      <c r="A982" t="s">
        <v>2504</v>
      </c>
      <c r="B982">
        <v>981</v>
      </c>
      <c r="C982" t="s">
        <v>1057</v>
      </c>
      <c r="D982" t="s">
        <v>188</v>
      </c>
      <c r="E982" t="s">
        <v>1985</v>
      </c>
      <c r="F982" t="s">
        <v>1635</v>
      </c>
      <c r="H982" t="s">
        <v>1643</v>
      </c>
    </row>
    <row r="983" spans="1:8">
      <c r="A983" t="s">
        <v>1986</v>
      </c>
      <c r="B983">
        <v>982</v>
      </c>
      <c r="C983" t="s">
        <v>2641</v>
      </c>
      <c r="D983" t="s">
        <v>1984</v>
      </c>
      <c r="E983" t="s">
        <v>1985</v>
      </c>
      <c r="F983" t="s">
        <v>1635</v>
      </c>
      <c r="H983" t="s">
        <v>1640</v>
      </c>
    </row>
    <row r="984" spans="1:8">
      <c r="A984" t="s">
        <v>2505</v>
      </c>
      <c r="B984">
        <v>983</v>
      </c>
      <c r="C984" t="s">
        <v>1057</v>
      </c>
      <c r="D984" t="s">
        <v>188</v>
      </c>
      <c r="E984" t="s">
        <v>1988</v>
      </c>
      <c r="F984" t="s">
        <v>1635</v>
      </c>
      <c r="H984" t="s">
        <v>1643</v>
      </c>
    </row>
    <row r="985" spans="1:8">
      <c r="A985" t="s">
        <v>1989</v>
      </c>
      <c r="B985">
        <v>984</v>
      </c>
      <c r="C985" t="s">
        <v>2641</v>
      </c>
      <c r="D985" t="s">
        <v>1987</v>
      </c>
      <c r="E985" t="s">
        <v>1988</v>
      </c>
      <c r="F985" t="s">
        <v>1635</v>
      </c>
      <c r="H985" t="s">
        <v>1640</v>
      </c>
    </row>
    <row r="986" spans="1:8">
      <c r="A986" t="s">
        <v>2506</v>
      </c>
      <c r="B986">
        <v>985</v>
      </c>
      <c r="C986" t="s">
        <v>1057</v>
      </c>
      <c r="D986" t="s">
        <v>188</v>
      </c>
      <c r="E986" t="s">
        <v>1991</v>
      </c>
      <c r="F986" t="s">
        <v>1635</v>
      </c>
      <c r="H986" t="s">
        <v>1643</v>
      </c>
    </row>
    <row r="987" spans="1:8">
      <c r="A987" t="s">
        <v>1992</v>
      </c>
      <c r="B987">
        <v>986</v>
      </c>
      <c r="C987" t="s">
        <v>2641</v>
      </c>
      <c r="D987" t="s">
        <v>1990</v>
      </c>
      <c r="E987" t="s">
        <v>1991</v>
      </c>
      <c r="F987" t="s">
        <v>1635</v>
      </c>
      <c r="H987" t="s">
        <v>1640</v>
      </c>
    </row>
    <row r="988" spans="1:8">
      <c r="A988" t="s">
        <v>2507</v>
      </c>
      <c r="B988">
        <v>987</v>
      </c>
      <c r="C988" t="s">
        <v>1057</v>
      </c>
      <c r="D988" t="s">
        <v>188</v>
      </c>
      <c r="E988" t="s">
        <v>1994</v>
      </c>
      <c r="F988" t="s">
        <v>1635</v>
      </c>
      <c r="H988" t="s">
        <v>1643</v>
      </c>
    </row>
    <row r="989" spans="1:8">
      <c r="A989" t="s">
        <v>1995</v>
      </c>
      <c r="B989">
        <v>988</v>
      </c>
      <c r="C989" t="s">
        <v>2641</v>
      </c>
      <c r="D989" t="s">
        <v>1993</v>
      </c>
      <c r="E989" t="s">
        <v>1994</v>
      </c>
      <c r="F989" t="s">
        <v>1635</v>
      </c>
      <c r="H989" t="s">
        <v>1640</v>
      </c>
    </row>
    <row r="990" spans="1:8">
      <c r="A990" t="s">
        <v>2508</v>
      </c>
      <c r="B990">
        <v>989</v>
      </c>
      <c r="C990" t="s">
        <v>1057</v>
      </c>
      <c r="D990" t="s">
        <v>188</v>
      </c>
      <c r="E990" t="s">
        <v>1997</v>
      </c>
      <c r="F990" t="s">
        <v>1635</v>
      </c>
      <c r="H990" t="s">
        <v>1643</v>
      </c>
    </row>
    <row r="991" spans="1:8">
      <c r="A991" t="s">
        <v>1998</v>
      </c>
      <c r="B991">
        <v>990</v>
      </c>
      <c r="C991" t="s">
        <v>2641</v>
      </c>
      <c r="D991" t="s">
        <v>1996</v>
      </c>
      <c r="E991" t="s">
        <v>1997</v>
      </c>
      <c r="F991" t="s">
        <v>1635</v>
      </c>
      <c r="H991" t="s">
        <v>1640</v>
      </c>
    </row>
    <row r="992" spans="1:8">
      <c r="A992" t="s">
        <v>2509</v>
      </c>
      <c r="B992">
        <v>991</v>
      </c>
      <c r="C992" t="s">
        <v>1057</v>
      </c>
      <c r="D992" t="s">
        <v>188</v>
      </c>
      <c r="E992" t="s">
        <v>2000</v>
      </c>
      <c r="F992" t="s">
        <v>1635</v>
      </c>
      <c r="H992" t="s">
        <v>1643</v>
      </c>
    </row>
    <row r="993" spans="1:8">
      <c r="A993" t="s">
        <v>2001</v>
      </c>
      <c r="B993">
        <v>992</v>
      </c>
      <c r="C993" t="s">
        <v>2641</v>
      </c>
      <c r="D993" t="s">
        <v>1999</v>
      </c>
      <c r="E993" t="s">
        <v>2000</v>
      </c>
      <c r="F993" t="s">
        <v>1635</v>
      </c>
      <c r="H993" t="s">
        <v>1640</v>
      </c>
    </row>
    <row r="994" spans="1:8">
      <c r="A994" t="s">
        <v>2510</v>
      </c>
      <c r="B994">
        <v>993</v>
      </c>
      <c r="C994" t="s">
        <v>1057</v>
      </c>
      <c r="D994" t="s">
        <v>188</v>
      </c>
      <c r="E994" t="s">
        <v>2003</v>
      </c>
      <c r="F994" t="s">
        <v>1635</v>
      </c>
      <c r="H994" t="s">
        <v>1643</v>
      </c>
    </row>
    <row r="995" spans="1:8">
      <c r="A995" t="s">
        <v>2004</v>
      </c>
      <c r="B995">
        <v>994</v>
      </c>
      <c r="C995" t="s">
        <v>2641</v>
      </c>
      <c r="D995" t="s">
        <v>2002</v>
      </c>
      <c r="E995" t="s">
        <v>2003</v>
      </c>
      <c r="F995" t="s">
        <v>1635</v>
      </c>
      <c r="H995" t="s">
        <v>1640</v>
      </c>
    </row>
    <row r="996" spans="1:8">
      <c r="A996" t="s">
        <v>2511</v>
      </c>
      <c r="B996">
        <v>995</v>
      </c>
      <c r="C996" t="s">
        <v>1057</v>
      </c>
      <c r="D996" t="s">
        <v>188</v>
      </c>
      <c r="E996" t="s">
        <v>2006</v>
      </c>
      <c r="F996" t="s">
        <v>1635</v>
      </c>
      <c r="H996" t="s">
        <v>1643</v>
      </c>
    </row>
    <row r="997" spans="1:8">
      <c r="A997" t="s">
        <v>2007</v>
      </c>
      <c r="B997">
        <v>996</v>
      </c>
      <c r="C997" t="s">
        <v>2641</v>
      </c>
      <c r="D997" t="s">
        <v>2005</v>
      </c>
      <c r="E997" t="s">
        <v>2006</v>
      </c>
      <c r="F997" t="s">
        <v>1635</v>
      </c>
      <c r="H997" t="s">
        <v>1640</v>
      </c>
    </row>
    <row r="998" spans="1:8">
      <c r="A998" t="s">
        <v>2512</v>
      </c>
      <c r="B998">
        <v>997</v>
      </c>
      <c r="C998" t="s">
        <v>1057</v>
      </c>
      <c r="D998" t="s">
        <v>188</v>
      </c>
      <c r="E998" t="s">
        <v>2009</v>
      </c>
      <c r="F998" t="s">
        <v>1635</v>
      </c>
      <c r="H998" t="s">
        <v>1643</v>
      </c>
    </row>
    <row r="999" spans="1:8">
      <c r="A999" t="s">
        <v>2010</v>
      </c>
      <c r="B999">
        <v>998</v>
      </c>
      <c r="C999" t="s">
        <v>2641</v>
      </c>
      <c r="D999" t="s">
        <v>2008</v>
      </c>
      <c r="E999" t="s">
        <v>2009</v>
      </c>
      <c r="F999" t="s">
        <v>1635</v>
      </c>
      <c r="H999" t="s">
        <v>1640</v>
      </c>
    </row>
    <row r="1000" spans="1:8">
      <c r="A1000" t="s">
        <v>2513</v>
      </c>
      <c r="B1000">
        <v>999</v>
      </c>
      <c r="C1000" t="s">
        <v>1057</v>
      </c>
      <c r="D1000" t="s">
        <v>188</v>
      </c>
      <c r="E1000" t="s">
        <v>2012</v>
      </c>
      <c r="F1000" t="s">
        <v>1635</v>
      </c>
      <c r="H1000" t="s">
        <v>1643</v>
      </c>
    </row>
    <row r="1001" spans="1:8">
      <c r="A1001" t="s">
        <v>2013</v>
      </c>
      <c r="B1001">
        <v>1000</v>
      </c>
      <c r="C1001" t="s">
        <v>2641</v>
      </c>
      <c r="D1001" t="s">
        <v>2011</v>
      </c>
      <c r="E1001" t="s">
        <v>2012</v>
      </c>
      <c r="F1001" t="s">
        <v>1635</v>
      </c>
      <c r="H1001" t="s">
        <v>1640</v>
      </c>
    </row>
    <row r="1002" spans="1:8">
      <c r="A1002" t="s">
        <v>2514</v>
      </c>
      <c r="B1002">
        <v>1001</v>
      </c>
      <c r="C1002" t="s">
        <v>1057</v>
      </c>
      <c r="D1002" t="s">
        <v>188</v>
      </c>
      <c r="E1002" t="s">
        <v>2015</v>
      </c>
      <c r="F1002" t="s">
        <v>1635</v>
      </c>
      <c r="H1002" t="s">
        <v>1643</v>
      </c>
    </row>
    <row r="1003" spans="1:8">
      <c r="A1003" t="s">
        <v>2016</v>
      </c>
      <c r="B1003">
        <v>1002</v>
      </c>
      <c r="C1003" t="s">
        <v>2641</v>
      </c>
      <c r="D1003" t="s">
        <v>2014</v>
      </c>
      <c r="E1003" t="s">
        <v>2015</v>
      </c>
      <c r="F1003" t="s">
        <v>1635</v>
      </c>
      <c r="H1003" t="s">
        <v>1640</v>
      </c>
    </row>
    <row r="1004" spans="1:8">
      <c r="A1004" t="s">
        <v>2515</v>
      </c>
      <c r="B1004">
        <v>1003</v>
      </c>
      <c r="C1004" t="s">
        <v>1057</v>
      </c>
      <c r="D1004" t="s">
        <v>188</v>
      </c>
      <c r="E1004" t="s">
        <v>2018</v>
      </c>
      <c r="F1004" t="s">
        <v>1635</v>
      </c>
      <c r="H1004" t="s">
        <v>1643</v>
      </c>
    </row>
    <row r="1005" spans="1:8">
      <c r="A1005" t="s">
        <v>2019</v>
      </c>
      <c r="B1005">
        <v>1004</v>
      </c>
      <c r="C1005" t="s">
        <v>2641</v>
      </c>
      <c r="D1005" t="s">
        <v>2017</v>
      </c>
      <c r="E1005" t="s">
        <v>2018</v>
      </c>
      <c r="F1005" t="s">
        <v>1635</v>
      </c>
      <c r="H1005" t="s">
        <v>1640</v>
      </c>
    </row>
    <row r="1006" spans="1:8">
      <c r="A1006" t="s">
        <v>2516</v>
      </c>
      <c r="B1006">
        <v>1005</v>
      </c>
      <c r="C1006" t="s">
        <v>1057</v>
      </c>
      <c r="D1006" t="s">
        <v>188</v>
      </c>
      <c r="E1006" t="s">
        <v>2021</v>
      </c>
      <c r="F1006" t="s">
        <v>1635</v>
      </c>
      <c r="H1006" t="s">
        <v>1643</v>
      </c>
    </row>
    <row r="1007" spans="1:8">
      <c r="A1007" t="s">
        <v>2022</v>
      </c>
      <c r="B1007">
        <v>1006</v>
      </c>
      <c r="C1007" t="s">
        <v>2641</v>
      </c>
      <c r="D1007" t="s">
        <v>2020</v>
      </c>
      <c r="E1007" t="s">
        <v>2021</v>
      </c>
      <c r="F1007" t="s">
        <v>1635</v>
      </c>
      <c r="H1007" t="s">
        <v>1640</v>
      </c>
    </row>
    <row r="1008" spans="1:8">
      <c r="A1008" t="s">
        <v>2517</v>
      </c>
      <c r="B1008">
        <v>1007</v>
      </c>
      <c r="C1008" t="s">
        <v>1057</v>
      </c>
      <c r="D1008" t="s">
        <v>189</v>
      </c>
      <c r="E1008" t="s">
        <v>1648</v>
      </c>
      <c r="F1008" t="s">
        <v>1635</v>
      </c>
      <c r="H1008" t="s">
        <v>1643</v>
      </c>
    </row>
    <row r="1009" spans="1:8">
      <c r="A1009" t="s">
        <v>1649</v>
      </c>
      <c r="B1009">
        <v>1008</v>
      </c>
      <c r="C1009" t="s">
        <v>2641</v>
      </c>
      <c r="D1009" t="s">
        <v>1647</v>
      </c>
      <c r="E1009" t="s">
        <v>1648</v>
      </c>
      <c r="F1009" t="s">
        <v>1635</v>
      </c>
      <c r="H1009" t="s">
        <v>1640</v>
      </c>
    </row>
    <row r="1010" spans="1:8">
      <c r="A1010" t="s">
        <v>2518</v>
      </c>
      <c r="B1010">
        <v>1009</v>
      </c>
      <c r="C1010" t="s">
        <v>1057</v>
      </c>
      <c r="D1010" t="s">
        <v>189</v>
      </c>
      <c r="E1010" t="s">
        <v>2024</v>
      </c>
      <c r="F1010" t="s">
        <v>1635</v>
      </c>
      <c r="H1010" t="s">
        <v>1643</v>
      </c>
    </row>
    <row r="1011" spans="1:8">
      <c r="A1011" t="s">
        <v>2025</v>
      </c>
      <c r="B1011">
        <v>1010</v>
      </c>
      <c r="C1011" t="s">
        <v>2641</v>
      </c>
      <c r="D1011" t="s">
        <v>2023</v>
      </c>
      <c r="E1011" t="s">
        <v>2024</v>
      </c>
      <c r="F1011" t="s">
        <v>1635</v>
      </c>
      <c r="H1011" t="s">
        <v>1640</v>
      </c>
    </row>
    <row r="1012" spans="1:8">
      <c r="A1012" t="s">
        <v>2519</v>
      </c>
      <c r="B1012">
        <v>1011</v>
      </c>
      <c r="C1012" t="s">
        <v>1057</v>
      </c>
      <c r="D1012" t="s">
        <v>189</v>
      </c>
      <c r="E1012" t="s">
        <v>2027</v>
      </c>
      <c r="F1012" t="s">
        <v>1635</v>
      </c>
      <c r="H1012" t="s">
        <v>1643</v>
      </c>
    </row>
    <row r="1013" spans="1:8">
      <c r="A1013" t="s">
        <v>2028</v>
      </c>
      <c r="B1013">
        <v>1012</v>
      </c>
      <c r="C1013" t="s">
        <v>2641</v>
      </c>
      <c r="D1013" t="s">
        <v>2026</v>
      </c>
      <c r="E1013" t="s">
        <v>2027</v>
      </c>
      <c r="F1013" t="s">
        <v>1635</v>
      </c>
      <c r="H1013" t="s">
        <v>1640</v>
      </c>
    </row>
    <row r="1014" spans="1:8">
      <c r="A1014" t="s">
        <v>2520</v>
      </c>
      <c r="B1014">
        <v>1013</v>
      </c>
      <c r="C1014" t="s">
        <v>1057</v>
      </c>
      <c r="D1014" t="s">
        <v>189</v>
      </c>
      <c r="E1014" t="s">
        <v>2030</v>
      </c>
      <c r="F1014" t="s">
        <v>1635</v>
      </c>
      <c r="H1014" t="s">
        <v>1643</v>
      </c>
    </row>
    <row r="1015" spans="1:8">
      <c r="A1015" t="s">
        <v>2031</v>
      </c>
      <c r="B1015">
        <v>1014</v>
      </c>
      <c r="C1015" t="s">
        <v>2641</v>
      </c>
      <c r="D1015" t="s">
        <v>2029</v>
      </c>
      <c r="E1015" t="s">
        <v>2030</v>
      </c>
      <c r="F1015" t="s">
        <v>1635</v>
      </c>
      <c r="H1015" t="s">
        <v>1640</v>
      </c>
    </row>
    <row r="1016" spans="1:8">
      <c r="A1016" t="s">
        <v>2521</v>
      </c>
      <c r="B1016">
        <v>1015</v>
      </c>
      <c r="C1016" t="s">
        <v>1057</v>
      </c>
      <c r="D1016" t="s">
        <v>189</v>
      </c>
      <c r="E1016" t="s">
        <v>2033</v>
      </c>
      <c r="F1016" t="s">
        <v>1635</v>
      </c>
      <c r="H1016" t="s">
        <v>1643</v>
      </c>
    </row>
    <row r="1017" spans="1:8">
      <c r="A1017" t="s">
        <v>2034</v>
      </c>
      <c r="B1017">
        <v>1016</v>
      </c>
      <c r="C1017" t="s">
        <v>2641</v>
      </c>
      <c r="D1017" t="s">
        <v>2032</v>
      </c>
      <c r="E1017" t="s">
        <v>2033</v>
      </c>
      <c r="F1017" t="s">
        <v>1635</v>
      </c>
      <c r="H1017" t="s">
        <v>1640</v>
      </c>
    </row>
    <row r="1018" spans="1:8">
      <c r="A1018" t="s">
        <v>2522</v>
      </c>
      <c r="B1018">
        <v>1017</v>
      </c>
      <c r="C1018" t="s">
        <v>1057</v>
      </c>
      <c r="D1018" t="s">
        <v>189</v>
      </c>
      <c r="E1018" t="s">
        <v>2036</v>
      </c>
      <c r="F1018" t="s">
        <v>1635</v>
      </c>
      <c r="H1018" t="s">
        <v>1643</v>
      </c>
    </row>
    <row r="1019" spans="1:8">
      <c r="A1019" t="s">
        <v>2037</v>
      </c>
      <c r="B1019">
        <v>1018</v>
      </c>
      <c r="C1019" t="s">
        <v>2641</v>
      </c>
      <c r="D1019" t="s">
        <v>2035</v>
      </c>
      <c r="E1019" t="s">
        <v>2036</v>
      </c>
      <c r="F1019" t="s">
        <v>1635</v>
      </c>
      <c r="H1019" t="s">
        <v>1640</v>
      </c>
    </row>
    <row r="1020" spans="1:8">
      <c r="A1020" t="s">
        <v>2523</v>
      </c>
      <c r="B1020">
        <v>1019</v>
      </c>
      <c r="C1020" t="s">
        <v>1057</v>
      </c>
      <c r="D1020" t="s">
        <v>189</v>
      </c>
      <c r="E1020" t="s">
        <v>2039</v>
      </c>
      <c r="F1020" t="s">
        <v>1635</v>
      </c>
      <c r="H1020" t="s">
        <v>1643</v>
      </c>
    </row>
    <row r="1021" spans="1:8">
      <c r="A1021" t="s">
        <v>2040</v>
      </c>
      <c r="B1021">
        <v>1020</v>
      </c>
      <c r="C1021" t="s">
        <v>2641</v>
      </c>
      <c r="D1021" t="s">
        <v>2038</v>
      </c>
      <c r="E1021" t="s">
        <v>2039</v>
      </c>
      <c r="F1021" t="s">
        <v>1635</v>
      </c>
      <c r="H1021" t="s">
        <v>1640</v>
      </c>
    </row>
    <row r="1022" spans="1:8">
      <c r="A1022" t="s">
        <v>2524</v>
      </c>
      <c r="B1022">
        <v>1021</v>
      </c>
      <c r="C1022" t="s">
        <v>1057</v>
      </c>
      <c r="D1022" t="s">
        <v>189</v>
      </c>
      <c r="E1022" t="s">
        <v>2042</v>
      </c>
      <c r="F1022" t="s">
        <v>1635</v>
      </c>
      <c r="H1022" t="s">
        <v>1643</v>
      </c>
    </row>
    <row r="1023" spans="1:8">
      <c r="A1023" t="s">
        <v>2043</v>
      </c>
      <c r="B1023">
        <v>1022</v>
      </c>
      <c r="C1023" t="s">
        <v>2641</v>
      </c>
      <c r="D1023" t="s">
        <v>2041</v>
      </c>
      <c r="E1023" t="s">
        <v>2042</v>
      </c>
      <c r="F1023" t="s">
        <v>1635</v>
      </c>
      <c r="H1023" t="s">
        <v>1640</v>
      </c>
    </row>
    <row r="1024" spans="1:8">
      <c r="A1024" t="s">
        <v>2525</v>
      </c>
      <c r="B1024">
        <v>1023</v>
      </c>
      <c r="C1024" t="s">
        <v>1057</v>
      </c>
      <c r="D1024" t="s">
        <v>189</v>
      </c>
      <c r="E1024" t="s">
        <v>2045</v>
      </c>
      <c r="F1024" t="s">
        <v>1635</v>
      </c>
      <c r="H1024" t="s">
        <v>1643</v>
      </c>
    </row>
    <row r="1025" spans="1:8">
      <c r="A1025" t="s">
        <v>2046</v>
      </c>
      <c r="B1025">
        <v>1024</v>
      </c>
      <c r="C1025" t="s">
        <v>2641</v>
      </c>
      <c r="D1025" t="s">
        <v>2044</v>
      </c>
      <c r="E1025" t="s">
        <v>2045</v>
      </c>
      <c r="F1025" t="s">
        <v>1635</v>
      </c>
      <c r="H1025" t="s">
        <v>1640</v>
      </c>
    </row>
    <row r="1026" spans="1:8">
      <c r="A1026" t="s">
        <v>2526</v>
      </c>
      <c r="B1026">
        <v>1025</v>
      </c>
      <c r="C1026" t="s">
        <v>1057</v>
      </c>
      <c r="D1026" t="s">
        <v>189</v>
      </c>
      <c r="E1026" t="s">
        <v>2048</v>
      </c>
      <c r="F1026" t="s">
        <v>1635</v>
      </c>
      <c r="H1026" t="s">
        <v>1643</v>
      </c>
    </row>
    <row r="1027" spans="1:8">
      <c r="A1027" t="s">
        <v>2049</v>
      </c>
      <c r="B1027">
        <v>1026</v>
      </c>
      <c r="C1027" t="s">
        <v>2641</v>
      </c>
      <c r="D1027" t="s">
        <v>2047</v>
      </c>
      <c r="E1027" t="s">
        <v>2048</v>
      </c>
      <c r="F1027" t="s">
        <v>1635</v>
      </c>
      <c r="H1027" t="s">
        <v>1640</v>
      </c>
    </row>
    <row r="1028" spans="1:8">
      <c r="A1028" t="s">
        <v>2527</v>
      </c>
      <c r="B1028">
        <v>1027</v>
      </c>
      <c r="C1028" t="s">
        <v>1057</v>
      </c>
      <c r="D1028" t="s">
        <v>189</v>
      </c>
      <c r="E1028" t="s">
        <v>2051</v>
      </c>
      <c r="F1028" t="s">
        <v>1635</v>
      </c>
      <c r="H1028" t="s">
        <v>1643</v>
      </c>
    </row>
    <row r="1029" spans="1:8">
      <c r="A1029" t="s">
        <v>2052</v>
      </c>
      <c r="B1029">
        <v>1028</v>
      </c>
      <c r="C1029" t="s">
        <v>2641</v>
      </c>
      <c r="D1029" t="s">
        <v>2050</v>
      </c>
      <c r="E1029" t="s">
        <v>2051</v>
      </c>
      <c r="F1029" t="s">
        <v>1635</v>
      </c>
      <c r="H1029" t="s">
        <v>1640</v>
      </c>
    </row>
    <row r="1030" spans="1:8">
      <c r="A1030" t="s">
        <v>2528</v>
      </c>
      <c r="B1030">
        <v>1029</v>
      </c>
      <c r="C1030" t="s">
        <v>1057</v>
      </c>
      <c r="D1030" t="s">
        <v>189</v>
      </c>
      <c r="E1030" t="s">
        <v>2054</v>
      </c>
      <c r="F1030" t="s">
        <v>1635</v>
      </c>
      <c r="H1030" t="s">
        <v>1643</v>
      </c>
    </row>
    <row r="1031" spans="1:8">
      <c r="A1031" t="s">
        <v>2055</v>
      </c>
      <c r="B1031">
        <v>1030</v>
      </c>
      <c r="C1031" t="s">
        <v>2641</v>
      </c>
      <c r="D1031" t="s">
        <v>2053</v>
      </c>
      <c r="E1031" t="s">
        <v>2054</v>
      </c>
      <c r="F1031" t="s">
        <v>1635</v>
      </c>
      <c r="H1031" t="s">
        <v>1640</v>
      </c>
    </row>
    <row r="1032" spans="1:8">
      <c r="A1032" t="s">
        <v>2529</v>
      </c>
      <c r="B1032">
        <v>1031</v>
      </c>
      <c r="C1032" t="s">
        <v>1057</v>
      </c>
      <c r="D1032" t="s">
        <v>189</v>
      </c>
      <c r="E1032" t="s">
        <v>2057</v>
      </c>
      <c r="F1032" t="s">
        <v>1635</v>
      </c>
      <c r="H1032" t="s">
        <v>1643</v>
      </c>
    </row>
    <row r="1033" spans="1:8">
      <c r="A1033" t="s">
        <v>2058</v>
      </c>
      <c r="B1033">
        <v>1032</v>
      </c>
      <c r="C1033" t="s">
        <v>2641</v>
      </c>
      <c r="D1033" t="s">
        <v>2056</v>
      </c>
      <c r="E1033" t="s">
        <v>2057</v>
      </c>
      <c r="F1033" t="s">
        <v>1635</v>
      </c>
      <c r="H1033" t="s">
        <v>1640</v>
      </c>
    </row>
    <row r="1034" spans="1:8">
      <c r="A1034" t="s">
        <v>2530</v>
      </c>
      <c r="B1034">
        <v>1033</v>
      </c>
      <c r="C1034" t="s">
        <v>1057</v>
      </c>
      <c r="D1034" t="s">
        <v>189</v>
      </c>
      <c r="E1034" t="s">
        <v>2060</v>
      </c>
      <c r="F1034" t="s">
        <v>1635</v>
      </c>
      <c r="H1034" t="s">
        <v>1643</v>
      </c>
    </row>
    <row r="1035" spans="1:8">
      <c r="A1035" t="s">
        <v>2061</v>
      </c>
      <c r="B1035">
        <v>1034</v>
      </c>
      <c r="C1035" t="s">
        <v>2641</v>
      </c>
      <c r="D1035" t="s">
        <v>2059</v>
      </c>
      <c r="E1035" t="s">
        <v>2060</v>
      </c>
      <c r="F1035" t="s">
        <v>1635</v>
      </c>
      <c r="H1035" t="s">
        <v>1640</v>
      </c>
    </row>
    <row r="1036" spans="1:8">
      <c r="A1036" t="s">
        <v>2531</v>
      </c>
      <c r="B1036">
        <v>1035</v>
      </c>
      <c r="C1036" t="s">
        <v>1057</v>
      </c>
      <c r="D1036" t="s">
        <v>189</v>
      </c>
      <c r="E1036" t="s">
        <v>2063</v>
      </c>
      <c r="F1036" t="s">
        <v>1635</v>
      </c>
      <c r="H1036" t="s">
        <v>1643</v>
      </c>
    </row>
    <row r="1037" spans="1:8">
      <c r="A1037" t="s">
        <v>2064</v>
      </c>
      <c r="B1037">
        <v>1036</v>
      </c>
      <c r="C1037" t="s">
        <v>2641</v>
      </c>
      <c r="D1037" t="s">
        <v>2062</v>
      </c>
      <c r="E1037" t="s">
        <v>2063</v>
      </c>
      <c r="F1037" t="s">
        <v>1635</v>
      </c>
      <c r="H1037" t="s">
        <v>1640</v>
      </c>
    </row>
    <row r="1038" spans="1:8">
      <c r="A1038" t="s">
        <v>2532</v>
      </c>
      <c r="B1038">
        <v>1037</v>
      </c>
      <c r="C1038" t="s">
        <v>1057</v>
      </c>
      <c r="D1038" t="s">
        <v>189</v>
      </c>
      <c r="E1038" t="s">
        <v>2066</v>
      </c>
      <c r="F1038" t="s">
        <v>1635</v>
      </c>
      <c r="H1038" t="s">
        <v>1643</v>
      </c>
    </row>
    <row r="1039" spans="1:8">
      <c r="A1039" t="s">
        <v>2067</v>
      </c>
      <c r="B1039">
        <v>1038</v>
      </c>
      <c r="C1039" t="s">
        <v>2641</v>
      </c>
      <c r="D1039" t="s">
        <v>2065</v>
      </c>
      <c r="E1039" t="s">
        <v>2066</v>
      </c>
      <c r="F1039" t="s">
        <v>1635</v>
      </c>
      <c r="H1039" t="s">
        <v>1640</v>
      </c>
    </row>
    <row r="1040" spans="1:8">
      <c r="A1040" t="s">
        <v>2533</v>
      </c>
      <c r="B1040">
        <v>1039</v>
      </c>
      <c r="C1040" t="s">
        <v>1057</v>
      </c>
      <c r="D1040" t="s">
        <v>189</v>
      </c>
      <c r="E1040" t="s">
        <v>2069</v>
      </c>
      <c r="F1040" t="s">
        <v>1635</v>
      </c>
      <c r="H1040" t="s">
        <v>1643</v>
      </c>
    </row>
    <row r="1041" spans="1:8">
      <c r="A1041" t="s">
        <v>2070</v>
      </c>
      <c r="B1041">
        <v>1040</v>
      </c>
      <c r="C1041" t="s">
        <v>2641</v>
      </c>
      <c r="D1041" t="s">
        <v>2068</v>
      </c>
      <c r="E1041" t="s">
        <v>2069</v>
      </c>
      <c r="F1041" t="s">
        <v>1635</v>
      </c>
      <c r="H1041" t="s">
        <v>1640</v>
      </c>
    </row>
    <row r="1042" spans="1:8">
      <c r="A1042" t="s">
        <v>2534</v>
      </c>
      <c r="B1042">
        <v>1041</v>
      </c>
      <c r="C1042" t="s">
        <v>1057</v>
      </c>
      <c r="D1042" t="s">
        <v>189</v>
      </c>
      <c r="E1042" t="s">
        <v>2072</v>
      </c>
      <c r="F1042" t="s">
        <v>1635</v>
      </c>
      <c r="H1042" t="s">
        <v>1643</v>
      </c>
    </row>
    <row r="1043" spans="1:8">
      <c r="A1043" t="s">
        <v>2073</v>
      </c>
      <c r="B1043">
        <v>1042</v>
      </c>
      <c r="C1043" t="s">
        <v>2641</v>
      </c>
      <c r="D1043" t="s">
        <v>2071</v>
      </c>
      <c r="E1043" t="s">
        <v>2072</v>
      </c>
      <c r="F1043" t="s">
        <v>1635</v>
      </c>
      <c r="H1043" t="s">
        <v>1640</v>
      </c>
    </row>
    <row r="1044" spans="1:8">
      <c r="A1044" t="s">
        <v>2535</v>
      </c>
      <c r="B1044">
        <v>1043</v>
      </c>
      <c r="C1044" t="s">
        <v>1057</v>
      </c>
      <c r="D1044" t="s">
        <v>189</v>
      </c>
      <c r="E1044" t="s">
        <v>2075</v>
      </c>
      <c r="F1044" t="s">
        <v>1635</v>
      </c>
      <c r="H1044" t="s">
        <v>1643</v>
      </c>
    </row>
    <row r="1045" spans="1:8">
      <c r="A1045" t="s">
        <v>2076</v>
      </c>
      <c r="B1045">
        <v>1044</v>
      </c>
      <c r="C1045" t="s">
        <v>2641</v>
      </c>
      <c r="D1045" t="s">
        <v>2074</v>
      </c>
      <c r="E1045" t="s">
        <v>2075</v>
      </c>
      <c r="F1045" t="s">
        <v>1635</v>
      </c>
      <c r="H1045" t="s">
        <v>1640</v>
      </c>
    </row>
    <row r="1046" spans="1:8">
      <c r="A1046" t="s">
        <v>2536</v>
      </c>
      <c r="B1046">
        <v>1045</v>
      </c>
      <c r="C1046" t="s">
        <v>1057</v>
      </c>
      <c r="D1046" t="s">
        <v>189</v>
      </c>
      <c r="E1046" t="s">
        <v>2078</v>
      </c>
      <c r="F1046" t="s">
        <v>1635</v>
      </c>
      <c r="H1046" t="s">
        <v>1643</v>
      </c>
    </row>
    <row r="1047" spans="1:8">
      <c r="A1047" t="s">
        <v>2079</v>
      </c>
      <c r="B1047">
        <v>1046</v>
      </c>
      <c r="C1047" t="s">
        <v>2641</v>
      </c>
      <c r="D1047" t="s">
        <v>2077</v>
      </c>
      <c r="E1047" t="s">
        <v>2078</v>
      </c>
      <c r="F1047" t="s">
        <v>1635</v>
      </c>
      <c r="H1047" t="s">
        <v>1640</v>
      </c>
    </row>
    <row r="1048" spans="1:8">
      <c r="A1048" t="s">
        <v>2537</v>
      </c>
      <c r="B1048">
        <v>1047</v>
      </c>
      <c r="C1048" t="s">
        <v>1057</v>
      </c>
      <c r="D1048" t="s">
        <v>189</v>
      </c>
      <c r="E1048" t="s">
        <v>2081</v>
      </c>
      <c r="F1048" t="s">
        <v>1635</v>
      </c>
      <c r="H1048" t="s">
        <v>1643</v>
      </c>
    </row>
    <row r="1049" spans="1:8">
      <c r="A1049" t="s">
        <v>2082</v>
      </c>
      <c r="B1049">
        <v>1048</v>
      </c>
      <c r="C1049" t="s">
        <v>2641</v>
      </c>
      <c r="D1049" t="s">
        <v>2080</v>
      </c>
      <c r="E1049" t="s">
        <v>2081</v>
      </c>
      <c r="F1049" t="s">
        <v>1635</v>
      </c>
      <c r="H1049" t="s">
        <v>1640</v>
      </c>
    </row>
    <row r="1050" spans="1:8">
      <c r="A1050" t="s">
        <v>2538</v>
      </c>
      <c r="B1050">
        <v>1049</v>
      </c>
      <c r="C1050" t="s">
        <v>1057</v>
      </c>
      <c r="D1050" t="s">
        <v>189</v>
      </c>
      <c r="E1050" t="s">
        <v>2084</v>
      </c>
      <c r="F1050" t="s">
        <v>1635</v>
      </c>
      <c r="H1050" t="s">
        <v>1643</v>
      </c>
    </row>
    <row r="1051" spans="1:8">
      <c r="A1051" t="s">
        <v>2085</v>
      </c>
      <c r="B1051">
        <v>1050</v>
      </c>
      <c r="C1051" t="s">
        <v>2641</v>
      </c>
      <c r="D1051" t="s">
        <v>2083</v>
      </c>
      <c r="E1051" t="s">
        <v>2084</v>
      </c>
      <c r="F1051" t="s">
        <v>1635</v>
      </c>
      <c r="H1051" t="s">
        <v>1640</v>
      </c>
    </row>
    <row r="1052" spans="1:8">
      <c r="A1052" t="s">
        <v>2539</v>
      </c>
      <c r="B1052">
        <v>1051</v>
      </c>
      <c r="C1052" t="s">
        <v>1057</v>
      </c>
      <c r="D1052" t="s">
        <v>189</v>
      </c>
      <c r="E1052" t="s">
        <v>2087</v>
      </c>
      <c r="F1052" t="s">
        <v>1635</v>
      </c>
      <c r="H1052" t="s">
        <v>1643</v>
      </c>
    </row>
    <row r="1053" spans="1:8">
      <c r="A1053" t="s">
        <v>2088</v>
      </c>
      <c r="B1053">
        <v>1052</v>
      </c>
      <c r="C1053" t="s">
        <v>2641</v>
      </c>
      <c r="D1053" t="s">
        <v>2086</v>
      </c>
      <c r="E1053" t="s">
        <v>2087</v>
      </c>
      <c r="F1053" t="s">
        <v>1635</v>
      </c>
      <c r="H1053" t="s">
        <v>1640</v>
      </c>
    </row>
    <row r="1054" spans="1:8">
      <c r="A1054" t="s">
        <v>2540</v>
      </c>
      <c r="B1054">
        <v>1053</v>
      </c>
      <c r="C1054" t="s">
        <v>1057</v>
      </c>
      <c r="D1054" t="s">
        <v>189</v>
      </c>
      <c r="E1054" t="s">
        <v>2090</v>
      </c>
      <c r="F1054" t="s">
        <v>1635</v>
      </c>
      <c r="H1054" t="s">
        <v>1643</v>
      </c>
    </row>
    <row r="1055" spans="1:8">
      <c r="A1055" t="s">
        <v>2091</v>
      </c>
      <c r="B1055">
        <v>1054</v>
      </c>
      <c r="C1055" t="s">
        <v>2641</v>
      </c>
      <c r="D1055" t="s">
        <v>2089</v>
      </c>
      <c r="E1055" t="s">
        <v>2090</v>
      </c>
      <c r="F1055" t="s">
        <v>1635</v>
      </c>
      <c r="H1055" t="s">
        <v>1640</v>
      </c>
    </row>
    <row r="1056" spans="1:8">
      <c r="A1056" t="s">
        <v>2541</v>
      </c>
      <c r="B1056">
        <v>1055</v>
      </c>
      <c r="C1056" t="s">
        <v>1057</v>
      </c>
      <c r="D1056" t="s">
        <v>189</v>
      </c>
      <c r="E1056" t="s">
        <v>2093</v>
      </c>
      <c r="F1056" t="s">
        <v>1635</v>
      </c>
      <c r="H1056" t="s">
        <v>1643</v>
      </c>
    </row>
    <row r="1057" spans="1:8">
      <c r="A1057" t="s">
        <v>2094</v>
      </c>
      <c r="B1057">
        <v>1056</v>
      </c>
      <c r="C1057" t="s">
        <v>2641</v>
      </c>
      <c r="D1057" t="s">
        <v>2092</v>
      </c>
      <c r="E1057" t="s">
        <v>2093</v>
      </c>
      <c r="F1057" t="s">
        <v>1635</v>
      </c>
      <c r="H1057" t="s">
        <v>1640</v>
      </c>
    </row>
    <row r="1058" spans="1:8">
      <c r="A1058" t="s">
        <v>2542</v>
      </c>
      <c r="B1058">
        <v>1057</v>
      </c>
      <c r="C1058" t="s">
        <v>1057</v>
      </c>
      <c r="D1058" t="s">
        <v>189</v>
      </c>
      <c r="E1058" t="s">
        <v>2096</v>
      </c>
      <c r="F1058" t="s">
        <v>1635</v>
      </c>
      <c r="H1058" t="s">
        <v>1643</v>
      </c>
    </row>
    <row r="1059" spans="1:8">
      <c r="A1059" t="s">
        <v>2097</v>
      </c>
      <c r="B1059">
        <v>1058</v>
      </c>
      <c r="C1059" t="s">
        <v>2641</v>
      </c>
      <c r="D1059" t="s">
        <v>2095</v>
      </c>
      <c r="E1059" t="s">
        <v>2096</v>
      </c>
      <c r="F1059" t="s">
        <v>1635</v>
      </c>
      <c r="H1059" t="s">
        <v>1640</v>
      </c>
    </row>
    <row r="1060" spans="1:8">
      <c r="A1060" t="s">
        <v>2543</v>
      </c>
      <c r="B1060">
        <v>1059</v>
      </c>
      <c r="C1060" t="s">
        <v>1057</v>
      </c>
      <c r="D1060" t="s">
        <v>189</v>
      </c>
      <c r="E1060" t="s">
        <v>2099</v>
      </c>
      <c r="F1060" t="s">
        <v>1635</v>
      </c>
      <c r="H1060" t="s">
        <v>1643</v>
      </c>
    </row>
    <row r="1061" spans="1:8">
      <c r="A1061" t="s">
        <v>2100</v>
      </c>
      <c r="B1061">
        <v>1060</v>
      </c>
      <c r="C1061" t="s">
        <v>2641</v>
      </c>
      <c r="D1061" t="s">
        <v>2098</v>
      </c>
      <c r="E1061" t="s">
        <v>2099</v>
      </c>
      <c r="F1061" t="s">
        <v>1635</v>
      </c>
      <c r="H1061" t="s">
        <v>1640</v>
      </c>
    </row>
    <row r="1062" spans="1:8">
      <c r="A1062" t="s">
        <v>2544</v>
      </c>
      <c r="B1062">
        <v>1061</v>
      </c>
      <c r="C1062" t="s">
        <v>1057</v>
      </c>
      <c r="D1062" t="s">
        <v>189</v>
      </c>
      <c r="E1062" t="s">
        <v>2102</v>
      </c>
      <c r="F1062" t="s">
        <v>1635</v>
      </c>
      <c r="H1062" t="s">
        <v>1643</v>
      </c>
    </row>
    <row r="1063" spans="1:8">
      <c r="A1063" t="s">
        <v>2103</v>
      </c>
      <c r="B1063">
        <v>1062</v>
      </c>
      <c r="C1063" t="s">
        <v>2641</v>
      </c>
      <c r="D1063" t="s">
        <v>2101</v>
      </c>
      <c r="E1063" t="s">
        <v>2102</v>
      </c>
      <c r="F1063" t="s">
        <v>1635</v>
      </c>
      <c r="H1063" t="s">
        <v>1640</v>
      </c>
    </row>
    <row r="1064" spans="1:8">
      <c r="A1064" t="s">
        <v>2545</v>
      </c>
      <c r="B1064">
        <v>1063</v>
      </c>
      <c r="C1064" t="s">
        <v>1057</v>
      </c>
      <c r="D1064" t="s">
        <v>189</v>
      </c>
      <c r="E1064" t="s">
        <v>2105</v>
      </c>
      <c r="F1064" t="s">
        <v>1635</v>
      </c>
      <c r="H1064" t="s">
        <v>1643</v>
      </c>
    </row>
    <row r="1065" spans="1:8">
      <c r="A1065" t="s">
        <v>2106</v>
      </c>
      <c r="B1065">
        <v>1064</v>
      </c>
      <c r="C1065" t="s">
        <v>2641</v>
      </c>
      <c r="D1065" t="s">
        <v>2104</v>
      </c>
      <c r="E1065" t="s">
        <v>2105</v>
      </c>
      <c r="F1065" t="s">
        <v>1635</v>
      </c>
      <c r="H1065" t="s">
        <v>1640</v>
      </c>
    </row>
    <row r="1066" spans="1:8">
      <c r="A1066" t="s">
        <v>2546</v>
      </c>
      <c r="B1066">
        <v>1065</v>
      </c>
      <c r="C1066" t="s">
        <v>1057</v>
      </c>
      <c r="D1066" t="s">
        <v>189</v>
      </c>
      <c r="E1066" t="s">
        <v>2108</v>
      </c>
      <c r="F1066" t="s">
        <v>1635</v>
      </c>
      <c r="H1066" t="s">
        <v>1643</v>
      </c>
    </row>
    <row r="1067" spans="1:8">
      <c r="A1067" t="s">
        <v>2109</v>
      </c>
      <c r="B1067">
        <v>1066</v>
      </c>
      <c r="C1067" t="s">
        <v>2641</v>
      </c>
      <c r="D1067" t="s">
        <v>2107</v>
      </c>
      <c r="E1067" t="s">
        <v>2108</v>
      </c>
      <c r="F1067" t="s">
        <v>1635</v>
      </c>
      <c r="H1067" t="s">
        <v>1640</v>
      </c>
    </row>
    <row r="1068" spans="1:8">
      <c r="A1068" t="s">
        <v>2547</v>
      </c>
      <c r="B1068">
        <v>1067</v>
      </c>
      <c r="C1068" t="s">
        <v>1057</v>
      </c>
      <c r="D1068" t="s">
        <v>189</v>
      </c>
      <c r="E1068" t="s">
        <v>2111</v>
      </c>
      <c r="F1068" t="s">
        <v>1635</v>
      </c>
      <c r="H1068" t="s">
        <v>1643</v>
      </c>
    </row>
    <row r="1069" spans="1:8">
      <c r="A1069" t="s">
        <v>2112</v>
      </c>
      <c r="B1069">
        <v>1068</v>
      </c>
      <c r="C1069" t="s">
        <v>2641</v>
      </c>
      <c r="D1069" t="s">
        <v>2110</v>
      </c>
      <c r="E1069" t="s">
        <v>2111</v>
      </c>
      <c r="F1069" t="s">
        <v>1635</v>
      </c>
      <c r="H1069" t="s">
        <v>1640</v>
      </c>
    </row>
    <row r="1070" spans="1:8">
      <c r="A1070" t="s">
        <v>2114</v>
      </c>
      <c r="B1070">
        <v>1069</v>
      </c>
      <c r="C1070" t="s">
        <v>2641</v>
      </c>
      <c r="D1070" t="s">
        <v>2113</v>
      </c>
      <c r="E1070" t="s">
        <v>189</v>
      </c>
      <c r="F1070" t="s">
        <v>1635</v>
      </c>
      <c r="H1070" t="s">
        <v>1640</v>
      </c>
    </row>
    <row r="1071" spans="1:8">
      <c r="A1071" t="s">
        <v>2548</v>
      </c>
      <c r="B1071">
        <v>1070</v>
      </c>
      <c r="C1071" t="s">
        <v>1057</v>
      </c>
      <c r="D1071" t="s">
        <v>189</v>
      </c>
      <c r="E1071" t="s">
        <v>2116</v>
      </c>
      <c r="F1071" t="s">
        <v>1635</v>
      </c>
      <c r="H1071" t="s">
        <v>1643</v>
      </c>
    </row>
    <row r="1072" spans="1:8">
      <c r="A1072" t="s">
        <v>2117</v>
      </c>
      <c r="B1072">
        <v>1071</v>
      </c>
      <c r="C1072" t="s">
        <v>2641</v>
      </c>
      <c r="D1072" t="s">
        <v>2115</v>
      </c>
      <c r="E1072" t="s">
        <v>2116</v>
      </c>
      <c r="F1072" t="s">
        <v>1635</v>
      </c>
      <c r="H1072" t="s">
        <v>1640</v>
      </c>
    </row>
    <row r="1073" spans="1:8">
      <c r="A1073" t="s">
        <v>2549</v>
      </c>
      <c r="B1073">
        <v>1072</v>
      </c>
      <c r="C1073" t="s">
        <v>1057</v>
      </c>
      <c r="D1073" t="s">
        <v>189</v>
      </c>
      <c r="E1073" t="s">
        <v>2119</v>
      </c>
      <c r="F1073" t="s">
        <v>1635</v>
      </c>
      <c r="H1073" t="s">
        <v>1643</v>
      </c>
    </row>
    <row r="1074" spans="1:8">
      <c r="A1074" t="s">
        <v>2120</v>
      </c>
      <c r="B1074">
        <v>1073</v>
      </c>
      <c r="C1074" t="s">
        <v>2641</v>
      </c>
      <c r="D1074" t="s">
        <v>2118</v>
      </c>
      <c r="E1074" t="s">
        <v>2119</v>
      </c>
      <c r="F1074" t="s">
        <v>1635</v>
      </c>
      <c r="H1074" t="s">
        <v>1640</v>
      </c>
    </row>
    <row r="1075" spans="1:8">
      <c r="A1075" t="s">
        <v>2550</v>
      </c>
      <c r="B1075">
        <v>1074</v>
      </c>
      <c r="C1075" t="s">
        <v>1057</v>
      </c>
      <c r="D1075" t="s">
        <v>189</v>
      </c>
      <c r="E1075" t="s">
        <v>2122</v>
      </c>
      <c r="F1075" t="s">
        <v>1635</v>
      </c>
      <c r="H1075" t="s">
        <v>1643</v>
      </c>
    </row>
    <row r="1076" spans="1:8">
      <c r="A1076" t="s">
        <v>2123</v>
      </c>
      <c r="B1076">
        <v>1075</v>
      </c>
      <c r="C1076" t="s">
        <v>2641</v>
      </c>
      <c r="D1076" t="s">
        <v>2121</v>
      </c>
      <c r="E1076" t="s">
        <v>2122</v>
      </c>
      <c r="F1076" t="s">
        <v>1635</v>
      </c>
      <c r="H1076" t="s">
        <v>1640</v>
      </c>
    </row>
    <row r="1077" spans="1:8">
      <c r="A1077" t="s">
        <v>2551</v>
      </c>
      <c r="B1077">
        <v>1076</v>
      </c>
      <c r="C1077" t="s">
        <v>1057</v>
      </c>
      <c r="D1077" t="s">
        <v>189</v>
      </c>
      <c r="E1077" t="s">
        <v>2125</v>
      </c>
      <c r="F1077" t="s">
        <v>1635</v>
      </c>
      <c r="H1077" t="s">
        <v>1643</v>
      </c>
    </row>
    <row r="1078" spans="1:8">
      <c r="A1078" t="s">
        <v>2126</v>
      </c>
      <c r="B1078">
        <v>1077</v>
      </c>
      <c r="C1078" t="s">
        <v>2641</v>
      </c>
      <c r="D1078" t="s">
        <v>2124</v>
      </c>
      <c r="E1078" t="s">
        <v>2125</v>
      </c>
      <c r="F1078" t="s">
        <v>1635</v>
      </c>
      <c r="H1078" t="s">
        <v>1640</v>
      </c>
    </row>
    <row r="1079" spans="1:8">
      <c r="A1079" t="s">
        <v>2552</v>
      </c>
      <c r="B1079">
        <v>1078</v>
      </c>
      <c r="C1079" t="s">
        <v>1057</v>
      </c>
      <c r="D1079" t="s">
        <v>189</v>
      </c>
      <c r="E1079" t="s">
        <v>2128</v>
      </c>
      <c r="F1079" t="s">
        <v>1635</v>
      </c>
      <c r="H1079" t="s">
        <v>1643</v>
      </c>
    </row>
    <row r="1080" spans="1:8">
      <c r="A1080" t="s">
        <v>2129</v>
      </c>
      <c r="B1080">
        <v>1079</v>
      </c>
      <c r="C1080" t="s">
        <v>2641</v>
      </c>
      <c r="D1080" t="s">
        <v>2127</v>
      </c>
      <c r="E1080" t="s">
        <v>2128</v>
      </c>
      <c r="F1080" t="s">
        <v>1635</v>
      </c>
      <c r="H1080" t="s">
        <v>1640</v>
      </c>
    </row>
    <row r="1081" spans="1:8">
      <c r="A1081" t="s">
        <v>2553</v>
      </c>
      <c r="B1081">
        <v>1080</v>
      </c>
      <c r="C1081" t="s">
        <v>1057</v>
      </c>
      <c r="D1081" t="s">
        <v>189</v>
      </c>
      <c r="E1081" t="s">
        <v>2131</v>
      </c>
      <c r="F1081" t="s">
        <v>1635</v>
      </c>
      <c r="H1081" t="s">
        <v>1643</v>
      </c>
    </row>
    <row r="1082" spans="1:8">
      <c r="A1082" t="s">
        <v>2132</v>
      </c>
      <c r="B1082">
        <v>1081</v>
      </c>
      <c r="C1082" t="s">
        <v>2641</v>
      </c>
      <c r="D1082" t="s">
        <v>2130</v>
      </c>
      <c r="E1082" t="s">
        <v>2131</v>
      </c>
      <c r="F1082" t="s">
        <v>1635</v>
      </c>
      <c r="H1082" t="s">
        <v>1640</v>
      </c>
    </row>
    <row r="1083" spans="1:8">
      <c r="A1083" t="s">
        <v>2554</v>
      </c>
      <c r="B1083">
        <v>1082</v>
      </c>
      <c r="C1083" t="s">
        <v>1057</v>
      </c>
      <c r="D1083" t="s">
        <v>189</v>
      </c>
      <c r="E1083" t="s">
        <v>2134</v>
      </c>
      <c r="F1083" t="s">
        <v>1635</v>
      </c>
      <c r="H1083" t="s">
        <v>1643</v>
      </c>
    </row>
    <row r="1084" spans="1:8">
      <c r="A1084" t="s">
        <v>2135</v>
      </c>
      <c r="B1084">
        <v>1083</v>
      </c>
      <c r="C1084" t="s">
        <v>2641</v>
      </c>
      <c r="D1084" t="s">
        <v>2133</v>
      </c>
      <c r="E1084" t="s">
        <v>2134</v>
      </c>
      <c r="F1084" t="s">
        <v>1635</v>
      </c>
      <c r="H1084" t="s">
        <v>1640</v>
      </c>
    </row>
    <row r="1085" spans="1:8">
      <c r="A1085" t="s">
        <v>2555</v>
      </c>
      <c r="B1085">
        <v>1084</v>
      </c>
      <c r="C1085" t="s">
        <v>1057</v>
      </c>
      <c r="D1085" t="s">
        <v>189</v>
      </c>
      <c r="E1085" t="s">
        <v>2137</v>
      </c>
      <c r="F1085" t="s">
        <v>1635</v>
      </c>
      <c r="H1085" t="s">
        <v>1643</v>
      </c>
    </row>
    <row r="1086" spans="1:8">
      <c r="A1086" t="s">
        <v>2138</v>
      </c>
      <c r="B1086">
        <v>1085</v>
      </c>
      <c r="C1086" t="s">
        <v>2641</v>
      </c>
      <c r="D1086" t="s">
        <v>2136</v>
      </c>
      <c r="E1086" t="s">
        <v>2137</v>
      </c>
      <c r="F1086" t="s">
        <v>1635</v>
      </c>
      <c r="H1086" t="s">
        <v>1640</v>
      </c>
    </row>
    <row r="1087" spans="1:8">
      <c r="A1087" t="s">
        <v>2556</v>
      </c>
      <c r="B1087">
        <v>1086</v>
      </c>
      <c r="C1087" t="s">
        <v>1057</v>
      </c>
      <c r="D1087" t="s">
        <v>189</v>
      </c>
      <c r="E1087" t="s">
        <v>2140</v>
      </c>
      <c r="F1087" t="s">
        <v>1635</v>
      </c>
      <c r="H1087" t="s">
        <v>1643</v>
      </c>
    </row>
    <row r="1088" spans="1:8">
      <c r="A1088" t="s">
        <v>2141</v>
      </c>
      <c r="B1088">
        <v>1087</v>
      </c>
      <c r="C1088" t="s">
        <v>2641</v>
      </c>
      <c r="D1088" t="s">
        <v>2139</v>
      </c>
      <c r="E1088" t="s">
        <v>2140</v>
      </c>
      <c r="F1088" t="s">
        <v>1635</v>
      </c>
      <c r="H1088" t="s">
        <v>1640</v>
      </c>
    </row>
    <row r="1089" spans="1:8">
      <c r="A1089" t="s">
        <v>2557</v>
      </c>
      <c r="B1089">
        <v>1088</v>
      </c>
      <c r="C1089" t="s">
        <v>1057</v>
      </c>
      <c r="D1089" t="s">
        <v>189</v>
      </c>
      <c r="E1089" t="s">
        <v>2143</v>
      </c>
      <c r="F1089" t="s">
        <v>1635</v>
      </c>
      <c r="H1089" t="s">
        <v>1643</v>
      </c>
    </row>
    <row r="1090" spans="1:8">
      <c r="A1090" t="s">
        <v>2144</v>
      </c>
      <c r="B1090">
        <v>1089</v>
      </c>
      <c r="C1090" t="s">
        <v>2641</v>
      </c>
      <c r="D1090" t="s">
        <v>2142</v>
      </c>
      <c r="E1090" t="s">
        <v>2143</v>
      </c>
      <c r="F1090" t="s">
        <v>1635</v>
      </c>
      <c r="H1090" t="s">
        <v>1640</v>
      </c>
    </row>
    <row r="1091" spans="1:8">
      <c r="A1091" t="s">
        <v>2558</v>
      </c>
      <c r="B1091">
        <v>1090</v>
      </c>
      <c r="C1091" t="s">
        <v>1057</v>
      </c>
      <c r="D1091" t="s">
        <v>189</v>
      </c>
      <c r="E1091" t="s">
        <v>2146</v>
      </c>
      <c r="F1091" t="s">
        <v>1635</v>
      </c>
      <c r="H1091" t="s">
        <v>1643</v>
      </c>
    </row>
    <row r="1092" spans="1:8">
      <c r="A1092" t="s">
        <v>2147</v>
      </c>
      <c r="B1092">
        <v>1091</v>
      </c>
      <c r="C1092" t="s">
        <v>2641</v>
      </c>
      <c r="D1092" t="s">
        <v>2145</v>
      </c>
      <c r="E1092" t="s">
        <v>2146</v>
      </c>
      <c r="F1092" t="s">
        <v>1635</v>
      </c>
      <c r="H1092" t="s">
        <v>1640</v>
      </c>
    </row>
    <row r="1093" spans="1:8">
      <c r="A1093" t="s">
        <v>2559</v>
      </c>
      <c r="B1093">
        <v>1092</v>
      </c>
      <c r="C1093" t="s">
        <v>1057</v>
      </c>
      <c r="D1093" t="s">
        <v>189</v>
      </c>
      <c r="E1093" t="s">
        <v>2149</v>
      </c>
      <c r="F1093" t="s">
        <v>1635</v>
      </c>
      <c r="H1093" t="s">
        <v>1643</v>
      </c>
    </row>
    <row r="1094" spans="1:8">
      <c r="A1094" t="s">
        <v>2150</v>
      </c>
      <c r="B1094">
        <v>1093</v>
      </c>
      <c r="C1094" t="s">
        <v>2641</v>
      </c>
      <c r="D1094" t="s">
        <v>2148</v>
      </c>
      <c r="E1094" t="s">
        <v>2149</v>
      </c>
      <c r="F1094" t="s">
        <v>1635</v>
      </c>
      <c r="H1094" t="s">
        <v>1640</v>
      </c>
    </row>
    <row r="1095" spans="1:8">
      <c r="A1095" t="s">
        <v>2560</v>
      </c>
      <c r="B1095">
        <v>1094</v>
      </c>
      <c r="C1095" t="s">
        <v>1057</v>
      </c>
      <c r="D1095" t="s">
        <v>189</v>
      </c>
      <c r="E1095" t="s">
        <v>2152</v>
      </c>
      <c r="F1095" t="s">
        <v>1635</v>
      </c>
      <c r="H1095" t="s">
        <v>1643</v>
      </c>
    </row>
    <row r="1096" spans="1:8">
      <c r="A1096" t="s">
        <v>2153</v>
      </c>
      <c r="B1096">
        <v>1095</v>
      </c>
      <c r="C1096" t="s">
        <v>2641</v>
      </c>
      <c r="D1096" t="s">
        <v>2151</v>
      </c>
      <c r="E1096" t="s">
        <v>2152</v>
      </c>
      <c r="F1096" t="s">
        <v>1635</v>
      </c>
      <c r="H1096" t="s">
        <v>1640</v>
      </c>
    </row>
    <row r="1097" spans="1:8">
      <c r="A1097" t="s">
        <v>2561</v>
      </c>
      <c r="B1097">
        <v>1096</v>
      </c>
      <c r="C1097" t="s">
        <v>1057</v>
      </c>
      <c r="D1097" t="s">
        <v>189</v>
      </c>
      <c r="E1097" t="s">
        <v>2155</v>
      </c>
      <c r="F1097" t="s">
        <v>1635</v>
      </c>
      <c r="H1097" t="s">
        <v>1643</v>
      </c>
    </row>
    <row r="1098" spans="1:8">
      <c r="A1098" t="s">
        <v>2156</v>
      </c>
      <c r="B1098">
        <v>1097</v>
      </c>
      <c r="C1098" t="s">
        <v>2641</v>
      </c>
      <c r="D1098" t="s">
        <v>2154</v>
      </c>
      <c r="E1098" t="s">
        <v>2155</v>
      </c>
      <c r="F1098" t="s">
        <v>1635</v>
      </c>
      <c r="H1098" t="s">
        <v>1640</v>
      </c>
    </row>
    <row r="1099" spans="1:8">
      <c r="A1099" t="s">
        <v>2562</v>
      </c>
      <c r="B1099">
        <v>1098</v>
      </c>
      <c r="C1099" t="s">
        <v>1057</v>
      </c>
      <c r="D1099" t="s">
        <v>189</v>
      </c>
      <c r="E1099" t="s">
        <v>2158</v>
      </c>
      <c r="F1099" t="s">
        <v>1635</v>
      </c>
      <c r="H1099" t="s">
        <v>1643</v>
      </c>
    </row>
    <row r="1100" spans="1:8">
      <c r="A1100" t="s">
        <v>2159</v>
      </c>
      <c r="B1100">
        <v>1099</v>
      </c>
      <c r="C1100" t="s">
        <v>2641</v>
      </c>
      <c r="D1100" t="s">
        <v>2157</v>
      </c>
      <c r="E1100" t="s">
        <v>2158</v>
      </c>
      <c r="F1100" t="s">
        <v>1635</v>
      </c>
      <c r="H1100" t="s">
        <v>1640</v>
      </c>
    </row>
    <row r="1101" spans="1:8">
      <c r="A1101" t="s">
        <v>2563</v>
      </c>
      <c r="B1101">
        <v>1100</v>
      </c>
      <c r="C1101" t="s">
        <v>1057</v>
      </c>
      <c r="D1101" t="s">
        <v>189</v>
      </c>
      <c r="E1101" t="s">
        <v>2161</v>
      </c>
      <c r="F1101" t="s">
        <v>1635</v>
      </c>
      <c r="H1101" t="s">
        <v>1643</v>
      </c>
    </row>
    <row r="1102" spans="1:8">
      <c r="A1102" t="s">
        <v>2162</v>
      </c>
      <c r="B1102">
        <v>1101</v>
      </c>
      <c r="C1102" t="s">
        <v>2641</v>
      </c>
      <c r="D1102" t="s">
        <v>2160</v>
      </c>
      <c r="E1102" t="s">
        <v>2161</v>
      </c>
      <c r="F1102" t="s">
        <v>1635</v>
      </c>
      <c r="H1102" t="s">
        <v>1640</v>
      </c>
    </row>
    <row r="1103" spans="1:8">
      <c r="A1103" t="s">
        <v>2564</v>
      </c>
      <c r="B1103">
        <v>1102</v>
      </c>
      <c r="C1103" t="s">
        <v>1057</v>
      </c>
      <c r="D1103" t="s">
        <v>189</v>
      </c>
      <c r="E1103" t="s">
        <v>2164</v>
      </c>
      <c r="F1103" t="s">
        <v>1635</v>
      </c>
      <c r="H1103" t="s">
        <v>1643</v>
      </c>
    </row>
    <row r="1104" spans="1:8">
      <c r="A1104" t="s">
        <v>2165</v>
      </c>
      <c r="B1104">
        <v>1103</v>
      </c>
      <c r="C1104" t="s">
        <v>2641</v>
      </c>
      <c r="D1104" t="s">
        <v>2163</v>
      </c>
      <c r="E1104" t="s">
        <v>2164</v>
      </c>
      <c r="F1104" t="s">
        <v>1635</v>
      </c>
      <c r="H1104" t="s">
        <v>1640</v>
      </c>
    </row>
    <row r="1105" spans="1:8">
      <c r="A1105" t="s">
        <v>2565</v>
      </c>
      <c r="B1105">
        <v>1104</v>
      </c>
      <c r="C1105" t="s">
        <v>1057</v>
      </c>
      <c r="D1105" t="s">
        <v>189</v>
      </c>
      <c r="E1105" t="s">
        <v>2167</v>
      </c>
      <c r="F1105" t="s">
        <v>1635</v>
      </c>
      <c r="H1105" t="s">
        <v>1643</v>
      </c>
    </row>
    <row r="1106" spans="1:8">
      <c r="A1106" t="s">
        <v>2168</v>
      </c>
      <c r="B1106">
        <v>1105</v>
      </c>
      <c r="C1106" t="s">
        <v>2641</v>
      </c>
      <c r="D1106" t="s">
        <v>2166</v>
      </c>
      <c r="E1106" t="s">
        <v>2167</v>
      </c>
      <c r="F1106" t="s">
        <v>1635</v>
      </c>
      <c r="H1106" t="s">
        <v>1640</v>
      </c>
    </row>
    <row r="1107" spans="1:8">
      <c r="A1107" t="s">
        <v>2566</v>
      </c>
      <c r="B1107">
        <v>1106</v>
      </c>
      <c r="C1107" t="s">
        <v>1057</v>
      </c>
      <c r="D1107" t="s">
        <v>189</v>
      </c>
      <c r="E1107" t="s">
        <v>2170</v>
      </c>
      <c r="F1107" t="s">
        <v>1635</v>
      </c>
      <c r="H1107" t="s">
        <v>1643</v>
      </c>
    </row>
    <row r="1108" spans="1:8">
      <c r="A1108" t="s">
        <v>2171</v>
      </c>
      <c r="B1108">
        <v>1107</v>
      </c>
      <c r="C1108" t="s">
        <v>2641</v>
      </c>
      <c r="D1108" t="s">
        <v>2169</v>
      </c>
      <c r="E1108" t="s">
        <v>2170</v>
      </c>
      <c r="F1108" t="s">
        <v>1635</v>
      </c>
      <c r="H1108" t="s">
        <v>1640</v>
      </c>
    </row>
    <row r="1109" spans="1:8">
      <c r="A1109" t="s">
        <v>2567</v>
      </c>
      <c r="B1109">
        <v>1108</v>
      </c>
      <c r="C1109" t="s">
        <v>1057</v>
      </c>
      <c r="D1109" t="s">
        <v>189</v>
      </c>
      <c r="E1109" t="s">
        <v>2173</v>
      </c>
      <c r="F1109" t="s">
        <v>1635</v>
      </c>
      <c r="H1109" t="s">
        <v>1643</v>
      </c>
    </row>
    <row r="1110" spans="1:8">
      <c r="A1110" t="s">
        <v>2174</v>
      </c>
      <c r="B1110">
        <v>1109</v>
      </c>
      <c r="C1110" t="s">
        <v>2641</v>
      </c>
      <c r="D1110" t="s">
        <v>2172</v>
      </c>
      <c r="E1110" t="s">
        <v>2173</v>
      </c>
      <c r="F1110" t="s">
        <v>1635</v>
      </c>
      <c r="H1110" t="s">
        <v>1640</v>
      </c>
    </row>
    <row r="1111" spans="1:8">
      <c r="A1111" t="s">
        <v>2568</v>
      </c>
      <c r="B1111">
        <v>1110</v>
      </c>
      <c r="C1111" t="s">
        <v>1057</v>
      </c>
      <c r="D1111" t="s">
        <v>189</v>
      </c>
      <c r="E1111" t="s">
        <v>2176</v>
      </c>
      <c r="F1111" t="s">
        <v>1635</v>
      </c>
      <c r="H1111" t="s">
        <v>1643</v>
      </c>
    </row>
    <row r="1112" spans="1:8">
      <c r="A1112" t="s">
        <v>2177</v>
      </c>
      <c r="B1112">
        <v>1111</v>
      </c>
      <c r="C1112" t="s">
        <v>2641</v>
      </c>
      <c r="D1112" t="s">
        <v>2175</v>
      </c>
      <c r="E1112" t="s">
        <v>2176</v>
      </c>
      <c r="F1112" t="s">
        <v>1635</v>
      </c>
      <c r="H1112" t="s">
        <v>1640</v>
      </c>
    </row>
    <row r="1113" spans="1:8">
      <c r="A1113" t="s">
        <v>2569</v>
      </c>
      <c r="B1113">
        <v>1112</v>
      </c>
      <c r="C1113" t="s">
        <v>1057</v>
      </c>
      <c r="D1113" t="s">
        <v>189</v>
      </c>
      <c r="E1113" t="s">
        <v>2179</v>
      </c>
      <c r="F1113" t="s">
        <v>1635</v>
      </c>
      <c r="H1113" t="s">
        <v>1643</v>
      </c>
    </row>
    <row r="1114" spans="1:8">
      <c r="A1114" t="s">
        <v>2180</v>
      </c>
      <c r="B1114">
        <v>1113</v>
      </c>
      <c r="C1114" t="s">
        <v>2641</v>
      </c>
      <c r="D1114" t="s">
        <v>2178</v>
      </c>
      <c r="E1114" t="s">
        <v>2179</v>
      </c>
      <c r="F1114" t="s">
        <v>1635</v>
      </c>
      <c r="H1114" t="s">
        <v>1640</v>
      </c>
    </row>
    <row r="1115" spans="1:8">
      <c r="A1115" t="s">
        <v>2570</v>
      </c>
      <c r="B1115">
        <v>1114</v>
      </c>
      <c r="C1115" t="s">
        <v>1057</v>
      </c>
      <c r="D1115" t="s">
        <v>189</v>
      </c>
      <c r="E1115" t="s">
        <v>2182</v>
      </c>
      <c r="F1115" t="s">
        <v>1635</v>
      </c>
      <c r="H1115" t="s">
        <v>1643</v>
      </c>
    </row>
    <row r="1116" spans="1:8">
      <c r="A1116" t="s">
        <v>2183</v>
      </c>
      <c r="B1116">
        <v>1115</v>
      </c>
      <c r="C1116" t="s">
        <v>2641</v>
      </c>
      <c r="D1116" t="s">
        <v>2181</v>
      </c>
      <c r="E1116" t="s">
        <v>2182</v>
      </c>
      <c r="F1116" t="s">
        <v>1635</v>
      </c>
      <c r="H1116" t="s">
        <v>1640</v>
      </c>
    </row>
    <row r="1117" spans="1:8">
      <c r="A1117" t="s">
        <v>2571</v>
      </c>
      <c r="B1117">
        <v>1116</v>
      </c>
      <c r="C1117" t="s">
        <v>1057</v>
      </c>
      <c r="D1117" t="s">
        <v>189</v>
      </c>
      <c r="E1117" t="s">
        <v>2185</v>
      </c>
      <c r="F1117" t="s">
        <v>1635</v>
      </c>
      <c r="H1117" t="s">
        <v>1643</v>
      </c>
    </row>
    <row r="1118" spans="1:8">
      <c r="A1118" t="s">
        <v>2186</v>
      </c>
      <c r="B1118">
        <v>1117</v>
      </c>
      <c r="C1118" t="s">
        <v>2641</v>
      </c>
      <c r="D1118" t="s">
        <v>2184</v>
      </c>
      <c r="E1118" t="s">
        <v>2185</v>
      </c>
      <c r="F1118" t="s">
        <v>1635</v>
      </c>
      <c r="H1118" t="s">
        <v>1640</v>
      </c>
    </row>
    <row r="1119" spans="1:8">
      <c r="A1119" t="s">
        <v>2572</v>
      </c>
      <c r="B1119">
        <v>1118</v>
      </c>
      <c r="C1119" t="s">
        <v>1057</v>
      </c>
      <c r="D1119" t="s">
        <v>189</v>
      </c>
      <c r="E1119" t="s">
        <v>2188</v>
      </c>
      <c r="F1119" t="s">
        <v>1635</v>
      </c>
      <c r="H1119" t="s">
        <v>1643</v>
      </c>
    </row>
    <row r="1120" spans="1:8">
      <c r="A1120" t="s">
        <v>2189</v>
      </c>
      <c r="B1120">
        <v>1119</v>
      </c>
      <c r="C1120" t="s">
        <v>2641</v>
      </c>
      <c r="D1120" t="s">
        <v>2187</v>
      </c>
      <c r="E1120" t="s">
        <v>2188</v>
      </c>
      <c r="F1120" t="s">
        <v>1635</v>
      </c>
      <c r="H1120" t="s">
        <v>1640</v>
      </c>
    </row>
    <row r="1121" spans="1:8">
      <c r="A1121" t="s">
        <v>2573</v>
      </c>
      <c r="B1121">
        <v>1120</v>
      </c>
      <c r="C1121" t="s">
        <v>1057</v>
      </c>
      <c r="D1121" t="s">
        <v>189</v>
      </c>
      <c r="E1121" t="s">
        <v>2191</v>
      </c>
      <c r="F1121" t="s">
        <v>1635</v>
      </c>
      <c r="H1121" t="s">
        <v>1643</v>
      </c>
    </row>
    <row r="1122" spans="1:8">
      <c r="A1122" t="s">
        <v>2192</v>
      </c>
      <c r="B1122">
        <v>1121</v>
      </c>
      <c r="C1122" t="s">
        <v>2641</v>
      </c>
      <c r="D1122" t="s">
        <v>2190</v>
      </c>
      <c r="E1122" t="s">
        <v>2191</v>
      </c>
      <c r="F1122" t="s">
        <v>1635</v>
      </c>
      <c r="H1122" t="s">
        <v>1640</v>
      </c>
    </row>
    <row r="1123" spans="1:8">
      <c r="A1123" t="s">
        <v>2574</v>
      </c>
      <c r="B1123">
        <v>1122</v>
      </c>
      <c r="C1123" t="s">
        <v>1057</v>
      </c>
      <c r="D1123" t="s">
        <v>189</v>
      </c>
      <c r="E1123" t="s">
        <v>2194</v>
      </c>
      <c r="F1123" t="s">
        <v>1635</v>
      </c>
      <c r="H1123" t="s">
        <v>1643</v>
      </c>
    </row>
    <row r="1124" spans="1:8">
      <c r="A1124" t="s">
        <v>2195</v>
      </c>
      <c r="B1124">
        <v>1123</v>
      </c>
      <c r="C1124" t="s">
        <v>2641</v>
      </c>
      <c r="D1124" t="s">
        <v>2193</v>
      </c>
      <c r="E1124" t="s">
        <v>2194</v>
      </c>
      <c r="F1124" t="s">
        <v>1635</v>
      </c>
      <c r="H1124" t="s">
        <v>1640</v>
      </c>
    </row>
    <row r="1125" spans="1:8">
      <c r="A1125" t="s">
        <v>2575</v>
      </c>
      <c r="B1125">
        <v>1124</v>
      </c>
      <c r="C1125" t="s">
        <v>1057</v>
      </c>
      <c r="D1125" t="s">
        <v>189</v>
      </c>
      <c r="E1125" t="s">
        <v>2197</v>
      </c>
      <c r="F1125" t="s">
        <v>1635</v>
      </c>
      <c r="H1125" t="s">
        <v>1643</v>
      </c>
    </row>
    <row r="1126" spans="1:8">
      <c r="A1126" t="s">
        <v>2198</v>
      </c>
      <c r="B1126">
        <v>1125</v>
      </c>
      <c r="C1126" t="s">
        <v>2641</v>
      </c>
      <c r="D1126" t="s">
        <v>2196</v>
      </c>
      <c r="E1126" t="s">
        <v>2197</v>
      </c>
      <c r="F1126" t="s">
        <v>1635</v>
      </c>
      <c r="H1126" t="s">
        <v>1640</v>
      </c>
    </row>
    <row r="1127" spans="1:8">
      <c r="A1127" t="s">
        <v>2576</v>
      </c>
      <c r="B1127">
        <v>1126</v>
      </c>
      <c r="C1127" t="s">
        <v>1057</v>
      </c>
      <c r="D1127" t="s">
        <v>189</v>
      </c>
      <c r="E1127" t="s">
        <v>2200</v>
      </c>
      <c r="F1127" t="s">
        <v>1635</v>
      </c>
      <c r="H1127" t="s">
        <v>1643</v>
      </c>
    </row>
    <row r="1128" spans="1:8">
      <c r="A1128" t="s">
        <v>2201</v>
      </c>
      <c r="B1128">
        <v>1127</v>
      </c>
      <c r="C1128" t="s">
        <v>2641</v>
      </c>
      <c r="D1128" t="s">
        <v>2199</v>
      </c>
      <c r="E1128" t="s">
        <v>2200</v>
      </c>
      <c r="F1128" t="s">
        <v>1635</v>
      </c>
      <c r="H1128" t="s">
        <v>1640</v>
      </c>
    </row>
    <row r="1129" spans="1:8">
      <c r="A1129" t="s">
        <v>2577</v>
      </c>
      <c r="B1129">
        <v>1128</v>
      </c>
      <c r="C1129" t="s">
        <v>1057</v>
      </c>
      <c r="D1129" t="s">
        <v>189</v>
      </c>
      <c r="E1129" t="s">
        <v>2203</v>
      </c>
      <c r="F1129" t="s">
        <v>1635</v>
      </c>
      <c r="H1129" t="s">
        <v>1643</v>
      </c>
    </row>
    <row r="1130" spans="1:8">
      <c r="A1130" t="s">
        <v>2204</v>
      </c>
      <c r="B1130">
        <v>1129</v>
      </c>
      <c r="C1130" t="s">
        <v>2641</v>
      </c>
      <c r="D1130" t="s">
        <v>2202</v>
      </c>
      <c r="E1130" t="s">
        <v>2203</v>
      </c>
      <c r="F1130" t="s">
        <v>1635</v>
      </c>
      <c r="H1130" t="s">
        <v>1640</v>
      </c>
    </row>
    <row r="1131" spans="1:8">
      <c r="A1131" t="s">
        <v>2578</v>
      </c>
      <c r="B1131">
        <v>1130</v>
      </c>
      <c r="C1131" t="s">
        <v>1057</v>
      </c>
      <c r="D1131" t="s">
        <v>189</v>
      </c>
      <c r="E1131" t="s">
        <v>2206</v>
      </c>
      <c r="F1131" t="s">
        <v>1635</v>
      </c>
      <c r="H1131" t="s">
        <v>1643</v>
      </c>
    </row>
    <row r="1132" spans="1:8">
      <c r="A1132" t="s">
        <v>2207</v>
      </c>
      <c r="B1132">
        <v>1131</v>
      </c>
      <c r="C1132" t="s">
        <v>2641</v>
      </c>
      <c r="D1132" t="s">
        <v>2205</v>
      </c>
      <c r="E1132" t="s">
        <v>2206</v>
      </c>
      <c r="F1132" t="s">
        <v>1635</v>
      </c>
      <c r="H1132" t="s">
        <v>1640</v>
      </c>
    </row>
    <row r="1133" spans="1:8">
      <c r="A1133" t="s">
        <v>2579</v>
      </c>
      <c r="B1133">
        <v>1132</v>
      </c>
      <c r="C1133" t="s">
        <v>1057</v>
      </c>
      <c r="D1133" t="s">
        <v>196</v>
      </c>
      <c r="E1133" t="s">
        <v>1651</v>
      </c>
      <c r="F1133" t="s">
        <v>1634</v>
      </c>
      <c r="H1133" t="s">
        <v>1643</v>
      </c>
    </row>
    <row r="1134" spans="1:8">
      <c r="A1134" t="s">
        <v>1652</v>
      </c>
      <c r="B1134">
        <v>1133</v>
      </c>
      <c r="C1134" t="s">
        <v>2641</v>
      </c>
      <c r="D1134" t="s">
        <v>1650</v>
      </c>
      <c r="E1134" t="s">
        <v>1651</v>
      </c>
      <c r="F1134" t="s">
        <v>1634</v>
      </c>
      <c r="H1134" t="s">
        <v>1640</v>
      </c>
    </row>
    <row r="1135" spans="1:8">
      <c r="A1135" t="s">
        <v>2580</v>
      </c>
      <c r="B1135">
        <v>1134</v>
      </c>
      <c r="C1135" t="s">
        <v>1057</v>
      </c>
      <c r="D1135" t="s">
        <v>196</v>
      </c>
      <c r="E1135" t="s">
        <v>2209</v>
      </c>
      <c r="F1135" t="s">
        <v>1634</v>
      </c>
      <c r="H1135" t="s">
        <v>1643</v>
      </c>
    </row>
    <row r="1136" spans="1:8">
      <c r="A1136" t="s">
        <v>2210</v>
      </c>
      <c r="B1136">
        <v>1135</v>
      </c>
      <c r="C1136" t="s">
        <v>2641</v>
      </c>
      <c r="D1136" t="s">
        <v>2208</v>
      </c>
      <c r="E1136" t="s">
        <v>2209</v>
      </c>
      <c r="F1136" t="s">
        <v>1634</v>
      </c>
      <c r="H1136" t="s">
        <v>1640</v>
      </c>
    </row>
    <row r="1137" spans="1:8">
      <c r="A1137" t="s">
        <v>2581</v>
      </c>
      <c r="B1137">
        <v>1136</v>
      </c>
      <c r="C1137" t="s">
        <v>1057</v>
      </c>
      <c r="D1137" t="s">
        <v>196</v>
      </c>
      <c r="E1137" t="s">
        <v>2212</v>
      </c>
      <c r="F1137" t="s">
        <v>1634</v>
      </c>
      <c r="H1137" t="s">
        <v>1643</v>
      </c>
    </row>
    <row r="1138" spans="1:8">
      <c r="A1138" t="s">
        <v>2213</v>
      </c>
      <c r="B1138">
        <v>1137</v>
      </c>
      <c r="C1138" t="s">
        <v>2641</v>
      </c>
      <c r="D1138" t="s">
        <v>2211</v>
      </c>
      <c r="E1138" t="s">
        <v>2212</v>
      </c>
      <c r="F1138" t="s">
        <v>1634</v>
      </c>
      <c r="H1138" t="s">
        <v>1640</v>
      </c>
    </row>
    <row r="1139" spans="1:8">
      <c r="A1139" t="s">
        <v>2582</v>
      </c>
      <c r="B1139">
        <v>1138</v>
      </c>
      <c r="C1139" t="s">
        <v>1057</v>
      </c>
      <c r="D1139" t="s">
        <v>196</v>
      </c>
      <c r="E1139" t="s">
        <v>2215</v>
      </c>
      <c r="F1139" t="s">
        <v>1634</v>
      </c>
      <c r="H1139" t="s">
        <v>1643</v>
      </c>
    </row>
    <row r="1140" spans="1:8">
      <c r="A1140" t="s">
        <v>2216</v>
      </c>
      <c r="B1140">
        <v>1139</v>
      </c>
      <c r="C1140" t="s">
        <v>2641</v>
      </c>
      <c r="D1140" t="s">
        <v>2214</v>
      </c>
      <c r="E1140" t="s">
        <v>2215</v>
      </c>
      <c r="F1140" t="s">
        <v>1634</v>
      </c>
      <c r="H1140" t="s">
        <v>1640</v>
      </c>
    </row>
    <row r="1141" spans="1:8">
      <c r="A1141" t="s">
        <v>2583</v>
      </c>
      <c r="B1141">
        <v>1140</v>
      </c>
      <c r="C1141" t="s">
        <v>1057</v>
      </c>
      <c r="D1141" t="s">
        <v>196</v>
      </c>
      <c r="E1141" t="s">
        <v>2218</v>
      </c>
      <c r="F1141" t="s">
        <v>1634</v>
      </c>
      <c r="H1141" t="s">
        <v>1643</v>
      </c>
    </row>
    <row r="1142" spans="1:8">
      <c r="A1142" t="s">
        <v>2219</v>
      </c>
      <c r="B1142">
        <v>1141</v>
      </c>
      <c r="C1142" t="s">
        <v>2641</v>
      </c>
      <c r="D1142" t="s">
        <v>2217</v>
      </c>
      <c r="E1142" t="s">
        <v>2218</v>
      </c>
      <c r="F1142" t="s">
        <v>1634</v>
      </c>
      <c r="H1142" t="s">
        <v>1640</v>
      </c>
    </row>
    <row r="1143" spans="1:8">
      <c r="A1143" t="s">
        <v>2584</v>
      </c>
      <c r="B1143">
        <v>1142</v>
      </c>
      <c r="C1143" t="s">
        <v>1057</v>
      </c>
      <c r="D1143" t="s">
        <v>196</v>
      </c>
      <c r="E1143" t="s">
        <v>2221</v>
      </c>
      <c r="F1143" t="s">
        <v>1634</v>
      </c>
      <c r="H1143" t="s">
        <v>1643</v>
      </c>
    </row>
    <row r="1144" spans="1:8">
      <c r="A1144" t="s">
        <v>2222</v>
      </c>
      <c r="B1144">
        <v>1143</v>
      </c>
      <c r="C1144" t="s">
        <v>2641</v>
      </c>
      <c r="D1144" t="s">
        <v>2220</v>
      </c>
      <c r="E1144" t="s">
        <v>2221</v>
      </c>
      <c r="F1144" t="s">
        <v>1634</v>
      </c>
      <c r="H1144" t="s">
        <v>1640</v>
      </c>
    </row>
    <row r="1145" spans="1:8">
      <c r="A1145" t="s">
        <v>2585</v>
      </c>
      <c r="B1145">
        <v>1144</v>
      </c>
      <c r="C1145" t="s">
        <v>1057</v>
      </c>
      <c r="D1145" t="s">
        <v>196</v>
      </c>
      <c r="E1145" t="s">
        <v>2224</v>
      </c>
      <c r="F1145" t="s">
        <v>1634</v>
      </c>
      <c r="H1145" t="s">
        <v>1643</v>
      </c>
    </row>
    <row r="1146" spans="1:8">
      <c r="A1146" t="s">
        <v>2225</v>
      </c>
      <c r="B1146">
        <v>1145</v>
      </c>
      <c r="C1146" t="s">
        <v>2641</v>
      </c>
      <c r="D1146" t="s">
        <v>2223</v>
      </c>
      <c r="E1146" t="s">
        <v>2224</v>
      </c>
      <c r="F1146" t="s">
        <v>1634</v>
      </c>
      <c r="H1146" t="s">
        <v>1640</v>
      </c>
    </row>
    <row r="1147" spans="1:8">
      <c r="A1147" t="s">
        <v>2586</v>
      </c>
      <c r="B1147">
        <v>1146</v>
      </c>
      <c r="C1147" t="s">
        <v>1057</v>
      </c>
      <c r="D1147" t="s">
        <v>196</v>
      </c>
      <c r="E1147" t="s">
        <v>2227</v>
      </c>
      <c r="F1147" t="s">
        <v>1634</v>
      </c>
      <c r="H1147" t="s">
        <v>1643</v>
      </c>
    </row>
    <row r="1148" spans="1:8">
      <c r="A1148" t="s">
        <v>2228</v>
      </c>
      <c r="B1148">
        <v>1147</v>
      </c>
      <c r="C1148" t="s">
        <v>2641</v>
      </c>
      <c r="D1148" t="s">
        <v>2226</v>
      </c>
      <c r="E1148" t="s">
        <v>2227</v>
      </c>
      <c r="F1148" t="s">
        <v>1634</v>
      </c>
      <c r="H1148" t="s">
        <v>1640</v>
      </c>
    </row>
    <row r="1149" spans="1:8">
      <c r="A1149" t="s">
        <v>2587</v>
      </c>
      <c r="B1149">
        <v>1148</v>
      </c>
      <c r="C1149" t="s">
        <v>1057</v>
      </c>
      <c r="D1149" t="s">
        <v>196</v>
      </c>
      <c r="E1149" t="s">
        <v>2230</v>
      </c>
      <c r="F1149" t="s">
        <v>1634</v>
      </c>
      <c r="H1149" t="s">
        <v>1643</v>
      </c>
    </row>
    <row r="1150" spans="1:8">
      <c r="A1150" t="s">
        <v>2231</v>
      </c>
      <c r="B1150">
        <v>1149</v>
      </c>
      <c r="C1150" t="s">
        <v>2641</v>
      </c>
      <c r="D1150" t="s">
        <v>2229</v>
      </c>
      <c r="E1150" t="s">
        <v>2230</v>
      </c>
      <c r="F1150" t="s">
        <v>1634</v>
      </c>
      <c r="H1150" t="s">
        <v>1640</v>
      </c>
    </row>
    <row r="1151" spans="1:8">
      <c r="A1151" t="s">
        <v>2588</v>
      </c>
      <c r="B1151">
        <v>1150</v>
      </c>
      <c r="C1151" t="s">
        <v>1057</v>
      </c>
      <c r="D1151" t="s">
        <v>196</v>
      </c>
      <c r="E1151" t="s">
        <v>2233</v>
      </c>
      <c r="F1151" t="s">
        <v>1634</v>
      </c>
      <c r="H1151" t="s">
        <v>1643</v>
      </c>
    </row>
    <row r="1152" spans="1:8">
      <c r="A1152" t="s">
        <v>2234</v>
      </c>
      <c r="B1152">
        <v>1151</v>
      </c>
      <c r="C1152" t="s">
        <v>2641</v>
      </c>
      <c r="D1152" t="s">
        <v>2232</v>
      </c>
      <c r="E1152" t="s">
        <v>2233</v>
      </c>
      <c r="F1152" t="s">
        <v>1634</v>
      </c>
      <c r="H1152" t="s">
        <v>1640</v>
      </c>
    </row>
    <row r="1153" spans="1:8">
      <c r="A1153" t="s">
        <v>2589</v>
      </c>
      <c r="B1153">
        <v>1152</v>
      </c>
      <c r="C1153" t="s">
        <v>1057</v>
      </c>
      <c r="D1153" t="s">
        <v>196</v>
      </c>
      <c r="E1153" t="s">
        <v>2236</v>
      </c>
      <c r="F1153" t="s">
        <v>1634</v>
      </c>
      <c r="H1153" t="s">
        <v>1643</v>
      </c>
    </row>
    <row r="1154" spans="1:8">
      <c r="A1154" t="s">
        <v>2237</v>
      </c>
      <c r="B1154">
        <v>1153</v>
      </c>
      <c r="C1154" t="s">
        <v>2641</v>
      </c>
      <c r="D1154" t="s">
        <v>2235</v>
      </c>
      <c r="E1154" t="s">
        <v>2236</v>
      </c>
      <c r="F1154" t="s">
        <v>1634</v>
      </c>
      <c r="H1154" t="s">
        <v>1640</v>
      </c>
    </row>
    <row r="1155" spans="1:8">
      <c r="A1155" t="s">
        <v>2590</v>
      </c>
      <c r="B1155">
        <v>1154</v>
      </c>
      <c r="C1155" t="s">
        <v>1057</v>
      </c>
      <c r="D1155" t="s">
        <v>196</v>
      </c>
      <c r="E1155" t="s">
        <v>2239</v>
      </c>
      <c r="F1155" t="s">
        <v>1634</v>
      </c>
      <c r="H1155" t="s">
        <v>1643</v>
      </c>
    </row>
    <row r="1156" spans="1:8">
      <c r="A1156" t="s">
        <v>2240</v>
      </c>
      <c r="B1156">
        <v>1155</v>
      </c>
      <c r="C1156" t="s">
        <v>2641</v>
      </c>
      <c r="D1156" t="s">
        <v>2238</v>
      </c>
      <c r="E1156" t="s">
        <v>2239</v>
      </c>
      <c r="F1156" t="s">
        <v>1634</v>
      </c>
      <c r="H1156" t="s">
        <v>1640</v>
      </c>
    </row>
    <row r="1157" spans="1:8">
      <c r="A1157" t="s">
        <v>2591</v>
      </c>
      <c r="B1157">
        <v>1156</v>
      </c>
      <c r="C1157" t="s">
        <v>1057</v>
      </c>
      <c r="D1157" t="s">
        <v>196</v>
      </c>
      <c r="E1157" t="s">
        <v>2242</v>
      </c>
      <c r="F1157" t="s">
        <v>1634</v>
      </c>
      <c r="H1157" t="s">
        <v>1643</v>
      </c>
    </row>
    <row r="1158" spans="1:8">
      <c r="A1158" t="s">
        <v>2243</v>
      </c>
      <c r="B1158">
        <v>1157</v>
      </c>
      <c r="C1158" t="s">
        <v>2641</v>
      </c>
      <c r="D1158" t="s">
        <v>2241</v>
      </c>
      <c r="E1158" t="s">
        <v>2242</v>
      </c>
      <c r="F1158" t="s">
        <v>1634</v>
      </c>
      <c r="H1158" t="s">
        <v>1640</v>
      </c>
    </row>
    <row r="1159" spans="1:8">
      <c r="A1159" t="s">
        <v>2592</v>
      </c>
      <c r="B1159">
        <v>1158</v>
      </c>
      <c r="C1159" t="s">
        <v>1057</v>
      </c>
      <c r="D1159" t="s">
        <v>196</v>
      </c>
      <c r="E1159" t="s">
        <v>2245</v>
      </c>
      <c r="F1159" t="s">
        <v>1634</v>
      </c>
      <c r="H1159" t="s">
        <v>1643</v>
      </c>
    </row>
    <row r="1160" spans="1:8">
      <c r="A1160" t="s">
        <v>2246</v>
      </c>
      <c r="B1160">
        <v>1159</v>
      </c>
      <c r="C1160" t="s">
        <v>2641</v>
      </c>
      <c r="D1160" t="s">
        <v>2244</v>
      </c>
      <c r="E1160" t="s">
        <v>2245</v>
      </c>
      <c r="F1160" t="s">
        <v>1634</v>
      </c>
      <c r="H1160" t="s">
        <v>1640</v>
      </c>
    </row>
    <row r="1161" spans="1:8">
      <c r="A1161" t="s">
        <v>2593</v>
      </c>
      <c r="B1161">
        <v>1160</v>
      </c>
      <c r="C1161" t="s">
        <v>1057</v>
      </c>
      <c r="D1161" t="s">
        <v>196</v>
      </c>
      <c r="E1161" t="s">
        <v>2248</v>
      </c>
      <c r="F1161" t="s">
        <v>1634</v>
      </c>
      <c r="H1161" t="s">
        <v>1643</v>
      </c>
    </row>
    <row r="1162" spans="1:8">
      <c r="A1162" t="s">
        <v>2249</v>
      </c>
      <c r="B1162">
        <v>1161</v>
      </c>
      <c r="C1162" t="s">
        <v>2641</v>
      </c>
      <c r="D1162" t="s">
        <v>2247</v>
      </c>
      <c r="E1162" t="s">
        <v>2248</v>
      </c>
      <c r="F1162" t="s">
        <v>1634</v>
      </c>
      <c r="H1162" t="s">
        <v>1640</v>
      </c>
    </row>
    <row r="1163" spans="1:8">
      <c r="A1163" t="s">
        <v>2594</v>
      </c>
      <c r="B1163">
        <v>1162</v>
      </c>
      <c r="C1163" t="s">
        <v>1057</v>
      </c>
      <c r="D1163" t="s">
        <v>196</v>
      </c>
      <c r="E1163" t="s">
        <v>2251</v>
      </c>
      <c r="F1163" t="s">
        <v>1634</v>
      </c>
      <c r="H1163" t="s">
        <v>1643</v>
      </c>
    </row>
    <row r="1164" spans="1:8">
      <c r="A1164" t="s">
        <v>2252</v>
      </c>
      <c r="B1164">
        <v>1163</v>
      </c>
      <c r="C1164" t="s">
        <v>2641</v>
      </c>
      <c r="D1164" t="s">
        <v>2250</v>
      </c>
      <c r="E1164" t="s">
        <v>2251</v>
      </c>
      <c r="F1164" t="s">
        <v>1634</v>
      </c>
      <c r="H1164" t="s">
        <v>1640</v>
      </c>
    </row>
    <row r="1165" spans="1:8">
      <c r="A1165" t="s">
        <v>2595</v>
      </c>
      <c r="B1165">
        <v>1164</v>
      </c>
      <c r="C1165" t="s">
        <v>1057</v>
      </c>
      <c r="D1165" t="s">
        <v>196</v>
      </c>
      <c r="E1165" t="s">
        <v>2254</v>
      </c>
      <c r="F1165" t="s">
        <v>1634</v>
      </c>
      <c r="H1165" t="s">
        <v>1643</v>
      </c>
    </row>
    <row r="1166" spans="1:8">
      <c r="A1166" t="s">
        <v>2255</v>
      </c>
      <c r="B1166">
        <v>1165</v>
      </c>
      <c r="C1166" t="s">
        <v>2641</v>
      </c>
      <c r="D1166" t="s">
        <v>2253</v>
      </c>
      <c r="E1166" t="s">
        <v>2254</v>
      </c>
      <c r="F1166" t="s">
        <v>1634</v>
      </c>
      <c r="H1166" t="s">
        <v>1640</v>
      </c>
    </row>
    <row r="1167" spans="1:8">
      <c r="A1167" t="s">
        <v>2596</v>
      </c>
      <c r="B1167">
        <v>1166</v>
      </c>
      <c r="C1167" t="s">
        <v>1057</v>
      </c>
      <c r="D1167" t="s">
        <v>196</v>
      </c>
      <c r="E1167" t="s">
        <v>2257</v>
      </c>
      <c r="F1167" t="s">
        <v>1634</v>
      </c>
      <c r="H1167" t="s">
        <v>1643</v>
      </c>
    </row>
    <row r="1168" spans="1:8">
      <c r="A1168" t="s">
        <v>2258</v>
      </c>
      <c r="B1168">
        <v>1167</v>
      </c>
      <c r="C1168" t="s">
        <v>2641</v>
      </c>
      <c r="D1168" t="s">
        <v>2256</v>
      </c>
      <c r="E1168" t="s">
        <v>2257</v>
      </c>
      <c r="F1168" t="s">
        <v>1634</v>
      </c>
      <c r="H1168" t="s">
        <v>1640</v>
      </c>
    </row>
    <row r="1169" spans="1:8">
      <c r="A1169" t="s">
        <v>2597</v>
      </c>
      <c r="B1169">
        <v>1168</v>
      </c>
      <c r="C1169" t="s">
        <v>1057</v>
      </c>
      <c r="D1169" t="s">
        <v>196</v>
      </c>
      <c r="E1169" t="s">
        <v>2260</v>
      </c>
      <c r="F1169" t="s">
        <v>1634</v>
      </c>
      <c r="H1169" t="s">
        <v>1643</v>
      </c>
    </row>
    <row r="1170" spans="1:8">
      <c r="A1170" t="s">
        <v>2261</v>
      </c>
      <c r="B1170">
        <v>1169</v>
      </c>
      <c r="C1170" t="s">
        <v>2641</v>
      </c>
      <c r="D1170" t="s">
        <v>2259</v>
      </c>
      <c r="E1170" t="s">
        <v>2260</v>
      </c>
      <c r="F1170" t="s">
        <v>1634</v>
      </c>
      <c r="H1170" t="s">
        <v>1640</v>
      </c>
    </row>
    <row r="1171" spans="1:8">
      <c r="A1171" t="s">
        <v>2598</v>
      </c>
      <c r="B1171">
        <v>1170</v>
      </c>
      <c r="C1171" t="s">
        <v>1057</v>
      </c>
      <c r="D1171" t="s">
        <v>196</v>
      </c>
      <c r="E1171" t="s">
        <v>2263</v>
      </c>
      <c r="F1171" t="s">
        <v>1634</v>
      </c>
      <c r="H1171" t="s">
        <v>1643</v>
      </c>
    </row>
    <row r="1172" spans="1:8">
      <c r="A1172" t="s">
        <v>2264</v>
      </c>
      <c r="B1172">
        <v>1171</v>
      </c>
      <c r="C1172" t="s">
        <v>2641</v>
      </c>
      <c r="D1172" t="s">
        <v>2262</v>
      </c>
      <c r="E1172" t="s">
        <v>2263</v>
      </c>
      <c r="F1172" t="s">
        <v>1634</v>
      </c>
      <c r="H1172" t="s">
        <v>1640</v>
      </c>
    </row>
    <row r="1173" spans="1:8">
      <c r="A1173" t="s">
        <v>2599</v>
      </c>
      <c r="B1173">
        <v>1172</v>
      </c>
      <c r="C1173" t="s">
        <v>1057</v>
      </c>
      <c r="D1173" t="s">
        <v>196</v>
      </c>
      <c r="E1173" t="s">
        <v>2266</v>
      </c>
      <c r="F1173" t="s">
        <v>1634</v>
      </c>
      <c r="H1173" t="s">
        <v>1643</v>
      </c>
    </row>
    <row r="1174" spans="1:8">
      <c r="A1174" t="s">
        <v>2267</v>
      </c>
      <c r="B1174">
        <v>1173</v>
      </c>
      <c r="C1174" t="s">
        <v>2641</v>
      </c>
      <c r="D1174" t="s">
        <v>2265</v>
      </c>
      <c r="E1174" t="s">
        <v>2266</v>
      </c>
      <c r="F1174" t="s">
        <v>1634</v>
      </c>
      <c r="H1174" t="s">
        <v>1640</v>
      </c>
    </row>
    <row r="1175" spans="1:8">
      <c r="A1175" t="s">
        <v>2600</v>
      </c>
      <c r="B1175">
        <v>1174</v>
      </c>
      <c r="C1175" t="s">
        <v>1057</v>
      </c>
      <c r="D1175" t="s">
        <v>196</v>
      </c>
      <c r="E1175" t="s">
        <v>2269</v>
      </c>
      <c r="F1175" t="s">
        <v>1634</v>
      </c>
      <c r="H1175" t="s">
        <v>1643</v>
      </c>
    </row>
    <row r="1176" spans="1:8">
      <c r="A1176" t="s">
        <v>2270</v>
      </c>
      <c r="B1176">
        <v>1175</v>
      </c>
      <c r="C1176" t="s">
        <v>2641</v>
      </c>
      <c r="D1176" t="s">
        <v>2268</v>
      </c>
      <c r="E1176" t="s">
        <v>2269</v>
      </c>
      <c r="F1176" t="s">
        <v>1634</v>
      </c>
      <c r="H1176" t="s">
        <v>1640</v>
      </c>
    </row>
    <row r="1177" spans="1:8">
      <c r="A1177" t="s">
        <v>2601</v>
      </c>
      <c r="B1177">
        <v>1176</v>
      </c>
      <c r="C1177" t="s">
        <v>1057</v>
      </c>
      <c r="D1177" t="s">
        <v>196</v>
      </c>
      <c r="E1177" t="s">
        <v>2272</v>
      </c>
      <c r="F1177" t="s">
        <v>1634</v>
      </c>
      <c r="H1177" t="s">
        <v>1643</v>
      </c>
    </row>
    <row r="1178" spans="1:8">
      <c r="A1178" t="s">
        <v>2273</v>
      </c>
      <c r="B1178">
        <v>1177</v>
      </c>
      <c r="C1178" t="s">
        <v>2641</v>
      </c>
      <c r="D1178" t="s">
        <v>2271</v>
      </c>
      <c r="E1178" t="s">
        <v>2272</v>
      </c>
      <c r="F1178" t="s">
        <v>1634</v>
      </c>
      <c r="H1178" t="s">
        <v>1640</v>
      </c>
    </row>
    <row r="1179" spans="1:8">
      <c r="A1179" t="s">
        <v>2602</v>
      </c>
      <c r="B1179">
        <v>1178</v>
      </c>
      <c r="C1179" t="s">
        <v>1057</v>
      </c>
      <c r="D1179" t="s">
        <v>196</v>
      </c>
      <c r="E1179" t="s">
        <v>2275</v>
      </c>
      <c r="F1179" t="s">
        <v>1634</v>
      </c>
      <c r="H1179" t="s">
        <v>1643</v>
      </c>
    </row>
    <row r="1180" spans="1:8">
      <c r="A1180" t="s">
        <v>2276</v>
      </c>
      <c r="B1180">
        <v>1179</v>
      </c>
      <c r="C1180" t="s">
        <v>2641</v>
      </c>
      <c r="D1180" t="s">
        <v>2274</v>
      </c>
      <c r="E1180" t="s">
        <v>2275</v>
      </c>
      <c r="F1180" t="s">
        <v>1634</v>
      </c>
      <c r="H1180" t="s">
        <v>1640</v>
      </c>
    </row>
    <row r="1181" spans="1:8">
      <c r="A1181" t="s">
        <v>2603</v>
      </c>
      <c r="B1181">
        <v>1180</v>
      </c>
      <c r="C1181" t="s">
        <v>1057</v>
      </c>
      <c r="D1181" t="s">
        <v>196</v>
      </c>
      <c r="E1181" t="s">
        <v>2278</v>
      </c>
      <c r="F1181" t="s">
        <v>1634</v>
      </c>
      <c r="H1181" t="s">
        <v>1643</v>
      </c>
    </row>
    <row r="1182" spans="1:8">
      <c r="A1182" t="s">
        <v>2279</v>
      </c>
      <c r="B1182">
        <v>1181</v>
      </c>
      <c r="C1182" t="s">
        <v>2641</v>
      </c>
      <c r="D1182" t="s">
        <v>2277</v>
      </c>
      <c r="E1182" t="s">
        <v>2278</v>
      </c>
      <c r="F1182" t="s">
        <v>1634</v>
      </c>
      <c r="H1182" t="s">
        <v>1640</v>
      </c>
    </row>
    <row r="1183" spans="1:8">
      <c r="A1183" t="s">
        <v>2604</v>
      </c>
      <c r="B1183">
        <v>1182</v>
      </c>
      <c r="C1183" t="s">
        <v>1057</v>
      </c>
      <c r="D1183" t="s">
        <v>196</v>
      </c>
      <c r="E1183" t="s">
        <v>2281</v>
      </c>
      <c r="F1183" t="s">
        <v>1634</v>
      </c>
      <c r="H1183" t="s">
        <v>1643</v>
      </c>
    </row>
    <row r="1184" spans="1:8">
      <c r="A1184" t="s">
        <v>2282</v>
      </c>
      <c r="B1184">
        <v>1183</v>
      </c>
      <c r="C1184" t="s">
        <v>2641</v>
      </c>
      <c r="D1184" t="s">
        <v>2280</v>
      </c>
      <c r="E1184" t="s">
        <v>2281</v>
      </c>
      <c r="F1184" t="s">
        <v>1634</v>
      </c>
      <c r="H1184" t="s">
        <v>1640</v>
      </c>
    </row>
    <row r="1185" spans="1:8">
      <c r="A1185" t="s">
        <v>2605</v>
      </c>
      <c r="B1185">
        <v>1184</v>
      </c>
      <c r="C1185" t="s">
        <v>1057</v>
      </c>
      <c r="D1185" t="s">
        <v>196</v>
      </c>
      <c r="E1185" t="s">
        <v>2284</v>
      </c>
      <c r="F1185" t="s">
        <v>1634</v>
      </c>
      <c r="H1185" t="s">
        <v>1643</v>
      </c>
    </row>
    <row r="1186" spans="1:8">
      <c r="A1186" t="s">
        <v>2285</v>
      </c>
      <c r="B1186">
        <v>1185</v>
      </c>
      <c r="C1186" t="s">
        <v>2641</v>
      </c>
      <c r="D1186" t="s">
        <v>2283</v>
      </c>
      <c r="E1186" t="s">
        <v>2284</v>
      </c>
      <c r="F1186" t="s">
        <v>1634</v>
      </c>
      <c r="H1186" t="s">
        <v>1640</v>
      </c>
    </row>
    <row r="1187" spans="1:8">
      <c r="A1187" t="s">
        <v>2606</v>
      </c>
      <c r="B1187">
        <v>1186</v>
      </c>
      <c r="C1187" t="s">
        <v>1057</v>
      </c>
      <c r="D1187" t="s">
        <v>196</v>
      </c>
      <c r="E1187" t="s">
        <v>2287</v>
      </c>
      <c r="F1187" t="s">
        <v>1634</v>
      </c>
      <c r="H1187" t="s">
        <v>1643</v>
      </c>
    </row>
    <row r="1188" spans="1:8">
      <c r="A1188" t="s">
        <v>2288</v>
      </c>
      <c r="B1188">
        <v>1187</v>
      </c>
      <c r="C1188" t="s">
        <v>2641</v>
      </c>
      <c r="D1188" t="s">
        <v>2286</v>
      </c>
      <c r="E1188" t="s">
        <v>2287</v>
      </c>
      <c r="F1188" t="s">
        <v>1634</v>
      </c>
      <c r="H1188" t="s">
        <v>1640</v>
      </c>
    </row>
    <row r="1189" spans="1:8">
      <c r="A1189" t="s">
        <v>2607</v>
      </c>
      <c r="B1189">
        <v>1188</v>
      </c>
      <c r="C1189" t="s">
        <v>1057</v>
      </c>
      <c r="D1189" t="s">
        <v>196</v>
      </c>
      <c r="E1189" t="s">
        <v>2290</v>
      </c>
      <c r="F1189" t="s">
        <v>1634</v>
      </c>
      <c r="H1189" t="s">
        <v>1643</v>
      </c>
    </row>
    <row r="1190" spans="1:8">
      <c r="A1190" t="s">
        <v>2291</v>
      </c>
      <c r="B1190">
        <v>1189</v>
      </c>
      <c r="C1190" t="s">
        <v>2641</v>
      </c>
      <c r="D1190" t="s">
        <v>2289</v>
      </c>
      <c r="E1190" t="s">
        <v>2290</v>
      </c>
      <c r="F1190" t="s">
        <v>1634</v>
      </c>
      <c r="H1190" t="s">
        <v>1640</v>
      </c>
    </row>
    <row r="1191" spans="1:8">
      <c r="A1191" t="s">
        <v>2608</v>
      </c>
      <c r="B1191">
        <v>1190</v>
      </c>
      <c r="C1191" t="s">
        <v>1057</v>
      </c>
      <c r="D1191" t="s">
        <v>196</v>
      </c>
      <c r="E1191" t="s">
        <v>2293</v>
      </c>
      <c r="F1191" t="s">
        <v>1634</v>
      </c>
      <c r="H1191" t="s">
        <v>1643</v>
      </c>
    </row>
    <row r="1192" spans="1:8">
      <c r="A1192" t="s">
        <v>2294</v>
      </c>
      <c r="B1192">
        <v>1191</v>
      </c>
      <c r="C1192" t="s">
        <v>2641</v>
      </c>
      <c r="D1192" t="s">
        <v>2292</v>
      </c>
      <c r="E1192" t="s">
        <v>2293</v>
      </c>
      <c r="F1192" t="s">
        <v>1634</v>
      </c>
      <c r="H1192" t="s">
        <v>1640</v>
      </c>
    </row>
    <row r="1193" spans="1:8">
      <c r="A1193" t="s">
        <v>2609</v>
      </c>
      <c r="B1193">
        <v>1192</v>
      </c>
      <c r="C1193" t="s">
        <v>1057</v>
      </c>
      <c r="D1193" t="s">
        <v>196</v>
      </c>
      <c r="E1193" t="s">
        <v>2296</v>
      </c>
      <c r="F1193" t="s">
        <v>1634</v>
      </c>
      <c r="H1193" t="s">
        <v>1643</v>
      </c>
    </row>
    <row r="1194" spans="1:8">
      <c r="A1194" t="s">
        <v>2297</v>
      </c>
      <c r="B1194">
        <v>1193</v>
      </c>
      <c r="C1194" t="s">
        <v>2641</v>
      </c>
      <c r="D1194" t="s">
        <v>2295</v>
      </c>
      <c r="E1194" t="s">
        <v>2296</v>
      </c>
      <c r="F1194" t="s">
        <v>1634</v>
      </c>
      <c r="H1194" t="s">
        <v>1640</v>
      </c>
    </row>
    <row r="1195" spans="1:8">
      <c r="A1195" t="s">
        <v>2299</v>
      </c>
      <c r="B1195">
        <v>1194</v>
      </c>
      <c r="C1195" t="s">
        <v>2641</v>
      </c>
      <c r="D1195" t="s">
        <v>2298</v>
      </c>
      <c r="E1195" t="s">
        <v>196</v>
      </c>
      <c r="F1195" t="s">
        <v>1634</v>
      </c>
      <c r="H1195" t="s">
        <v>1640</v>
      </c>
    </row>
    <row r="1196" spans="1:8">
      <c r="A1196" t="s">
        <v>2610</v>
      </c>
      <c r="B1196">
        <v>1195</v>
      </c>
      <c r="C1196" t="s">
        <v>1057</v>
      </c>
      <c r="D1196" t="s">
        <v>196</v>
      </c>
      <c r="E1196" t="s">
        <v>2301</v>
      </c>
      <c r="F1196" t="s">
        <v>1634</v>
      </c>
      <c r="H1196" t="s">
        <v>1643</v>
      </c>
    </row>
    <row r="1197" spans="1:8">
      <c r="A1197" t="s">
        <v>2302</v>
      </c>
      <c r="B1197">
        <v>1196</v>
      </c>
      <c r="C1197" t="s">
        <v>2641</v>
      </c>
      <c r="D1197" t="s">
        <v>2300</v>
      </c>
      <c r="E1197" t="s">
        <v>2301</v>
      </c>
      <c r="F1197" t="s">
        <v>1634</v>
      </c>
      <c r="H1197" t="s">
        <v>1640</v>
      </c>
    </row>
    <row r="1198" spans="1:8">
      <c r="A1198" t="s">
        <v>2611</v>
      </c>
      <c r="B1198">
        <v>1197</v>
      </c>
      <c r="C1198" t="s">
        <v>1057</v>
      </c>
      <c r="D1198" t="s">
        <v>196</v>
      </c>
      <c r="E1198" t="s">
        <v>2304</v>
      </c>
      <c r="F1198" t="s">
        <v>1634</v>
      </c>
      <c r="H1198" t="s">
        <v>1643</v>
      </c>
    </row>
    <row r="1199" spans="1:8">
      <c r="A1199" t="s">
        <v>2305</v>
      </c>
      <c r="B1199">
        <v>1198</v>
      </c>
      <c r="C1199" t="s">
        <v>2641</v>
      </c>
      <c r="D1199" t="s">
        <v>2303</v>
      </c>
      <c r="E1199" t="s">
        <v>2304</v>
      </c>
      <c r="F1199" t="s">
        <v>1634</v>
      </c>
      <c r="H1199" t="s">
        <v>1640</v>
      </c>
    </row>
    <row r="1200" spans="1:8">
      <c r="A1200" t="s">
        <v>2612</v>
      </c>
      <c r="B1200">
        <v>1199</v>
      </c>
      <c r="C1200" t="s">
        <v>1057</v>
      </c>
      <c r="D1200" t="s">
        <v>196</v>
      </c>
      <c r="E1200" t="s">
        <v>2307</v>
      </c>
      <c r="F1200" t="s">
        <v>1634</v>
      </c>
      <c r="H1200" t="s">
        <v>1643</v>
      </c>
    </row>
    <row r="1201" spans="1:8">
      <c r="A1201" t="s">
        <v>2308</v>
      </c>
      <c r="B1201">
        <v>1200</v>
      </c>
      <c r="C1201" t="s">
        <v>2641</v>
      </c>
      <c r="D1201" t="s">
        <v>2306</v>
      </c>
      <c r="E1201" t="s">
        <v>2307</v>
      </c>
      <c r="F1201" t="s">
        <v>1634</v>
      </c>
      <c r="H1201" t="s">
        <v>1640</v>
      </c>
    </row>
    <row r="1202" spans="1:8">
      <c r="A1202" t="s">
        <v>2613</v>
      </c>
      <c r="B1202">
        <v>1201</v>
      </c>
      <c r="C1202" t="s">
        <v>1057</v>
      </c>
      <c r="D1202" t="s">
        <v>196</v>
      </c>
      <c r="E1202" t="s">
        <v>2310</v>
      </c>
      <c r="F1202" t="s">
        <v>1634</v>
      </c>
      <c r="H1202" t="s">
        <v>1643</v>
      </c>
    </row>
    <row r="1203" spans="1:8">
      <c r="A1203" t="s">
        <v>2311</v>
      </c>
      <c r="B1203">
        <v>1202</v>
      </c>
      <c r="C1203" t="s">
        <v>2641</v>
      </c>
      <c r="D1203" t="s">
        <v>2309</v>
      </c>
      <c r="E1203" t="s">
        <v>2310</v>
      </c>
      <c r="F1203" t="s">
        <v>1634</v>
      </c>
      <c r="H1203" t="s">
        <v>1640</v>
      </c>
    </row>
    <row r="1204" spans="1:8">
      <c r="A1204" t="s">
        <v>2614</v>
      </c>
      <c r="B1204">
        <v>1203</v>
      </c>
      <c r="C1204" t="s">
        <v>1057</v>
      </c>
      <c r="D1204" t="s">
        <v>196</v>
      </c>
      <c r="E1204" t="s">
        <v>2313</v>
      </c>
      <c r="F1204" t="s">
        <v>1634</v>
      </c>
      <c r="H1204" t="s">
        <v>1643</v>
      </c>
    </row>
    <row r="1205" spans="1:8">
      <c r="A1205" t="s">
        <v>2314</v>
      </c>
      <c r="B1205">
        <v>1204</v>
      </c>
      <c r="C1205" t="s">
        <v>2641</v>
      </c>
      <c r="D1205" t="s">
        <v>2312</v>
      </c>
      <c r="E1205" t="s">
        <v>2313</v>
      </c>
      <c r="F1205" t="s">
        <v>1634</v>
      </c>
      <c r="H1205" t="s">
        <v>1640</v>
      </c>
    </row>
    <row r="1206" spans="1:8">
      <c r="A1206" t="s">
        <v>2615</v>
      </c>
      <c r="B1206">
        <v>1205</v>
      </c>
      <c r="C1206" t="s">
        <v>1057</v>
      </c>
      <c r="D1206" t="s">
        <v>196</v>
      </c>
      <c r="E1206" t="s">
        <v>2316</v>
      </c>
      <c r="F1206" t="s">
        <v>1634</v>
      </c>
      <c r="H1206" t="s">
        <v>1643</v>
      </c>
    </row>
    <row r="1207" spans="1:8">
      <c r="A1207" t="s">
        <v>2317</v>
      </c>
      <c r="B1207">
        <v>1206</v>
      </c>
      <c r="C1207" t="s">
        <v>2641</v>
      </c>
      <c r="D1207" t="s">
        <v>2315</v>
      </c>
      <c r="E1207" t="s">
        <v>2316</v>
      </c>
      <c r="F1207" t="s">
        <v>1634</v>
      </c>
      <c r="H1207" t="s">
        <v>1640</v>
      </c>
    </row>
    <row r="1208" spans="1:8">
      <c r="A1208" t="s">
        <v>2616</v>
      </c>
      <c r="B1208">
        <v>1207</v>
      </c>
      <c r="C1208" t="s">
        <v>1057</v>
      </c>
      <c r="D1208" t="s">
        <v>196</v>
      </c>
      <c r="E1208" t="s">
        <v>2319</v>
      </c>
      <c r="F1208" t="s">
        <v>1634</v>
      </c>
      <c r="H1208" t="s">
        <v>1643</v>
      </c>
    </row>
    <row r="1209" spans="1:8">
      <c r="A1209" t="s">
        <v>2320</v>
      </c>
      <c r="B1209">
        <v>1208</v>
      </c>
      <c r="C1209" t="s">
        <v>2641</v>
      </c>
      <c r="D1209" t="s">
        <v>2318</v>
      </c>
      <c r="E1209" t="s">
        <v>2319</v>
      </c>
      <c r="F1209" t="s">
        <v>1634</v>
      </c>
      <c r="H1209" t="s">
        <v>1640</v>
      </c>
    </row>
    <row r="1210" spans="1:8">
      <c r="A1210" t="s">
        <v>2617</v>
      </c>
      <c r="B1210">
        <v>1209</v>
      </c>
      <c r="C1210" t="s">
        <v>1057</v>
      </c>
      <c r="D1210" t="s">
        <v>196</v>
      </c>
      <c r="E1210" t="s">
        <v>2322</v>
      </c>
      <c r="F1210" t="s">
        <v>1634</v>
      </c>
      <c r="H1210" t="s">
        <v>1643</v>
      </c>
    </row>
    <row r="1211" spans="1:8">
      <c r="A1211" t="s">
        <v>2323</v>
      </c>
      <c r="B1211">
        <v>1210</v>
      </c>
      <c r="C1211" t="s">
        <v>2641</v>
      </c>
      <c r="D1211" t="s">
        <v>2321</v>
      </c>
      <c r="E1211" t="s">
        <v>2322</v>
      </c>
      <c r="F1211" t="s">
        <v>1634</v>
      </c>
      <c r="H1211" t="s">
        <v>1640</v>
      </c>
    </row>
    <row r="1212" spans="1:8">
      <c r="A1212" t="s">
        <v>2618</v>
      </c>
      <c r="B1212">
        <v>1211</v>
      </c>
      <c r="C1212" t="s">
        <v>1057</v>
      </c>
      <c r="D1212" t="s">
        <v>196</v>
      </c>
      <c r="E1212" t="s">
        <v>2325</v>
      </c>
      <c r="F1212" t="s">
        <v>1634</v>
      </c>
      <c r="H1212" t="s">
        <v>1643</v>
      </c>
    </row>
    <row r="1213" spans="1:8">
      <c r="A1213" t="s">
        <v>2326</v>
      </c>
      <c r="B1213">
        <v>1212</v>
      </c>
      <c r="C1213" t="s">
        <v>2641</v>
      </c>
      <c r="D1213" t="s">
        <v>2324</v>
      </c>
      <c r="E1213" t="s">
        <v>2325</v>
      </c>
      <c r="F1213" t="s">
        <v>1634</v>
      </c>
      <c r="H1213" t="s">
        <v>1640</v>
      </c>
    </row>
    <row r="1214" spans="1:8">
      <c r="A1214" t="s">
        <v>2619</v>
      </c>
      <c r="B1214">
        <v>1213</v>
      </c>
      <c r="C1214" t="s">
        <v>1057</v>
      </c>
      <c r="D1214" t="s">
        <v>196</v>
      </c>
      <c r="E1214" t="s">
        <v>2328</v>
      </c>
      <c r="F1214" t="s">
        <v>1634</v>
      </c>
      <c r="H1214" t="s">
        <v>1643</v>
      </c>
    </row>
    <row r="1215" spans="1:8">
      <c r="A1215" t="s">
        <v>2329</v>
      </c>
      <c r="B1215">
        <v>1214</v>
      </c>
      <c r="C1215" t="s">
        <v>2641</v>
      </c>
      <c r="D1215" t="s">
        <v>2327</v>
      </c>
      <c r="E1215" t="s">
        <v>2328</v>
      </c>
      <c r="F1215" t="s">
        <v>1634</v>
      </c>
      <c r="H1215" t="s">
        <v>1640</v>
      </c>
    </row>
    <row r="1216" spans="1:8">
      <c r="A1216" t="s">
        <v>2620</v>
      </c>
      <c r="B1216">
        <v>1215</v>
      </c>
      <c r="C1216" t="s">
        <v>1057</v>
      </c>
      <c r="D1216" t="s">
        <v>196</v>
      </c>
      <c r="E1216" t="s">
        <v>2331</v>
      </c>
      <c r="F1216" t="s">
        <v>1634</v>
      </c>
      <c r="H1216" t="s">
        <v>1643</v>
      </c>
    </row>
    <row r="1217" spans="1:8">
      <c r="A1217" t="s">
        <v>2332</v>
      </c>
      <c r="B1217">
        <v>1216</v>
      </c>
      <c r="C1217" t="s">
        <v>2641</v>
      </c>
      <c r="D1217" t="s">
        <v>2330</v>
      </c>
      <c r="E1217" t="s">
        <v>2331</v>
      </c>
      <c r="F1217" t="s">
        <v>1634</v>
      </c>
      <c r="H1217" t="s">
        <v>1640</v>
      </c>
    </row>
    <row r="1218" spans="1:8">
      <c r="A1218" t="s">
        <v>2621</v>
      </c>
      <c r="B1218">
        <v>1217</v>
      </c>
      <c r="C1218" t="s">
        <v>1057</v>
      </c>
      <c r="D1218" t="s">
        <v>196</v>
      </c>
      <c r="E1218" t="s">
        <v>2334</v>
      </c>
      <c r="F1218" t="s">
        <v>1634</v>
      </c>
      <c r="H1218" t="s">
        <v>1643</v>
      </c>
    </row>
    <row r="1219" spans="1:8">
      <c r="A1219" t="s">
        <v>2335</v>
      </c>
      <c r="B1219">
        <v>1218</v>
      </c>
      <c r="C1219" t="s">
        <v>2641</v>
      </c>
      <c r="D1219" t="s">
        <v>2333</v>
      </c>
      <c r="E1219" t="s">
        <v>2334</v>
      </c>
      <c r="F1219" t="s">
        <v>1634</v>
      </c>
      <c r="H1219" t="s">
        <v>1640</v>
      </c>
    </row>
    <row r="1220" spans="1:8">
      <c r="A1220" t="s">
        <v>2622</v>
      </c>
      <c r="B1220">
        <v>1219</v>
      </c>
      <c r="C1220" t="s">
        <v>1057</v>
      </c>
      <c r="D1220" t="s">
        <v>196</v>
      </c>
      <c r="E1220" t="s">
        <v>2337</v>
      </c>
      <c r="F1220" t="s">
        <v>1634</v>
      </c>
      <c r="H1220" t="s">
        <v>1643</v>
      </c>
    </row>
    <row r="1221" spans="1:8">
      <c r="A1221" t="s">
        <v>2338</v>
      </c>
      <c r="B1221">
        <v>1220</v>
      </c>
      <c r="C1221" t="s">
        <v>2641</v>
      </c>
      <c r="D1221" t="s">
        <v>2336</v>
      </c>
      <c r="E1221" t="s">
        <v>2337</v>
      </c>
      <c r="F1221" t="s">
        <v>1634</v>
      </c>
      <c r="H1221" t="s">
        <v>1640</v>
      </c>
    </row>
    <row r="1222" spans="1:8">
      <c r="A1222" t="s">
        <v>2623</v>
      </c>
      <c r="B1222">
        <v>1221</v>
      </c>
      <c r="C1222" t="s">
        <v>1057</v>
      </c>
      <c r="D1222" t="s">
        <v>196</v>
      </c>
      <c r="E1222" t="s">
        <v>2340</v>
      </c>
      <c r="F1222" t="s">
        <v>1634</v>
      </c>
      <c r="H1222" t="s">
        <v>1643</v>
      </c>
    </row>
    <row r="1223" spans="1:8">
      <c r="A1223" t="s">
        <v>2341</v>
      </c>
      <c r="B1223">
        <v>1222</v>
      </c>
      <c r="C1223" t="s">
        <v>2641</v>
      </c>
      <c r="D1223" t="s">
        <v>2339</v>
      </c>
      <c r="E1223" t="s">
        <v>2340</v>
      </c>
      <c r="F1223" t="s">
        <v>1634</v>
      </c>
      <c r="H1223" t="s">
        <v>1640</v>
      </c>
    </row>
    <row r="1224" spans="1:8">
      <c r="A1224" t="s">
        <v>2624</v>
      </c>
      <c r="B1224">
        <v>1223</v>
      </c>
      <c r="C1224" t="s">
        <v>1057</v>
      </c>
      <c r="D1224" t="s">
        <v>196</v>
      </c>
      <c r="E1224" t="s">
        <v>2343</v>
      </c>
      <c r="F1224" t="s">
        <v>1634</v>
      </c>
      <c r="H1224" t="s">
        <v>1643</v>
      </c>
    </row>
    <row r="1225" spans="1:8">
      <c r="A1225" t="s">
        <v>2344</v>
      </c>
      <c r="B1225">
        <v>1224</v>
      </c>
      <c r="C1225" t="s">
        <v>2641</v>
      </c>
      <c r="D1225" t="s">
        <v>2342</v>
      </c>
      <c r="E1225" t="s">
        <v>2343</v>
      </c>
      <c r="F1225" t="s">
        <v>1634</v>
      </c>
      <c r="H1225" t="s">
        <v>1640</v>
      </c>
    </row>
    <row r="1226" spans="1:8">
      <c r="A1226" t="s">
        <v>2625</v>
      </c>
      <c r="B1226">
        <v>1225</v>
      </c>
      <c r="C1226" t="s">
        <v>1057</v>
      </c>
      <c r="D1226" t="s">
        <v>196</v>
      </c>
      <c r="E1226" t="s">
        <v>2346</v>
      </c>
      <c r="F1226" t="s">
        <v>1634</v>
      </c>
      <c r="H1226" t="s">
        <v>1643</v>
      </c>
    </row>
    <row r="1227" spans="1:8">
      <c r="A1227" t="s">
        <v>2347</v>
      </c>
      <c r="B1227">
        <v>1226</v>
      </c>
      <c r="C1227" t="s">
        <v>2641</v>
      </c>
      <c r="D1227" t="s">
        <v>2345</v>
      </c>
      <c r="E1227" t="s">
        <v>2346</v>
      </c>
      <c r="F1227" t="s">
        <v>1634</v>
      </c>
      <c r="H1227" t="s">
        <v>1640</v>
      </c>
    </row>
    <row r="1228" spans="1:8">
      <c r="A1228" t="s">
        <v>2626</v>
      </c>
      <c r="B1228">
        <v>1227</v>
      </c>
      <c r="C1228" t="s">
        <v>1057</v>
      </c>
      <c r="D1228" t="s">
        <v>196</v>
      </c>
      <c r="E1228" t="s">
        <v>2349</v>
      </c>
      <c r="F1228" t="s">
        <v>1634</v>
      </c>
      <c r="H1228" t="s">
        <v>1643</v>
      </c>
    </row>
    <row r="1229" spans="1:8">
      <c r="A1229" t="s">
        <v>2350</v>
      </c>
      <c r="B1229">
        <v>1228</v>
      </c>
      <c r="C1229" t="s">
        <v>2641</v>
      </c>
      <c r="D1229" t="s">
        <v>2348</v>
      </c>
      <c r="E1229" t="s">
        <v>2349</v>
      </c>
      <c r="F1229" t="s">
        <v>1634</v>
      </c>
      <c r="H1229" t="s">
        <v>1640</v>
      </c>
    </row>
    <row r="1230" spans="1:8">
      <c r="A1230" t="s">
        <v>2627</v>
      </c>
      <c r="B1230">
        <v>1229</v>
      </c>
      <c r="C1230" t="s">
        <v>1057</v>
      </c>
      <c r="D1230" t="s">
        <v>196</v>
      </c>
      <c r="E1230" t="s">
        <v>2352</v>
      </c>
      <c r="F1230" t="s">
        <v>1634</v>
      </c>
      <c r="H1230" t="s">
        <v>1643</v>
      </c>
    </row>
    <row r="1231" spans="1:8">
      <c r="A1231" t="s">
        <v>2353</v>
      </c>
      <c r="B1231">
        <v>1230</v>
      </c>
      <c r="C1231" t="s">
        <v>2641</v>
      </c>
      <c r="D1231" t="s">
        <v>2351</v>
      </c>
      <c r="E1231" t="s">
        <v>2352</v>
      </c>
      <c r="F1231" t="s">
        <v>1634</v>
      </c>
      <c r="H1231" t="s">
        <v>1640</v>
      </c>
    </row>
    <row r="1232" spans="1:8">
      <c r="A1232" t="s">
        <v>2628</v>
      </c>
      <c r="B1232">
        <v>1231</v>
      </c>
      <c r="C1232" t="s">
        <v>1057</v>
      </c>
      <c r="D1232" t="s">
        <v>196</v>
      </c>
      <c r="E1232" t="s">
        <v>2355</v>
      </c>
      <c r="F1232" t="s">
        <v>1634</v>
      </c>
      <c r="H1232" t="s">
        <v>1643</v>
      </c>
    </row>
    <row r="1233" spans="1:8">
      <c r="A1233" t="s">
        <v>2356</v>
      </c>
      <c r="B1233">
        <v>1232</v>
      </c>
      <c r="C1233" t="s">
        <v>2641</v>
      </c>
      <c r="D1233" t="s">
        <v>2354</v>
      </c>
      <c r="E1233" t="s">
        <v>2355</v>
      </c>
      <c r="F1233" t="s">
        <v>1634</v>
      </c>
      <c r="H1233" t="s">
        <v>1640</v>
      </c>
    </row>
    <row r="1234" spans="1:8">
      <c r="A1234" t="s">
        <v>2629</v>
      </c>
      <c r="B1234">
        <v>1233</v>
      </c>
      <c r="C1234" t="s">
        <v>1057</v>
      </c>
      <c r="D1234" t="s">
        <v>196</v>
      </c>
      <c r="E1234" t="s">
        <v>2358</v>
      </c>
      <c r="F1234" t="s">
        <v>1634</v>
      </c>
      <c r="H1234" t="s">
        <v>1643</v>
      </c>
    </row>
    <row r="1235" spans="1:8">
      <c r="A1235" t="s">
        <v>2359</v>
      </c>
      <c r="B1235">
        <v>1234</v>
      </c>
      <c r="C1235" t="s">
        <v>2641</v>
      </c>
      <c r="D1235" t="s">
        <v>2357</v>
      </c>
      <c r="E1235" t="s">
        <v>2358</v>
      </c>
      <c r="F1235" t="s">
        <v>1634</v>
      </c>
      <c r="H1235" t="s">
        <v>1640</v>
      </c>
    </row>
    <row r="1236" spans="1:8">
      <c r="A1236" t="s">
        <v>2630</v>
      </c>
      <c r="B1236">
        <v>1235</v>
      </c>
      <c r="C1236" t="s">
        <v>1057</v>
      </c>
      <c r="D1236" t="s">
        <v>196</v>
      </c>
      <c r="E1236" t="s">
        <v>2361</v>
      </c>
      <c r="F1236" t="s">
        <v>1634</v>
      </c>
      <c r="H1236" t="s">
        <v>1643</v>
      </c>
    </row>
    <row r="1237" spans="1:8">
      <c r="A1237" t="s">
        <v>2362</v>
      </c>
      <c r="B1237">
        <v>1236</v>
      </c>
      <c r="C1237" t="s">
        <v>2641</v>
      </c>
      <c r="D1237" t="s">
        <v>2360</v>
      </c>
      <c r="E1237" t="s">
        <v>2361</v>
      </c>
      <c r="F1237" t="s">
        <v>1634</v>
      </c>
      <c r="H1237" t="s">
        <v>1640</v>
      </c>
    </row>
    <row r="1238" spans="1:8">
      <c r="A1238" t="s">
        <v>2631</v>
      </c>
      <c r="B1238">
        <v>1237</v>
      </c>
      <c r="C1238" t="s">
        <v>1057</v>
      </c>
      <c r="D1238" t="s">
        <v>196</v>
      </c>
      <c r="E1238" t="s">
        <v>2364</v>
      </c>
      <c r="F1238" t="s">
        <v>1634</v>
      </c>
      <c r="H1238" t="s">
        <v>1643</v>
      </c>
    </row>
    <row r="1239" spans="1:8">
      <c r="A1239" t="s">
        <v>2365</v>
      </c>
      <c r="B1239">
        <v>1238</v>
      </c>
      <c r="C1239" t="s">
        <v>2641</v>
      </c>
      <c r="D1239" t="s">
        <v>2363</v>
      </c>
      <c r="E1239" t="s">
        <v>2364</v>
      </c>
      <c r="F1239" t="s">
        <v>1634</v>
      </c>
      <c r="H1239" t="s">
        <v>1640</v>
      </c>
    </row>
    <row r="1240" spans="1:8">
      <c r="A1240" t="s">
        <v>2632</v>
      </c>
      <c r="B1240">
        <v>1239</v>
      </c>
      <c r="C1240" t="s">
        <v>1057</v>
      </c>
      <c r="D1240" t="s">
        <v>196</v>
      </c>
      <c r="E1240" t="s">
        <v>2367</v>
      </c>
      <c r="F1240" t="s">
        <v>1634</v>
      </c>
      <c r="H1240" t="s">
        <v>1643</v>
      </c>
    </row>
    <row r="1241" spans="1:8">
      <c r="A1241" t="s">
        <v>2368</v>
      </c>
      <c r="B1241">
        <v>1240</v>
      </c>
      <c r="C1241" t="s">
        <v>2641</v>
      </c>
      <c r="D1241" t="s">
        <v>2366</v>
      </c>
      <c r="E1241" t="s">
        <v>2367</v>
      </c>
      <c r="F1241" t="s">
        <v>1634</v>
      </c>
      <c r="H1241" t="s">
        <v>1640</v>
      </c>
    </row>
    <row r="1242" spans="1:8">
      <c r="A1242" t="s">
        <v>2633</v>
      </c>
      <c r="B1242">
        <v>1241</v>
      </c>
      <c r="C1242" t="s">
        <v>1057</v>
      </c>
      <c r="D1242" t="s">
        <v>196</v>
      </c>
      <c r="E1242" t="s">
        <v>2370</v>
      </c>
      <c r="F1242" t="s">
        <v>1634</v>
      </c>
      <c r="H1242" t="s">
        <v>1643</v>
      </c>
    </row>
    <row r="1243" spans="1:8">
      <c r="A1243" t="s">
        <v>2371</v>
      </c>
      <c r="B1243">
        <v>1242</v>
      </c>
      <c r="C1243" t="s">
        <v>2641</v>
      </c>
      <c r="D1243" t="s">
        <v>2369</v>
      </c>
      <c r="E1243" t="s">
        <v>2370</v>
      </c>
      <c r="F1243" t="s">
        <v>1634</v>
      </c>
      <c r="H1243" t="s">
        <v>1640</v>
      </c>
    </row>
    <row r="1244" spans="1:8">
      <c r="A1244" t="s">
        <v>2634</v>
      </c>
      <c r="B1244">
        <v>1243</v>
      </c>
      <c r="C1244" t="s">
        <v>1057</v>
      </c>
      <c r="D1244" t="s">
        <v>196</v>
      </c>
      <c r="E1244" t="s">
        <v>2373</v>
      </c>
      <c r="F1244" t="s">
        <v>1634</v>
      </c>
      <c r="H1244" t="s">
        <v>1643</v>
      </c>
    </row>
    <row r="1245" spans="1:8">
      <c r="A1245" t="s">
        <v>2374</v>
      </c>
      <c r="B1245">
        <v>1244</v>
      </c>
      <c r="C1245" t="s">
        <v>2641</v>
      </c>
      <c r="D1245" t="s">
        <v>2372</v>
      </c>
      <c r="E1245" t="s">
        <v>2373</v>
      </c>
      <c r="F1245" t="s">
        <v>1634</v>
      </c>
      <c r="H1245" t="s">
        <v>1640</v>
      </c>
    </row>
    <row r="1246" spans="1:8">
      <c r="A1246" t="s">
        <v>2635</v>
      </c>
      <c r="B1246">
        <v>1245</v>
      </c>
      <c r="C1246" t="s">
        <v>1057</v>
      </c>
      <c r="D1246" t="s">
        <v>196</v>
      </c>
      <c r="E1246" t="s">
        <v>2376</v>
      </c>
      <c r="F1246" t="s">
        <v>1634</v>
      </c>
      <c r="H1246" t="s">
        <v>1643</v>
      </c>
    </row>
    <row r="1247" spans="1:8">
      <c r="A1247" t="s">
        <v>2377</v>
      </c>
      <c r="B1247">
        <v>1246</v>
      </c>
      <c r="C1247" t="s">
        <v>2641</v>
      </c>
      <c r="D1247" t="s">
        <v>2375</v>
      </c>
      <c r="E1247" t="s">
        <v>2376</v>
      </c>
      <c r="F1247" t="s">
        <v>1634</v>
      </c>
      <c r="H1247" t="s">
        <v>1640</v>
      </c>
    </row>
    <row r="1248" spans="1:8">
      <c r="A1248" t="s">
        <v>2636</v>
      </c>
      <c r="B1248">
        <v>1247</v>
      </c>
      <c r="C1248" t="s">
        <v>1057</v>
      </c>
      <c r="D1248" t="s">
        <v>196</v>
      </c>
      <c r="E1248" t="s">
        <v>2379</v>
      </c>
      <c r="F1248" t="s">
        <v>1634</v>
      </c>
      <c r="H1248" t="s">
        <v>1643</v>
      </c>
    </row>
    <row r="1249" spans="1:8">
      <c r="A1249" t="s">
        <v>2380</v>
      </c>
      <c r="B1249">
        <v>1248</v>
      </c>
      <c r="C1249" t="s">
        <v>2641</v>
      </c>
      <c r="D1249" t="s">
        <v>2378</v>
      </c>
      <c r="E1249" t="s">
        <v>2379</v>
      </c>
      <c r="F1249" t="s">
        <v>1634</v>
      </c>
      <c r="H1249" t="s">
        <v>1640</v>
      </c>
    </row>
    <row r="1250" spans="1:8">
      <c r="A1250" t="s">
        <v>2637</v>
      </c>
      <c r="B1250">
        <v>1249</v>
      </c>
      <c r="C1250" t="s">
        <v>1057</v>
      </c>
      <c r="D1250" t="s">
        <v>196</v>
      </c>
      <c r="E1250" t="s">
        <v>2382</v>
      </c>
      <c r="F1250" t="s">
        <v>1634</v>
      </c>
      <c r="H1250" t="s">
        <v>1643</v>
      </c>
    </row>
    <row r="1251" spans="1:8">
      <c r="A1251" t="s">
        <v>2383</v>
      </c>
      <c r="B1251">
        <v>1250</v>
      </c>
      <c r="C1251" t="s">
        <v>2641</v>
      </c>
      <c r="D1251" t="s">
        <v>2381</v>
      </c>
      <c r="E1251" t="s">
        <v>2382</v>
      </c>
      <c r="F1251" t="s">
        <v>1634</v>
      </c>
      <c r="H1251" t="s">
        <v>1640</v>
      </c>
    </row>
    <row r="1252" spans="1:8">
      <c r="A1252" t="s">
        <v>2638</v>
      </c>
      <c r="B1252">
        <v>1251</v>
      </c>
      <c r="C1252" t="s">
        <v>1057</v>
      </c>
      <c r="D1252" t="s">
        <v>196</v>
      </c>
      <c r="E1252" t="s">
        <v>2385</v>
      </c>
      <c r="F1252" t="s">
        <v>1634</v>
      </c>
      <c r="H1252" t="s">
        <v>1643</v>
      </c>
    </row>
    <row r="1253" spans="1:8">
      <c r="A1253" t="s">
        <v>2386</v>
      </c>
      <c r="B1253">
        <v>1252</v>
      </c>
      <c r="C1253" t="s">
        <v>2641</v>
      </c>
      <c r="D1253" t="s">
        <v>2384</v>
      </c>
      <c r="E1253" t="s">
        <v>2385</v>
      </c>
      <c r="F1253" t="s">
        <v>1634</v>
      </c>
      <c r="H1253" t="s">
        <v>1640</v>
      </c>
    </row>
    <row r="1254" spans="1:8">
      <c r="A1254" t="s">
        <v>2639</v>
      </c>
      <c r="B1254">
        <v>1253</v>
      </c>
      <c r="C1254" t="s">
        <v>1057</v>
      </c>
      <c r="D1254" t="s">
        <v>196</v>
      </c>
      <c r="E1254" t="s">
        <v>2388</v>
      </c>
      <c r="F1254" t="s">
        <v>1634</v>
      </c>
      <c r="H1254" t="s">
        <v>1643</v>
      </c>
    </row>
    <row r="1255" spans="1:8">
      <c r="A1255" t="s">
        <v>2389</v>
      </c>
      <c r="B1255">
        <v>1254</v>
      </c>
      <c r="C1255" t="s">
        <v>2641</v>
      </c>
      <c r="D1255" t="s">
        <v>2387</v>
      </c>
      <c r="E1255" t="s">
        <v>2388</v>
      </c>
      <c r="F1255" t="s">
        <v>1634</v>
      </c>
      <c r="H1255" t="s">
        <v>1640</v>
      </c>
    </row>
    <row r="1256" spans="1:8">
      <c r="A1256" t="s">
        <v>2640</v>
      </c>
      <c r="B1256">
        <v>1255</v>
      </c>
      <c r="C1256" t="s">
        <v>1057</v>
      </c>
      <c r="D1256" t="s">
        <v>196</v>
      </c>
      <c r="E1256" t="s">
        <v>2391</v>
      </c>
      <c r="F1256" t="s">
        <v>1634</v>
      </c>
      <c r="H1256" t="s">
        <v>1643</v>
      </c>
    </row>
    <row r="1257" spans="1:8">
      <c r="A1257" t="s">
        <v>2392</v>
      </c>
      <c r="B1257">
        <v>1256</v>
      </c>
      <c r="C1257" t="s">
        <v>2641</v>
      </c>
      <c r="D1257" t="s">
        <v>2390</v>
      </c>
      <c r="E1257" t="s">
        <v>2391</v>
      </c>
      <c r="F1257" t="s">
        <v>1634</v>
      </c>
      <c r="H1257" t="s">
        <v>1640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432A5-F240-4B4B-8C08-BEDA39A24AC4}">
  <sheetPr>
    <tabColor indexed="10"/>
  </sheetPr>
  <dimension ref="A1:C253"/>
  <sheetViews>
    <sheetView workbookViewId="0">
      <selection activeCell="B10" sqref="B10"/>
    </sheetView>
  </sheetViews>
  <sheetFormatPr defaultColWidth="0" defaultRowHeight="14.4"/>
  <cols>
    <col min="1" max="1" width="15.6640625" bestFit="1" customWidth="1"/>
    <col min="2" max="3" width="8.88671875" customWidth="1"/>
    <col min="4" max="16384" width="8.88671875" hidden="1"/>
  </cols>
  <sheetData>
    <row r="1" spans="1:3">
      <c r="A1" t="s">
        <v>1638</v>
      </c>
      <c r="B1" t="s">
        <v>1633</v>
      </c>
      <c r="C1" t="s">
        <v>2642</v>
      </c>
    </row>
    <row r="2" spans="1:3">
      <c r="A2" t="s">
        <v>1642</v>
      </c>
      <c r="B2">
        <v>0.5555245535714286</v>
      </c>
      <c r="C2">
        <v>25.471081349206351</v>
      </c>
    </row>
    <row r="3" spans="1:3">
      <c r="A3" t="s">
        <v>1655</v>
      </c>
      <c r="B3">
        <v>2.222098214285714</v>
      </c>
      <c r="C3">
        <v>101.88432539682537</v>
      </c>
    </row>
    <row r="4" spans="1:3">
      <c r="A4" t="s">
        <v>1658</v>
      </c>
      <c r="B4">
        <v>0.5555245535714286</v>
      </c>
      <c r="C4">
        <v>25.471081349206351</v>
      </c>
    </row>
    <row r="5" spans="1:3">
      <c r="A5" t="s">
        <v>1661</v>
      </c>
      <c r="B5">
        <v>3.4047080060229167</v>
      </c>
      <c r="C5">
        <v>156.10758162564872</v>
      </c>
    </row>
    <row r="6" spans="1:3">
      <c r="A6" t="s">
        <v>1664</v>
      </c>
      <c r="B6">
        <v>13.618832024091663</v>
      </c>
      <c r="C6">
        <v>624.43032650259465</v>
      </c>
    </row>
    <row r="7" spans="1:3">
      <c r="A7" t="s">
        <v>1667</v>
      </c>
      <c r="B7">
        <v>3.4047080060229167</v>
      </c>
      <c r="C7">
        <v>156.10758162564872</v>
      </c>
    </row>
    <row r="8" spans="1:3">
      <c r="A8" t="s">
        <v>1670</v>
      </c>
      <c r="B8">
        <v>6.0480321961342547</v>
      </c>
      <c r="C8">
        <v>277.30533075447079</v>
      </c>
    </row>
    <row r="9" spans="1:3">
      <c r="A9" t="s">
        <v>1673</v>
      </c>
      <c r="B9">
        <v>24.192128784537012</v>
      </c>
      <c r="C9">
        <v>1109.2213230178829</v>
      </c>
    </row>
    <row r="10" spans="1:3">
      <c r="A10" t="s">
        <v>1676</v>
      </c>
      <c r="B10">
        <v>6.0480321961342547</v>
      </c>
      <c r="C10">
        <v>277.30533075447079</v>
      </c>
    </row>
    <row r="11" spans="1:3">
      <c r="A11" t="s">
        <v>1679</v>
      </c>
      <c r="B11">
        <v>8.5481467445206665</v>
      </c>
      <c r="C11">
        <v>391.93684548210308</v>
      </c>
    </row>
    <row r="12" spans="1:3">
      <c r="A12" t="s">
        <v>1682</v>
      </c>
      <c r="B12">
        <v>34.192586978082659</v>
      </c>
      <c r="C12">
        <v>1567.7473819284121</v>
      </c>
    </row>
    <row r="13" spans="1:3">
      <c r="A13" t="s">
        <v>1685</v>
      </c>
      <c r="B13">
        <v>8.5481467445206665</v>
      </c>
      <c r="C13">
        <v>391.93684548210308</v>
      </c>
    </row>
    <row r="14" spans="1:3">
      <c r="A14" t="s">
        <v>1688</v>
      </c>
      <c r="B14">
        <v>10.847699220946176</v>
      </c>
      <c r="C14">
        <v>497.37248791635233</v>
      </c>
    </row>
    <row r="15" spans="1:3">
      <c r="A15" t="s">
        <v>1691</v>
      </c>
      <c r="B15">
        <v>43.390796883784695</v>
      </c>
      <c r="C15">
        <v>1989.4899516654089</v>
      </c>
    </row>
    <row r="16" spans="1:3">
      <c r="A16" t="s">
        <v>1694</v>
      </c>
      <c r="B16">
        <v>10.847699220946176</v>
      </c>
      <c r="C16">
        <v>497.37248791635233</v>
      </c>
    </row>
    <row r="17" spans="1:3">
      <c r="A17" t="s">
        <v>1697</v>
      </c>
      <c r="B17">
        <v>12.892940196636886</v>
      </c>
      <c r="C17">
        <v>591.14781960175912</v>
      </c>
    </row>
    <row r="18" spans="1:3">
      <c r="A18" t="s">
        <v>1700</v>
      </c>
      <c r="B18">
        <v>51.571760786547529</v>
      </c>
      <c r="C18">
        <v>2364.5912784070356</v>
      </c>
    </row>
    <row r="19" spans="1:3">
      <c r="A19" t="s">
        <v>1703</v>
      </c>
      <c r="B19">
        <v>12.892940196636886</v>
      </c>
      <c r="C19">
        <v>591.14781960175912</v>
      </c>
    </row>
    <row r="20" spans="1:3">
      <c r="A20" t="s">
        <v>1706</v>
      </c>
      <c r="B20">
        <v>14.635964020959111</v>
      </c>
      <c r="C20">
        <v>671.06634226199594</v>
      </c>
    </row>
    <row r="21" spans="1:3">
      <c r="A21" t="s">
        <v>1709</v>
      </c>
      <c r="B21">
        <v>58.543856083836438</v>
      </c>
      <c r="C21">
        <v>2684.2653690479833</v>
      </c>
    </row>
    <row r="22" spans="1:3">
      <c r="A22" t="s">
        <v>1712</v>
      </c>
      <c r="B22">
        <v>14.635964020959111</v>
      </c>
      <c r="C22">
        <v>671.06634226199594</v>
      </c>
    </row>
    <row r="23" spans="1:3">
      <c r="A23" t="s">
        <v>1715</v>
      </c>
      <c r="B23">
        <v>16.035925755136923</v>
      </c>
      <c r="C23">
        <v>735.25529482542947</v>
      </c>
    </row>
    <row r="24" spans="1:3">
      <c r="A24" t="s">
        <v>1718</v>
      </c>
      <c r="B24">
        <v>64.14370302054769</v>
      </c>
      <c r="C24">
        <v>2941.0211793017179</v>
      </c>
    </row>
    <row r="25" spans="1:3">
      <c r="A25" t="s">
        <v>1721</v>
      </c>
      <c r="B25">
        <v>16.035925755136923</v>
      </c>
      <c r="C25">
        <v>735.25529482542947</v>
      </c>
    </row>
    <row r="26" spans="1:3">
      <c r="A26" t="s">
        <v>1724</v>
      </c>
      <c r="B26">
        <v>17.060015222690669</v>
      </c>
      <c r="C26">
        <v>782.21031412967159</v>
      </c>
    </row>
    <row r="27" spans="1:3">
      <c r="A27" t="s">
        <v>1727</v>
      </c>
      <c r="B27">
        <v>68.240060890762663</v>
      </c>
      <c r="C27">
        <v>3128.8412565186854</v>
      </c>
    </row>
    <row r="28" spans="1:3">
      <c r="A28" t="s">
        <v>1730</v>
      </c>
      <c r="B28">
        <v>17.060015222690669</v>
      </c>
      <c r="C28">
        <v>782.21031412967159</v>
      </c>
    </row>
    <row r="29" spans="1:3">
      <c r="A29" t="s">
        <v>1733</v>
      </c>
      <c r="B29">
        <v>17.684230198087338</v>
      </c>
      <c r="C29">
        <v>810.83088601169743</v>
      </c>
    </row>
    <row r="30" spans="1:3">
      <c r="A30" t="s">
        <v>1736</v>
      </c>
      <c r="B30">
        <v>70.736920792349338</v>
      </c>
      <c r="C30">
        <v>3243.3235440467888</v>
      </c>
    </row>
    <row r="31" spans="1:3">
      <c r="A31" t="s">
        <v>1739</v>
      </c>
      <c r="B31">
        <v>17.684230198087338</v>
      </c>
      <c r="C31">
        <v>810.83088601169743</v>
      </c>
    </row>
    <row r="32" spans="1:3">
      <c r="A32" t="s">
        <v>1742</v>
      </c>
      <c r="B32">
        <v>17.893940270587521</v>
      </c>
      <c r="C32">
        <v>820.44619875000876</v>
      </c>
    </row>
    <row r="33" spans="1:3">
      <c r="A33" t="s">
        <v>1744</v>
      </c>
      <c r="B33">
        <v>71.575761082350084</v>
      </c>
      <c r="C33">
        <v>3281.784795000035</v>
      </c>
    </row>
    <row r="34" spans="1:3">
      <c r="A34" t="s">
        <v>1747</v>
      </c>
      <c r="B34">
        <v>17.893940270587521</v>
      </c>
      <c r="C34">
        <v>820.44619875000876</v>
      </c>
    </row>
    <row r="35" spans="1:3">
      <c r="A35" t="s">
        <v>1750</v>
      </c>
      <c r="B35">
        <v>17.684230198087338</v>
      </c>
      <c r="C35">
        <v>810.83088601169743</v>
      </c>
    </row>
    <row r="36" spans="1:3">
      <c r="A36" t="s">
        <v>1753</v>
      </c>
      <c r="B36">
        <v>70.736920792349338</v>
      </c>
      <c r="C36">
        <v>3243.3235440467888</v>
      </c>
    </row>
    <row r="37" spans="1:3">
      <c r="A37" t="s">
        <v>1756</v>
      </c>
      <c r="B37">
        <v>17.684230198087338</v>
      </c>
      <c r="C37">
        <v>810.83088601169743</v>
      </c>
    </row>
    <row r="38" spans="1:3">
      <c r="A38" t="s">
        <v>1759</v>
      </c>
      <c r="B38">
        <v>17.060015222690669</v>
      </c>
      <c r="C38">
        <v>782.21031412967159</v>
      </c>
    </row>
    <row r="39" spans="1:3">
      <c r="A39" t="s">
        <v>1762</v>
      </c>
      <c r="B39">
        <v>68.240060890762663</v>
      </c>
      <c r="C39">
        <v>3128.8412565186854</v>
      </c>
    </row>
    <row r="40" spans="1:3">
      <c r="A40" t="s">
        <v>1765</v>
      </c>
      <c r="B40">
        <v>17.060015222690669</v>
      </c>
      <c r="C40">
        <v>782.21031412967159</v>
      </c>
    </row>
    <row r="41" spans="1:3">
      <c r="A41" t="s">
        <v>1768</v>
      </c>
      <c r="B41">
        <v>16.035925755136923</v>
      </c>
      <c r="C41">
        <v>735.25529482542947</v>
      </c>
    </row>
    <row r="42" spans="1:3">
      <c r="A42" t="s">
        <v>1771</v>
      </c>
      <c r="B42">
        <v>64.14370302054769</v>
      </c>
      <c r="C42">
        <v>2941.0211793017179</v>
      </c>
    </row>
    <row r="43" spans="1:3">
      <c r="A43" t="s">
        <v>1774</v>
      </c>
      <c r="B43">
        <v>16.035925755136923</v>
      </c>
      <c r="C43">
        <v>735.25529482542947</v>
      </c>
    </row>
    <row r="44" spans="1:3">
      <c r="A44" t="s">
        <v>1777</v>
      </c>
      <c r="B44">
        <v>14.635964020959111</v>
      </c>
      <c r="C44">
        <v>671.06634226199594</v>
      </c>
    </row>
    <row r="45" spans="1:3">
      <c r="A45" t="s">
        <v>1780</v>
      </c>
      <c r="B45">
        <v>58.543856083836438</v>
      </c>
      <c r="C45">
        <v>2684.2653690479833</v>
      </c>
    </row>
    <row r="46" spans="1:3">
      <c r="A46" t="s">
        <v>1783</v>
      </c>
      <c r="B46">
        <v>14.635964020959111</v>
      </c>
      <c r="C46">
        <v>671.06634226199594</v>
      </c>
    </row>
    <row r="47" spans="1:3">
      <c r="A47" t="s">
        <v>1786</v>
      </c>
      <c r="B47">
        <v>12.892940196636886</v>
      </c>
      <c r="C47">
        <v>591.14781960175912</v>
      </c>
    </row>
    <row r="48" spans="1:3">
      <c r="A48" t="s">
        <v>1789</v>
      </c>
      <c r="B48">
        <v>51.571760786547529</v>
      </c>
      <c r="C48">
        <v>2364.5912784070356</v>
      </c>
    </row>
    <row r="49" spans="1:3">
      <c r="A49" t="s">
        <v>1792</v>
      </c>
      <c r="B49">
        <v>12.892940196636886</v>
      </c>
      <c r="C49">
        <v>591.14781960175912</v>
      </c>
    </row>
    <row r="50" spans="1:3">
      <c r="A50" t="s">
        <v>1795</v>
      </c>
      <c r="B50">
        <v>10.847699220946176</v>
      </c>
      <c r="C50">
        <v>497.37248791635233</v>
      </c>
    </row>
    <row r="51" spans="1:3">
      <c r="A51" t="s">
        <v>1798</v>
      </c>
      <c r="B51">
        <v>43.390796883784695</v>
      </c>
      <c r="C51">
        <v>1989.4899516654089</v>
      </c>
    </row>
    <row r="52" spans="1:3">
      <c r="A52" t="s">
        <v>1801</v>
      </c>
      <c r="B52">
        <v>10.847699220946176</v>
      </c>
      <c r="C52">
        <v>497.37248791635233</v>
      </c>
    </row>
    <row r="53" spans="1:3">
      <c r="A53" t="s">
        <v>1804</v>
      </c>
      <c r="B53">
        <v>8.5481467445206665</v>
      </c>
      <c r="C53">
        <v>391.93684548210308</v>
      </c>
    </row>
    <row r="54" spans="1:3">
      <c r="A54" t="s">
        <v>1807</v>
      </c>
      <c r="B54">
        <v>34.192586978082659</v>
      </c>
      <c r="C54">
        <v>1567.7473819284121</v>
      </c>
    </row>
    <row r="55" spans="1:3">
      <c r="A55" t="s">
        <v>1810</v>
      </c>
      <c r="B55">
        <v>8.5481467445206665</v>
      </c>
      <c r="C55">
        <v>391.93684548210308</v>
      </c>
    </row>
    <row r="56" spans="1:3">
      <c r="A56" t="s">
        <v>1813</v>
      </c>
      <c r="B56">
        <v>6.0480321961342547</v>
      </c>
      <c r="C56">
        <v>277.30533075447079</v>
      </c>
    </row>
    <row r="57" spans="1:3">
      <c r="A57" t="s">
        <v>1816</v>
      </c>
      <c r="B57">
        <v>24.192128784537012</v>
      </c>
      <c r="C57">
        <v>1109.2213230178829</v>
      </c>
    </row>
    <row r="58" spans="1:3">
      <c r="A58" t="s">
        <v>1819</v>
      </c>
      <c r="B58">
        <v>6.0480321961342547</v>
      </c>
      <c r="C58">
        <v>277.30533075447079</v>
      </c>
    </row>
    <row r="59" spans="1:3">
      <c r="A59" t="s">
        <v>1822</v>
      </c>
      <c r="B59">
        <v>3.4047080060229167</v>
      </c>
      <c r="C59">
        <v>156.10758162564872</v>
      </c>
    </row>
    <row r="60" spans="1:3">
      <c r="A60" t="s">
        <v>1825</v>
      </c>
      <c r="B60">
        <v>13.618832024091663</v>
      </c>
      <c r="C60">
        <v>624.43032650259465</v>
      </c>
    </row>
    <row r="61" spans="1:3">
      <c r="A61" t="s">
        <v>1828</v>
      </c>
      <c r="B61">
        <v>3.4047080060229167</v>
      </c>
      <c r="C61">
        <v>156.10758162564872</v>
      </c>
    </row>
    <row r="62" spans="1:3">
      <c r="A62" t="s">
        <v>1831</v>
      </c>
      <c r="B62">
        <v>0.5555245535714286</v>
      </c>
      <c r="C62">
        <v>25.471081349206351</v>
      </c>
    </row>
    <row r="63" spans="1:3">
      <c r="A63" t="s">
        <v>1834</v>
      </c>
      <c r="B63">
        <v>2.222098214285714</v>
      </c>
      <c r="C63">
        <v>101.88432539682537</v>
      </c>
    </row>
    <row r="64" spans="1:3">
      <c r="A64" t="s">
        <v>1837</v>
      </c>
      <c r="B64">
        <v>0.5555245535714286</v>
      </c>
      <c r="C64">
        <v>25.471081349206351</v>
      </c>
    </row>
    <row r="65" spans="1:3">
      <c r="A65" t="s">
        <v>1646</v>
      </c>
      <c r="B65">
        <v>0.36868489583333336</v>
      </c>
      <c r="C65">
        <v>40.209226190476194</v>
      </c>
    </row>
    <row r="66" spans="1:3">
      <c r="A66" t="s">
        <v>1840</v>
      </c>
      <c r="B66">
        <v>2.2596020436422979</v>
      </c>
      <c r="C66">
        <v>246.43496573927428</v>
      </c>
    </row>
    <row r="67" spans="1:3">
      <c r="A67" t="s">
        <v>1843</v>
      </c>
      <c r="B67">
        <v>4.0138966061770969</v>
      </c>
      <c r="C67">
        <v>437.7604788451103</v>
      </c>
    </row>
    <row r="68" spans="1:3">
      <c r="A68" t="s">
        <v>1846</v>
      </c>
      <c r="B68">
        <v>5.673147247606626</v>
      </c>
      <c r="C68">
        <v>618.72038553489404</v>
      </c>
    </row>
    <row r="69" spans="1:3">
      <c r="A69" t="s">
        <v>1849</v>
      </c>
      <c r="B69">
        <v>7.1992908892939447</v>
      </c>
      <c r="C69">
        <v>785.16347984462936</v>
      </c>
    </row>
    <row r="70" spans="1:3">
      <c r="A70" t="s">
        <v>1852</v>
      </c>
      <c r="B70">
        <v>8.5566556560335307</v>
      </c>
      <c r="C70">
        <v>933.19934338455482</v>
      </c>
    </row>
    <row r="71" spans="1:3">
      <c r="A71" t="s">
        <v>1855</v>
      </c>
      <c r="B71">
        <v>9.7134480119678592</v>
      </c>
      <c r="C71">
        <v>1059.3605342031885</v>
      </c>
    </row>
    <row r="72" spans="1:3">
      <c r="A72" t="s">
        <v>1858</v>
      </c>
      <c r="B72">
        <v>10.642560402802324</v>
      </c>
      <c r="C72">
        <v>1160.6906692362372</v>
      </c>
    </row>
    <row r="73" spans="1:3">
      <c r="A73" t="s">
        <v>1861</v>
      </c>
      <c r="B73">
        <v>11.322217703711383</v>
      </c>
      <c r="C73">
        <v>1234.8149267068088</v>
      </c>
    </row>
    <row r="74" spans="1:3">
      <c r="A74" t="s">
        <v>1864</v>
      </c>
      <c r="B74">
        <v>11.736490361332333</v>
      </c>
      <c r="C74">
        <v>1279.9960100195915</v>
      </c>
    </row>
    <row r="75" spans="1:3">
      <c r="A75" t="s">
        <v>1867</v>
      </c>
      <c r="B75">
        <v>11.875668613198728</v>
      </c>
      <c r="C75">
        <v>1295.1749605904899</v>
      </c>
    </row>
    <row r="76" spans="1:3">
      <c r="A76" t="s">
        <v>1870</v>
      </c>
      <c r="B76">
        <v>11.736490361332333</v>
      </c>
      <c r="C76">
        <v>1279.9960100195915</v>
      </c>
    </row>
    <row r="77" spans="1:3">
      <c r="A77" t="s">
        <v>1873</v>
      </c>
      <c r="B77">
        <v>11.322217703711383</v>
      </c>
      <c r="C77">
        <v>1234.8149267068088</v>
      </c>
    </row>
    <row r="78" spans="1:3">
      <c r="A78" t="s">
        <v>1876</v>
      </c>
      <c r="B78">
        <v>10.642560402802324</v>
      </c>
      <c r="C78">
        <v>1160.6906692362372</v>
      </c>
    </row>
    <row r="79" spans="1:3">
      <c r="A79" t="s">
        <v>1879</v>
      </c>
      <c r="B79">
        <v>9.7134480119678592</v>
      </c>
      <c r="C79">
        <v>1059.3605342031885</v>
      </c>
    </row>
    <row r="80" spans="1:3">
      <c r="A80" t="s">
        <v>1882</v>
      </c>
      <c r="B80">
        <v>8.5566556560335307</v>
      </c>
      <c r="C80">
        <v>933.19934338455482</v>
      </c>
    </row>
    <row r="81" spans="1:3">
      <c r="A81" t="s">
        <v>1885</v>
      </c>
      <c r="B81">
        <v>7.1992908892939447</v>
      </c>
      <c r="C81">
        <v>785.16347984462936</v>
      </c>
    </row>
    <row r="82" spans="1:3">
      <c r="A82" t="s">
        <v>1888</v>
      </c>
      <c r="B82">
        <v>5.673147247606626</v>
      </c>
      <c r="C82">
        <v>618.72038553489404</v>
      </c>
    </row>
    <row r="83" spans="1:3">
      <c r="A83" t="s">
        <v>1891</v>
      </c>
      <c r="B83">
        <v>4.0138966061770969</v>
      </c>
      <c r="C83">
        <v>437.7604788451103</v>
      </c>
    </row>
    <row r="84" spans="1:3">
      <c r="A84" t="s">
        <v>1894</v>
      </c>
      <c r="B84">
        <v>2.2596020436422979</v>
      </c>
      <c r="C84">
        <v>246.43496573927428</v>
      </c>
    </row>
    <row r="85" spans="1:3">
      <c r="A85" t="s">
        <v>1897</v>
      </c>
      <c r="B85">
        <v>0.36868489583333336</v>
      </c>
      <c r="C85">
        <v>40.209226190476194</v>
      </c>
    </row>
    <row r="86" spans="1:3">
      <c r="A86" t="s">
        <v>1900</v>
      </c>
      <c r="B86">
        <v>1.4747395833333332</v>
      </c>
      <c r="C86">
        <v>160.83690476190475</v>
      </c>
    </row>
    <row r="87" spans="1:3">
      <c r="A87" t="s">
        <v>1903</v>
      </c>
      <c r="B87">
        <v>9.0384081745691898</v>
      </c>
      <c r="C87">
        <v>985.73986295709699</v>
      </c>
    </row>
    <row r="88" spans="1:3">
      <c r="A88" t="s">
        <v>1906</v>
      </c>
      <c r="B88">
        <v>16.055586424708384</v>
      </c>
      <c r="C88">
        <v>1751.041915380441</v>
      </c>
    </row>
    <row r="89" spans="1:3">
      <c r="A89" t="s">
        <v>1909</v>
      </c>
      <c r="B89">
        <v>22.692588990426497</v>
      </c>
      <c r="C89">
        <v>2474.8815421395757</v>
      </c>
    </row>
    <row r="90" spans="1:3">
      <c r="A90" t="s">
        <v>1912</v>
      </c>
      <c r="B90">
        <v>28.797163557175775</v>
      </c>
      <c r="C90">
        <v>3140.653919378517</v>
      </c>
    </row>
    <row r="91" spans="1:3">
      <c r="A91" t="s">
        <v>1915</v>
      </c>
      <c r="B91">
        <v>34.226622624134116</v>
      </c>
      <c r="C91">
        <v>3732.7973735382188</v>
      </c>
    </row>
    <row r="92" spans="1:3">
      <c r="A92" t="s">
        <v>1918</v>
      </c>
      <c r="B92">
        <v>38.85379204787143</v>
      </c>
      <c r="C92">
        <v>4237.4421368127532</v>
      </c>
    </row>
    <row r="93" spans="1:3">
      <c r="A93" t="s">
        <v>1921</v>
      </c>
      <c r="B93">
        <v>42.570241611209291</v>
      </c>
      <c r="C93">
        <v>4642.762676944948</v>
      </c>
    </row>
    <row r="94" spans="1:3">
      <c r="A94" t="s">
        <v>1924</v>
      </c>
      <c r="B94">
        <v>45.288870814845524</v>
      </c>
      <c r="C94">
        <v>4939.2597068272344</v>
      </c>
    </row>
    <row r="95" spans="1:3">
      <c r="A95" t="s">
        <v>1927</v>
      </c>
      <c r="B95">
        <v>46.945961445329324</v>
      </c>
      <c r="C95">
        <v>5119.9840400783651</v>
      </c>
    </row>
    <row r="96" spans="1:3">
      <c r="A96" t="s">
        <v>1929</v>
      </c>
      <c r="B96">
        <v>47.502674452794899</v>
      </c>
      <c r="C96">
        <v>5180.699842361958</v>
      </c>
    </row>
    <row r="97" spans="1:3">
      <c r="A97" t="s">
        <v>1932</v>
      </c>
      <c r="B97">
        <v>46.945961445329324</v>
      </c>
      <c r="C97">
        <v>5119.9840400783651</v>
      </c>
    </row>
    <row r="98" spans="1:3">
      <c r="A98" t="s">
        <v>1935</v>
      </c>
      <c r="B98">
        <v>45.288870814845524</v>
      </c>
      <c r="C98">
        <v>4939.2597068272344</v>
      </c>
    </row>
    <row r="99" spans="1:3">
      <c r="A99" t="s">
        <v>1938</v>
      </c>
      <c r="B99">
        <v>42.570241611209291</v>
      </c>
      <c r="C99">
        <v>4642.762676944948</v>
      </c>
    </row>
    <row r="100" spans="1:3">
      <c r="A100" t="s">
        <v>1941</v>
      </c>
      <c r="B100">
        <v>38.85379204787143</v>
      </c>
      <c r="C100">
        <v>4237.4421368127532</v>
      </c>
    </row>
    <row r="101" spans="1:3">
      <c r="A101" t="s">
        <v>1944</v>
      </c>
      <c r="B101">
        <v>34.226622624134116</v>
      </c>
      <c r="C101">
        <v>3732.7973735382188</v>
      </c>
    </row>
    <row r="102" spans="1:3">
      <c r="A102" t="s">
        <v>1947</v>
      </c>
      <c r="B102">
        <v>28.797163557175775</v>
      </c>
      <c r="C102">
        <v>3140.653919378517</v>
      </c>
    </row>
    <row r="103" spans="1:3">
      <c r="A103" t="s">
        <v>1950</v>
      </c>
      <c r="B103">
        <v>22.692588990426497</v>
      </c>
      <c r="C103">
        <v>2474.8815421395757</v>
      </c>
    </row>
    <row r="104" spans="1:3">
      <c r="A104" t="s">
        <v>1953</v>
      </c>
      <c r="B104">
        <v>16.055586424708384</v>
      </c>
      <c r="C104">
        <v>1751.041915380441</v>
      </c>
    </row>
    <row r="105" spans="1:3">
      <c r="A105" t="s">
        <v>1956</v>
      </c>
      <c r="B105">
        <v>9.0384081745691898</v>
      </c>
      <c r="C105">
        <v>985.73986295709699</v>
      </c>
    </row>
    <row r="106" spans="1:3">
      <c r="A106" t="s">
        <v>1959</v>
      </c>
      <c r="B106">
        <v>1.4747395833333332</v>
      </c>
      <c r="C106">
        <v>160.83690476190475</v>
      </c>
    </row>
    <row r="107" spans="1:3">
      <c r="A107" t="s">
        <v>1962</v>
      </c>
      <c r="B107">
        <v>0.36868489583333336</v>
      </c>
      <c r="C107">
        <v>40.209226190476194</v>
      </c>
    </row>
    <row r="108" spans="1:3">
      <c r="A108" t="s">
        <v>1965</v>
      </c>
      <c r="B108">
        <v>2.2596020436422979</v>
      </c>
      <c r="C108">
        <v>246.43496573927428</v>
      </c>
    </row>
    <row r="109" spans="1:3">
      <c r="A109" t="s">
        <v>1968</v>
      </c>
      <c r="B109">
        <v>4.0138966061770969</v>
      </c>
      <c r="C109">
        <v>437.7604788451103</v>
      </c>
    </row>
    <row r="110" spans="1:3">
      <c r="A110" t="s">
        <v>1971</v>
      </c>
      <c r="B110">
        <v>5.673147247606626</v>
      </c>
      <c r="C110">
        <v>618.72038553489404</v>
      </c>
    </row>
    <row r="111" spans="1:3">
      <c r="A111" t="s">
        <v>1974</v>
      </c>
      <c r="B111">
        <v>7.1992908892939447</v>
      </c>
      <c r="C111">
        <v>785.16347984462936</v>
      </c>
    </row>
    <row r="112" spans="1:3">
      <c r="A112" t="s">
        <v>1977</v>
      </c>
      <c r="B112">
        <v>8.5566556560335307</v>
      </c>
      <c r="C112">
        <v>933.19934338455482</v>
      </c>
    </row>
    <row r="113" spans="1:3">
      <c r="A113" t="s">
        <v>1980</v>
      </c>
      <c r="B113">
        <v>9.7134480119678592</v>
      </c>
      <c r="C113">
        <v>1059.3605342031885</v>
      </c>
    </row>
    <row r="114" spans="1:3">
      <c r="A114" t="s">
        <v>1983</v>
      </c>
      <c r="B114">
        <v>10.642560402802324</v>
      </c>
      <c r="C114">
        <v>1160.6906692362372</v>
      </c>
    </row>
    <row r="115" spans="1:3">
      <c r="A115" t="s">
        <v>1986</v>
      </c>
      <c r="B115">
        <v>11.322217703711383</v>
      </c>
      <c r="C115">
        <v>1234.8149267068088</v>
      </c>
    </row>
    <row r="116" spans="1:3">
      <c r="A116" t="s">
        <v>1989</v>
      </c>
      <c r="B116">
        <v>11.736490361332333</v>
      </c>
      <c r="C116">
        <v>1279.9960100195915</v>
      </c>
    </row>
    <row r="117" spans="1:3">
      <c r="A117" t="s">
        <v>1992</v>
      </c>
      <c r="B117">
        <v>11.875668613198728</v>
      </c>
      <c r="C117">
        <v>1295.1749605904899</v>
      </c>
    </row>
    <row r="118" spans="1:3">
      <c r="A118" t="s">
        <v>1995</v>
      </c>
      <c r="B118">
        <v>11.736490361332333</v>
      </c>
      <c r="C118">
        <v>1279.9960100195915</v>
      </c>
    </row>
    <row r="119" spans="1:3">
      <c r="A119" t="s">
        <v>1998</v>
      </c>
      <c r="B119">
        <v>11.322217703711383</v>
      </c>
      <c r="C119">
        <v>1234.8149267068088</v>
      </c>
    </row>
    <row r="120" spans="1:3">
      <c r="A120" t="s">
        <v>2001</v>
      </c>
      <c r="B120">
        <v>10.642560402802324</v>
      </c>
      <c r="C120">
        <v>1160.6906692362372</v>
      </c>
    </row>
    <row r="121" spans="1:3">
      <c r="A121" t="s">
        <v>2004</v>
      </c>
      <c r="B121">
        <v>9.7134480119678592</v>
      </c>
      <c r="C121">
        <v>1059.3605342031885</v>
      </c>
    </row>
    <row r="122" spans="1:3">
      <c r="A122" t="s">
        <v>2007</v>
      </c>
      <c r="B122">
        <v>8.5566556560335307</v>
      </c>
      <c r="C122">
        <v>933.19934338455482</v>
      </c>
    </row>
    <row r="123" spans="1:3">
      <c r="A123" t="s">
        <v>2010</v>
      </c>
      <c r="B123">
        <v>7.1992908892939447</v>
      </c>
      <c r="C123">
        <v>785.16347984462936</v>
      </c>
    </row>
    <row r="124" spans="1:3">
      <c r="A124" t="s">
        <v>2013</v>
      </c>
      <c r="B124">
        <v>5.673147247606626</v>
      </c>
      <c r="C124">
        <v>618.72038553489404</v>
      </c>
    </row>
    <row r="125" spans="1:3">
      <c r="A125" t="s">
        <v>2016</v>
      </c>
      <c r="B125">
        <v>4.0138966061770969</v>
      </c>
      <c r="C125">
        <v>437.7604788451103</v>
      </c>
    </row>
    <row r="126" spans="1:3">
      <c r="A126" t="s">
        <v>2019</v>
      </c>
      <c r="B126">
        <v>2.2596020436422979</v>
      </c>
      <c r="C126">
        <v>246.43496573927428</v>
      </c>
    </row>
    <row r="127" spans="1:3">
      <c r="A127" t="s">
        <v>2022</v>
      </c>
      <c r="B127">
        <v>0.36868489583333336</v>
      </c>
      <c r="C127">
        <v>40.209226190476194</v>
      </c>
    </row>
    <row r="128" spans="1:3">
      <c r="A128" t="s">
        <v>1649</v>
      </c>
      <c r="B128">
        <v>0.36868489583333336</v>
      </c>
      <c r="C128">
        <v>40.209226190476194</v>
      </c>
    </row>
    <row r="129" spans="1:3">
      <c r="A129" t="s">
        <v>2025</v>
      </c>
      <c r="B129">
        <v>2.2596020436422979</v>
      </c>
      <c r="C129">
        <v>246.43496573927428</v>
      </c>
    </row>
    <row r="130" spans="1:3">
      <c r="A130" t="s">
        <v>2028</v>
      </c>
      <c r="B130">
        <v>4.0138966061770969</v>
      </c>
      <c r="C130">
        <v>437.7604788451103</v>
      </c>
    </row>
    <row r="131" spans="1:3">
      <c r="A131" t="s">
        <v>2031</v>
      </c>
      <c r="B131">
        <v>5.673147247606626</v>
      </c>
      <c r="C131">
        <v>618.72038553489404</v>
      </c>
    </row>
    <row r="132" spans="1:3">
      <c r="A132" t="s">
        <v>2034</v>
      </c>
      <c r="B132">
        <v>7.1992908892939447</v>
      </c>
      <c r="C132">
        <v>785.16347984462936</v>
      </c>
    </row>
    <row r="133" spans="1:3">
      <c r="A133" t="s">
        <v>2037</v>
      </c>
      <c r="B133">
        <v>8.5566556560335307</v>
      </c>
      <c r="C133">
        <v>933.19934338455482</v>
      </c>
    </row>
    <row r="134" spans="1:3">
      <c r="A134" t="s">
        <v>2040</v>
      </c>
      <c r="B134">
        <v>9.7134480119678592</v>
      </c>
      <c r="C134">
        <v>1059.3605342031885</v>
      </c>
    </row>
    <row r="135" spans="1:3">
      <c r="A135" t="s">
        <v>2043</v>
      </c>
      <c r="B135">
        <v>10.642560402802324</v>
      </c>
      <c r="C135">
        <v>1160.6906692362372</v>
      </c>
    </row>
    <row r="136" spans="1:3">
      <c r="A136" t="s">
        <v>2046</v>
      </c>
      <c r="B136">
        <v>11.322217703711383</v>
      </c>
      <c r="C136">
        <v>1234.8149267068088</v>
      </c>
    </row>
    <row r="137" spans="1:3">
      <c r="A137" t="s">
        <v>2049</v>
      </c>
      <c r="B137">
        <v>11.736490361332333</v>
      </c>
      <c r="C137">
        <v>1279.9960100195915</v>
      </c>
    </row>
    <row r="138" spans="1:3">
      <c r="A138" t="s">
        <v>2052</v>
      </c>
      <c r="B138">
        <v>11.875668613198728</v>
      </c>
      <c r="C138">
        <v>1295.1749605904899</v>
      </c>
    </row>
    <row r="139" spans="1:3">
      <c r="A139" t="s">
        <v>2055</v>
      </c>
      <c r="B139">
        <v>11.736490361332333</v>
      </c>
      <c r="C139">
        <v>1279.9960100195915</v>
      </c>
    </row>
    <row r="140" spans="1:3">
      <c r="A140" t="s">
        <v>2058</v>
      </c>
      <c r="B140">
        <v>11.322217703711383</v>
      </c>
      <c r="C140">
        <v>1234.8149267068088</v>
      </c>
    </row>
    <row r="141" spans="1:3">
      <c r="A141" t="s">
        <v>2061</v>
      </c>
      <c r="B141">
        <v>10.642560402802324</v>
      </c>
      <c r="C141">
        <v>1160.6906692362372</v>
      </c>
    </row>
    <row r="142" spans="1:3">
      <c r="A142" t="s">
        <v>2064</v>
      </c>
      <c r="B142">
        <v>9.7134480119678592</v>
      </c>
      <c r="C142">
        <v>1059.3605342031885</v>
      </c>
    </row>
    <row r="143" spans="1:3">
      <c r="A143" t="s">
        <v>2067</v>
      </c>
      <c r="B143">
        <v>8.5566556560335307</v>
      </c>
      <c r="C143">
        <v>933.19934338455482</v>
      </c>
    </row>
    <row r="144" spans="1:3">
      <c r="A144" t="s">
        <v>2070</v>
      </c>
      <c r="B144">
        <v>7.1992908892939447</v>
      </c>
      <c r="C144">
        <v>785.16347984462936</v>
      </c>
    </row>
    <row r="145" spans="1:3">
      <c r="A145" t="s">
        <v>2073</v>
      </c>
      <c r="B145">
        <v>5.673147247606626</v>
      </c>
      <c r="C145">
        <v>618.72038553489404</v>
      </c>
    </row>
    <row r="146" spans="1:3">
      <c r="A146" t="s">
        <v>2076</v>
      </c>
      <c r="B146">
        <v>4.0138966061770969</v>
      </c>
      <c r="C146">
        <v>437.7604788451103</v>
      </c>
    </row>
    <row r="147" spans="1:3">
      <c r="A147" t="s">
        <v>2079</v>
      </c>
      <c r="B147">
        <v>2.2596020436422979</v>
      </c>
      <c r="C147">
        <v>246.43496573927428</v>
      </c>
    </row>
    <row r="148" spans="1:3">
      <c r="A148" t="s">
        <v>2082</v>
      </c>
      <c r="B148">
        <v>0.36868489583333336</v>
      </c>
      <c r="C148">
        <v>40.209226190476194</v>
      </c>
    </row>
    <row r="149" spans="1:3">
      <c r="A149" t="s">
        <v>2085</v>
      </c>
      <c r="B149">
        <v>1.4747395833333332</v>
      </c>
      <c r="C149">
        <v>160.83690476190475</v>
      </c>
    </row>
    <row r="150" spans="1:3">
      <c r="A150" t="s">
        <v>2088</v>
      </c>
      <c r="B150">
        <v>9.0384081745691898</v>
      </c>
      <c r="C150">
        <v>985.73986295709699</v>
      </c>
    </row>
    <row r="151" spans="1:3">
      <c r="A151" t="s">
        <v>2091</v>
      </c>
      <c r="B151">
        <v>16.055586424708384</v>
      </c>
      <c r="C151">
        <v>1751.041915380441</v>
      </c>
    </row>
    <row r="152" spans="1:3">
      <c r="A152" t="s">
        <v>2094</v>
      </c>
      <c r="B152">
        <v>22.692588990426497</v>
      </c>
      <c r="C152">
        <v>2474.8815421395757</v>
      </c>
    </row>
    <row r="153" spans="1:3">
      <c r="A153" t="s">
        <v>2097</v>
      </c>
      <c r="B153">
        <v>28.797163557175775</v>
      </c>
      <c r="C153">
        <v>3140.653919378517</v>
      </c>
    </row>
    <row r="154" spans="1:3">
      <c r="A154" t="s">
        <v>2100</v>
      </c>
      <c r="B154">
        <v>34.226622624134116</v>
      </c>
      <c r="C154">
        <v>3732.7973735382188</v>
      </c>
    </row>
    <row r="155" spans="1:3">
      <c r="A155" t="s">
        <v>2103</v>
      </c>
      <c r="B155">
        <v>38.85379204787143</v>
      </c>
      <c r="C155">
        <v>4237.4421368127532</v>
      </c>
    </row>
    <row r="156" spans="1:3">
      <c r="A156" t="s">
        <v>2106</v>
      </c>
      <c r="B156">
        <v>42.570241611209291</v>
      </c>
      <c r="C156">
        <v>4642.762676944948</v>
      </c>
    </row>
    <row r="157" spans="1:3">
      <c r="A157" t="s">
        <v>2109</v>
      </c>
      <c r="B157">
        <v>45.288870814845524</v>
      </c>
      <c r="C157">
        <v>4939.2597068272344</v>
      </c>
    </row>
    <row r="158" spans="1:3">
      <c r="A158" t="s">
        <v>2112</v>
      </c>
      <c r="B158">
        <v>46.945961445329324</v>
      </c>
      <c r="C158">
        <v>5119.9840400783651</v>
      </c>
    </row>
    <row r="159" spans="1:3">
      <c r="A159" t="s">
        <v>2114</v>
      </c>
      <c r="B159">
        <v>47.502674452794899</v>
      </c>
      <c r="C159">
        <v>5180.699842361958</v>
      </c>
    </row>
    <row r="160" spans="1:3">
      <c r="A160" t="s">
        <v>2117</v>
      </c>
      <c r="B160">
        <v>46.945961445329324</v>
      </c>
      <c r="C160">
        <v>5119.9840400783651</v>
      </c>
    </row>
    <row r="161" spans="1:3">
      <c r="A161" t="s">
        <v>2120</v>
      </c>
      <c r="B161">
        <v>45.288870814845524</v>
      </c>
      <c r="C161">
        <v>4939.2597068272344</v>
      </c>
    </row>
    <row r="162" spans="1:3">
      <c r="A162" t="s">
        <v>2123</v>
      </c>
      <c r="B162">
        <v>42.570241611209291</v>
      </c>
      <c r="C162">
        <v>4642.762676944948</v>
      </c>
    </row>
    <row r="163" spans="1:3">
      <c r="A163" t="s">
        <v>2126</v>
      </c>
      <c r="B163">
        <v>38.85379204787143</v>
      </c>
      <c r="C163">
        <v>4237.4421368127532</v>
      </c>
    </row>
    <row r="164" spans="1:3">
      <c r="A164" t="s">
        <v>2129</v>
      </c>
      <c r="B164">
        <v>34.226622624134116</v>
      </c>
      <c r="C164">
        <v>3732.7973735382188</v>
      </c>
    </row>
    <row r="165" spans="1:3">
      <c r="A165" t="s">
        <v>2132</v>
      </c>
      <c r="B165">
        <v>28.797163557175775</v>
      </c>
      <c r="C165">
        <v>3140.653919378517</v>
      </c>
    </row>
    <row r="166" spans="1:3">
      <c r="A166" t="s">
        <v>2135</v>
      </c>
      <c r="B166">
        <v>22.692588990426497</v>
      </c>
      <c r="C166">
        <v>2474.8815421395757</v>
      </c>
    </row>
    <row r="167" spans="1:3">
      <c r="A167" t="s">
        <v>2138</v>
      </c>
      <c r="B167">
        <v>16.055586424708384</v>
      </c>
      <c r="C167">
        <v>1751.041915380441</v>
      </c>
    </row>
    <row r="168" spans="1:3">
      <c r="A168" t="s">
        <v>2141</v>
      </c>
      <c r="B168">
        <v>9.0384081745691898</v>
      </c>
      <c r="C168">
        <v>985.73986295709699</v>
      </c>
    </row>
    <row r="169" spans="1:3">
      <c r="A169" t="s">
        <v>2144</v>
      </c>
      <c r="B169">
        <v>1.4747395833333332</v>
      </c>
      <c r="C169">
        <v>160.83690476190475</v>
      </c>
    </row>
    <row r="170" spans="1:3">
      <c r="A170" t="s">
        <v>2147</v>
      </c>
      <c r="B170">
        <v>0.36868489583333336</v>
      </c>
      <c r="C170">
        <v>40.209226190476194</v>
      </c>
    </row>
    <row r="171" spans="1:3">
      <c r="A171" t="s">
        <v>2150</v>
      </c>
      <c r="B171">
        <v>2.2596020436422979</v>
      </c>
      <c r="C171">
        <v>246.43496573927428</v>
      </c>
    </row>
    <row r="172" spans="1:3">
      <c r="A172" t="s">
        <v>2153</v>
      </c>
      <c r="B172">
        <v>4.0138966061770969</v>
      </c>
      <c r="C172">
        <v>437.7604788451103</v>
      </c>
    </row>
    <row r="173" spans="1:3">
      <c r="A173" t="s">
        <v>2156</v>
      </c>
      <c r="B173">
        <v>5.673147247606626</v>
      </c>
      <c r="C173">
        <v>618.72038553489404</v>
      </c>
    </row>
    <row r="174" spans="1:3">
      <c r="A174" t="s">
        <v>2159</v>
      </c>
      <c r="B174">
        <v>7.1992908892939447</v>
      </c>
      <c r="C174">
        <v>785.16347984462936</v>
      </c>
    </row>
    <row r="175" spans="1:3">
      <c r="A175" t="s">
        <v>2162</v>
      </c>
      <c r="B175">
        <v>8.5566556560335307</v>
      </c>
      <c r="C175">
        <v>933.19934338455482</v>
      </c>
    </row>
    <row r="176" spans="1:3">
      <c r="A176" t="s">
        <v>2165</v>
      </c>
      <c r="B176">
        <v>9.7134480119678592</v>
      </c>
      <c r="C176">
        <v>1059.3605342031885</v>
      </c>
    </row>
    <row r="177" spans="1:3">
      <c r="A177" t="s">
        <v>2168</v>
      </c>
      <c r="B177">
        <v>10.642560402802324</v>
      </c>
      <c r="C177">
        <v>1160.6906692362372</v>
      </c>
    </row>
    <row r="178" spans="1:3">
      <c r="A178" t="s">
        <v>2171</v>
      </c>
      <c r="B178">
        <v>11.322217703711383</v>
      </c>
      <c r="C178">
        <v>1234.8149267068088</v>
      </c>
    </row>
    <row r="179" spans="1:3">
      <c r="A179" t="s">
        <v>2174</v>
      </c>
      <c r="B179">
        <v>11.736490361332333</v>
      </c>
      <c r="C179">
        <v>1279.9960100195915</v>
      </c>
    </row>
    <row r="180" spans="1:3">
      <c r="A180" t="s">
        <v>2177</v>
      </c>
      <c r="B180">
        <v>11.875668613198728</v>
      </c>
      <c r="C180">
        <v>1295.1749605904899</v>
      </c>
    </row>
    <row r="181" spans="1:3">
      <c r="A181" t="s">
        <v>2180</v>
      </c>
      <c r="B181">
        <v>11.736490361332333</v>
      </c>
      <c r="C181">
        <v>1279.9960100195915</v>
      </c>
    </row>
    <row r="182" spans="1:3">
      <c r="A182" t="s">
        <v>2183</v>
      </c>
      <c r="B182">
        <v>11.322217703711383</v>
      </c>
      <c r="C182">
        <v>1234.8149267068088</v>
      </c>
    </row>
    <row r="183" spans="1:3">
      <c r="A183" t="s">
        <v>2186</v>
      </c>
      <c r="B183">
        <v>10.642560402802324</v>
      </c>
      <c r="C183">
        <v>1160.6906692362372</v>
      </c>
    </row>
    <row r="184" spans="1:3">
      <c r="A184" t="s">
        <v>2189</v>
      </c>
      <c r="B184">
        <v>9.7134480119678592</v>
      </c>
      <c r="C184">
        <v>1059.3605342031885</v>
      </c>
    </row>
    <row r="185" spans="1:3">
      <c r="A185" t="s">
        <v>2192</v>
      </c>
      <c r="B185">
        <v>8.5566556560335307</v>
      </c>
      <c r="C185">
        <v>933.19934338455482</v>
      </c>
    </row>
    <row r="186" spans="1:3">
      <c r="A186" t="s">
        <v>2195</v>
      </c>
      <c r="B186">
        <v>7.1992908892939447</v>
      </c>
      <c r="C186">
        <v>785.16347984462936</v>
      </c>
    </row>
    <row r="187" spans="1:3">
      <c r="A187" t="s">
        <v>2198</v>
      </c>
      <c r="B187">
        <v>5.673147247606626</v>
      </c>
      <c r="C187">
        <v>618.72038553489404</v>
      </c>
    </row>
    <row r="188" spans="1:3">
      <c r="A188" t="s">
        <v>2201</v>
      </c>
      <c r="B188">
        <v>4.0138966061770969</v>
      </c>
      <c r="C188">
        <v>437.7604788451103</v>
      </c>
    </row>
    <row r="189" spans="1:3">
      <c r="A189" t="s">
        <v>2204</v>
      </c>
      <c r="B189">
        <v>2.2596020436422979</v>
      </c>
      <c r="C189">
        <v>246.43496573927428</v>
      </c>
    </row>
    <row r="190" spans="1:3">
      <c r="A190" t="s">
        <v>2207</v>
      </c>
      <c r="B190">
        <v>0.36868489583333336</v>
      </c>
      <c r="C190">
        <v>40.209226190476194</v>
      </c>
    </row>
    <row r="191" spans="1:3">
      <c r="A191" t="s">
        <v>1652</v>
      </c>
      <c r="B191">
        <v>0.5555245535714286</v>
      </c>
      <c r="C191">
        <v>25.471081349206351</v>
      </c>
    </row>
    <row r="192" spans="1:3">
      <c r="A192" t="s">
        <v>2210</v>
      </c>
      <c r="B192">
        <v>2.222098214285714</v>
      </c>
      <c r="C192">
        <v>101.88432539682537</v>
      </c>
    </row>
    <row r="193" spans="1:3">
      <c r="A193" t="s">
        <v>2213</v>
      </c>
      <c r="B193">
        <v>0.5555245535714286</v>
      </c>
      <c r="C193">
        <v>25.471081349206351</v>
      </c>
    </row>
    <row r="194" spans="1:3">
      <c r="A194" t="s">
        <v>2216</v>
      </c>
      <c r="B194">
        <v>3.4047080060229167</v>
      </c>
      <c r="C194">
        <v>156.10758162564872</v>
      </c>
    </row>
    <row r="195" spans="1:3">
      <c r="A195" t="s">
        <v>2219</v>
      </c>
      <c r="B195">
        <v>13.618832024091663</v>
      </c>
      <c r="C195">
        <v>624.43032650259465</v>
      </c>
    </row>
    <row r="196" spans="1:3">
      <c r="A196" t="s">
        <v>2222</v>
      </c>
      <c r="B196">
        <v>3.4047080060229167</v>
      </c>
      <c r="C196">
        <v>156.10758162564872</v>
      </c>
    </row>
    <row r="197" spans="1:3">
      <c r="A197" t="s">
        <v>2225</v>
      </c>
      <c r="B197">
        <v>6.0480321961342547</v>
      </c>
      <c r="C197">
        <v>277.30533075447079</v>
      </c>
    </row>
    <row r="198" spans="1:3">
      <c r="A198" t="s">
        <v>2228</v>
      </c>
      <c r="B198">
        <v>24.192128784537012</v>
      </c>
      <c r="C198">
        <v>1109.2213230178829</v>
      </c>
    </row>
    <row r="199" spans="1:3">
      <c r="A199" t="s">
        <v>2231</v>
      </c>
      <c r="B199">
        <v>6.0480321961342547</v>
      </c>
      <c r="C199">
        <v>277.30533075447079</v>
      </c>
    </row>
    <row r="200" spans="1:3">
      <c r="A200" t="s">
        <v>2234</v>
      </c>
      <c r="B200">
        <v>8.5481467445206665</v>
      </c>
      <c r="C200">
        <v>391.93684548210308</v>
      </c>
    </row>
    <row r="201" spans="1:3">
      <c r="A201" t="s">
        <v>2237</v>
      </c>
      <c r="B201">
        <v>34.192586978082659</v>
      </c>
      <c r="C201">
        <v>1567.7473819284121</v>
      </c>
    </row>
    <row r="202" spans="1:3">
      <c r="A202" t="s">
        <v>2240</v>
      </c>
      <c r="B202">
        <v>8.5481467445206665</v>
      </c>
      <c r="C202">
        <v>391.93684548210308</v>
      </c>
    </row>
    <row r="203" spans="1:3">
      <c r="A203" t="s">
        <v>2243</v>
      </c>
      <c r="B203">
        <v>10.847699220946176</v>
      </c>
      <c r="C203">
        <v>497.37248791635233</v>
      </c>
    </row>
    <row r="204" spans="1:3">
      <c r="A204" t="s">
        <v>2246</v>
      </c>
      <c r="B204">
        <v>43.390796883784695</v>
      </c>
      <c r="C204">
        <v>1989.4899516654089</v>
      </c>
    </row>
    <row r="205" spans="1:3">
      <c r="A205" t="s">
        <v>2249</v>
      </c>
      <c r="B205">
        <v>10.847699220946176</v>
      </c>
      <c r="C205">
        <v>497.37248791635233</v>
      </c>
    </row>
    <row r="206" spans="1:3">
      <c r="A206" t="s">
        <v>2252</v>
      </c>
      <c r="B206">
        <v>12.892940196636886</v>
      </c>
      <c r="C206">
        <v>591.14781960175912</v>
      </c>
    </row>
    <row r="207" spans="1:3">
      <c r="A207" t="s">
        <v>2255</v>
      </c>
      <c r="B207">
        <v>51.571760786547529</v>
      </c>
      <c r="C207">
        <v>2364.5912784070356</v>
      </c>
    </row>
    <row r="208" spans="1:3">
      <c r="A208" t="s">
        <v>2258</v>
      </c>
      <c r="B208">
        <v>12.892940196636886</v>
      </c>
      <c r="C208">
        <v>591.14781960175912</v>
      </c>
    </row>
    <row r="209" spans="1:3">
      <c r="A209" t="s">
        <v>2261</v>
      </c>
      <c r="B209">
        <v>14.635964020959111</v>
      </c>
      <c r="C209">
        <v>671.06634226199594</v>
      </c>
    </row>
    <row r="210" spans="1:3">
      <c r="A210" t="s">
        <v>2264</v>
      </c>
      <c r="B210">
        <v>58.543856083836438</v>
      </c>
      <c r="C210">
        <v>2684.2653690479833</v>
      </c>
    </row>
    <row r="211" spans="1:3">
      <c r="A211" t="s">
        <v>2267</v>
      </c>
      <c r="B211">
        <v>14.635964020959111</v>
      </c>
      <c r="C211">
        <v>671.06634226199594</v>
      </c>
    </row>
    <row r="212" spans="1:3">
      <c r="A212" t="s">
        <v>2270</v>
      </c>
      <c r="B212">
        <v>16.035925755136923</v>
      </c>
      <c r="C212">
        <v>735.25529482542947</v>
      </c>
    </row>
    <row r="213" spans="1:3">
      <c r="A213" t="s">
        <v>2273</v>
      </c>
      <c r="B213">
        <v>64.14370302054769</v>
      </c>
      <c r="C213">
        <v>2941.0211793017179</v>
      </c>
    </row>
    <row r="214" spans="1:3">
      <c r="A214" t="s">
        <v>2276</v>
      </c>
      <c r="B214">
        <v>16.035925755136923</v>
      </c>
      <c r="C214">
        <v>735.25529482542947</v>
      </c>
    </row>
    <row r="215" spans="1:3">
      <c r="A215" t="s">
        <v>2279</v>
      </c>
      <c r="B215">
        <v>17.060015222690669</v>
      </c>
      <c r="C215">
        <v>782.21031412967159</v>
      </c>
    </row>
    <row r="216" spans="1:3">
      <c r="A216" t="s">
        <v>2282</v>
      </c>
      <c r="B216">
        <v>68.240060890762663</v>
      </c>
      <c r="C216">
        <v>3128.8412565186854</v>
      </c>
    </row>
    <row r="217" spans="1:3">
      <c r="A217" t="s">
        <v>2285</v>
      </c>
      <c r="B217">
        <v>17.060015222690669</v>
      </c>
      <c r="C217">
        <v>782.21031412967159</v>
      </c>
    </row>
    <row r="218" spans="1:3">
      <c r="A218" t="s">
        <v>2288</v>
      </c>
      <c r="B218">
        <v>17.684230198087338</v>
      </c>
      <c r="C218">
        <v>810.83088601169743</v>
      </c>
    </row>
    <row r="219" spans="1:3">
      <c r="A219" t="s">
        <v>2291</v>
      </c>
      <c r="B219">
        <v>70.736920792349338</v>
      </c>
      <c r="C219">
        <v>3243.3235440467888</v>
      </c>
    </row>
    <row r="220" spans="1:3">
      <c r="A220" t="s">
        <v>2294</v>
      </c>
      <c r="B220">
        <v>17.684230198087338</v>
      </c>
      <c r="C220">
        <v>810.83088601169743</v>
      </c>
    </row>
    <row r="221" spans="1:3">
      <c r="A221" t="s">
        <v>2297</v>
      </c>
      <c r="B221">
        <v>17.893940270587521</v>
      </c>
      <c r="C221">
        <v>820.44619875000876</v>
      </c>
    </row>
    <row r="222" spans="1:3">
      <c r="A222" t="s">
        <v>2299</v>
      </c>
      <c r="B222">
        <v>71.575761082350084</v>
      </c>
      <c r="C222">
        <v>3281.784795000035</v>
      </c>
    </row>
    <row r="223" spans="1:3">
      <c r="A223" t="s">
        <v>2302</v>
      </c>
      <c r="B223">
        <v>17.893940270587521</v>
      </c>
      <c r="C223">
        <v>820.44619875000876</v>
      </c>
    </row>
    <row r="224" spans="1:3">
      <c r="A224" t="s">
        <v>2305</v>
      </c>
      <c r="B224">
        <v>17.684230198087338</v>
      </c>
      <c r="C224">
        <v>810.83088601169743</v>
      </c>
    </row>
    <row r="225" spans="1:3">
      <c r="A225" t="s">
        <v>2308</v>
      </c>
      <c r="B225">
        <v>70.736920792349338</v>
      </c>
      <c r="C225">
        <v>3243.3235440467888</v>
      </c>
    </row>
    <row r="226" spans="1:3">
      <c r="A226" t="s">
        <v>2311</v>
      </c>
      <c r="B226">
        <v>17.684230198087338</v>
      </c>
      <c r="C226">
        <v>810.83088601169743</v>
      </c>
    </row>
    <row r="227" spans="1:3">
      <c r="A227" t="s">
        <v>2314</v>
      </c>
      <c r="B227">
        <v>17.060015222690669</v>
      </c>
      <c r="C227">
        <v>782.21031412967159</v>
      </c>
    </row>
    <row r="228" spans="1:3">
      <c r="A228" t="s">
        <v>2317</v>
      </c>
      <c r="B228">
        <v>68.240060890762663</v>
      </c>
      <c r="C228">
        <v>3128.8412565186854</v>
      </c>
    </row>
    <row r="229" spans="1:3">
      <c r="A229" t="s">
        <v>2320</v>
      </c>
      <c r="B229">
        <v>17.060015222690669</v>
      </c>
      <c r="C229">
        <v>782.21031412967159</v>
      </c>
    </row>
    <row r="230" spans="1:3">
      <c r="A230" t="s">
        <v>2323</v>
      </c>
      <c r="B230">
        <v>16.035925755136923</v>
      </c>
      <c r="C230">
        <v>735.25529482542947</v>
      </c>
    </row>
    <row r="231" spans="1:3">
      <c r="A231" t="s">
        <v>2326</v>
      </c>
      <c r="B231">
        <v>64.14370302054769</v>
      </c>
      <c r="C231">
        <v>2941.0211793017179</v>
      </c>
    </row>
    <row r="232" spans="1:3">
      <c r="A232" t="s">
        <v>2329</v>
      </c>
      <c r="B232">
        <v>16.035925755136923</v>
      </c>
      <c r="C232">
        <v>735.25529482542947</v>
      </c>
    </row>
    <row r="233" spans="1:3">
      <c r="A233" t="s">
        <v>2332</v>
      </c>
      <c r="B233">
        <v>14.635964020959111</v>
      </c>
      <c r="C233">
        <v>671.06634226199594</v>
      </c>
    </row>
    <row r="234" spans="1:3">
      <c r="A234" t="s">
        <v>2335</v>
      </c>
      <c r="B234">
        <v>58.543856083836438</v>
      </c>
      <c r="C234">
        <v>2684.2653690479833</v>
      </c>
    </row>
    <row r="235" spans="1:3">
      <c r="A235" t="s">
        <v>2338</v>
      </c>
      <c r="B235">
        <v>14.635964020959111</v>
      </c>
      <c r="C235">
        <v>671.06634226199594</v>
      </c>
    </row>
    <row r="236" spans="1:3">
      <c r="A236" t="s">
        <v>2341</v>
      </c>
      <c r="B236">
        <v>12.892940196636886</v>
      </c>
      <c r="C236">
        <v>591.14781960175912</v>
      </c>
    </row>
    <row r="237" spans="1:3">
      <c r="A237" t="s">
        <v>2344</v>
      </c>
      <c r="B237">
        <v>51.571760786547529</v>
      </c>
      <c r="C237">
        <v>2364.5912784070356</v>
      </c>
    </row>
    <row r="238" spans="1:3">
      <c r="A238" t="s">
        <v>2347</v>
      </c>
      <c r="B238">
        <v>12.892940196636886</v>
      </c>
      <c r="C238">
        <v>591.14781960175912</v>
      </c>
    </row>
    <row r="239" spans="1:3">
      <c r="A239" t="s">
        <v>2350</v>
      </c>
      <c r="B239">
        <v>10.847699220946176</v>
      </c>
      <c r="C239">
        <v>497.37248791635233</v>
      </c>
    </row>
    <row r="240" spans="1:3">
      <c r="A240" t="s">
        <v>2353</v>
      </c>
      <c r="B240">
        <v>43.390796883784695</v>
      </c>
      <c r="C240">
        <v>1989.4899516654089</v>
      </c>
    </row>
    <row r="241" spans="1:3">
      <c r="A241" t="s">
        <v>2356</v>
      </c>
      <c r="B241">
        <v>10.847699220946176</v>
      </c>
      <c r="C241">
        <v>497.37248791635233</v>
      </c>
    </row>
    <row r="242" spans="1:3">
      <c r="A242" t="s">
        <v>2359</v>
      </c>
      <c r="B242">
        <v>8.5481467445206665</v>
      </c>
      <c r="C242">
        <v>391.93684548210308</v>
      </c>
    </row>
    <row r="243" spans="1:3">
      <c r="A243" t="s">
        <v>2362</v>
      </c>
      <c r="B243">
        <v>34.192586978082659</v>
      </c>
      <c r="C243">
        <v>1567.7473819284121</v>
      </c>
    </row>
    <row r="244" spans="1:3">
      <c r="A244" t="s">
        <v>2365</v>
      </c>
      <c r="B244">
        <v>8.5481467445206665</v>
      </c>
      <c r="C244">
        <v>391.93684548210308</v>
      </c>
    </row>
    <row r="245" spans="1:3">
      <c r="A245" t="s">
        <v>2368</v>
      </c>
      <c r="B245">
        <v>6.0480321961342547</v>
      </c>
      <c r="C245">
        <v>277.30533075447079</v>
      </c>
    </row>
    <row r="246" spans="1:3">
      <c r="A246" t="s">
        <v>2371</v>
      </c>
      <c r="B246">
        <v>24.192128784537012</v>
      </c>
      <c r="C246">
        <v>1109.2213230178829</v>
      </c>
    </row>
    <row r="247" spans="1:3">
      <c r="A247" t="s">
        <v>2374</v>
      </c>
      <c r="B247">
        <v>6.0480321961342547</v>
      </c>
      <c r="C247">
        <v>277.30533075447079</v>
      </c>
    </row>
    <row r="248" spans="1:3">
      <c r="A248" t="s">
        <v>2377</v>
      </c>
      <c r="B248">
        <v>3.4047080060229167</v>
      </c>
      <c r="C248">
        <v>156.10758162564872</v>
      </c>
    </row>
    <row r="249" spans="1:3">
      <c r="A249" t="s">
        <v>2380</v>
      </c>
      <c r="B249">
        <v>13.618832024091663</v>
      </c>
      <c r="C249">
        <v>624.43032650259465</v>
      </c>
    </row>
    <row r="250" spans="1:3">
      <c r="A250" t="s">
        <v>2383</v>
      </c>
      <c r="B250">
        <v>3.4047080060229167</v>
      </c>
      <c r="C250">
        <v>156.10758162564872</v>
      </c>
    </row>
    <row r="251" spans="1:3">
      <c r="A251" t="s">
        <v>2386</v>
      </c>
      <c r="B251">
        <v>0.5555245535714286</v>
      </c>
      <c r="C251">
        <v>25.471081349206351</v>
      </c>
    </row>
    <row r="252" spans="1:3">
      <c r="A252" t="s">
        <v>2389</v>
      </c>
      <c r="B252">
        <v>2.222098214285714</v>
      </c>
      <c r="C252">
        <v>101.88432539682537</v>
      </c>
    </row>
    <row r="253" spans="1:3">
      <c r="A253" t="s">
        <v>2392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William Roser</cp:lastModifiedBy>
  <cp:lastPrinted>2022-08-10T00:11:54Z</cp:lastPrinted>
  <dcterms:created xsi:type="dcterms:W3CDTF">2021-11-15T19:18:51Z</dcterms:created>
  <dcterms:modified xsi:type="dcterms:W3CDTF">2022-10-27T20:43:47Z</dcterms:modified>
</cp:coreProperties>
</file>