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roser\Documents\Code Workshop\3D Model 2\"/>
    </mc:Choice>
  </mc:AlternateContent>
  <xr:revisionPtr revIDLastSave="0" documentId="13_ncr:1_{2A27A8A5-A09F-49A3-AE43-3404486F90AD}" xr6:coauthVersionLast="47" xr6:coauthVersionMax="47" xr10:uidLastSave="{00000000-0000-0000-0000-000000000000}"/>
  <bookViews>
    <workbookView xWindow="-28920" yWindow="-120" windowWidth="29040" windowHeight="15840" tabRatio="903" activeTab="5" xr2:uid="{602A87BB-858A-4923-98D0-1A9BE48BFF6F}"/>
  </bookViews>
  <sheets>
    <sheet name="Dashboard" sheetId="239" r:id="rId1"/>
    <sheet name="changlog" sheetId="121" r:id="rId2"/>
    <sheet name="Floor Plan" sheetId="14" r:id="rId3"/>
    <sheet name="Tables" sheetId="16" r:id="rId4"/>
    <sheet name="recorders" sheetId="260" r:id="rId5"/>
    <sheet name="loadCases" sheetId="238" r:id="rId6"/>
    <sheet name="nodeLoads" sheetId="9" r:id="rId7"/>
    <sheet name="eleProperties" sheetId="6" r:id="rId8"/>
    <sheet name="eleTransf" sheetId="8" r:id="rId9"/>
    <sheet name="nodes" sheetId="296" r:id="rId10"/>
    <sheet name="nodeFix" sheetId="297" r:id="rId11"/>
    <sheet name="diaphragms" sheetId="298" r:id="rId12"/>
    <sheet name="nodeMass" sheetId="299" r:id="rId13"/>
    <sheet name="elements" sheetId="300" r:id="rId14"/>
  </sheets>
  <functionGroups builtInGroupCount="19"/>
  <definedNames>
    <definedName name="Case_List">OFFSET(loadCases!$A$2,0,0,COUNTA(loadCases!$A$2:$A$1048567),1)</definedName>
    <definedName name="Fixity">Tables!$A$3:$G$5</definedName>
    <definedName name="Fixity_List">OFFSET(Tables!$A$3,0,0,COUNTA(Tables!$A$3:$A$1048568),1)</definedName>
    <definedName name="Fixity_Table">OFFSET(Tables!$A$3,0,0,COUNTA(Tables!$A$3:$A$1048568),7)</definedName>
    <definedName name="Floor_Plan_Center_Table">OFFSET('Floor Plan'!$A$3,0,0,COUNTA('Floor Plan'!$A$3:$A$1048568),6)</definedName>
    <definedName name="Floor_Plan_Elements_Horiz">OFFSET('Floor Plan'!$O$3,0,0,COUNTA('Floor Plan'!$O$3:$O$1048567),6)</definedName>
    <definedName name="Floor_Plan_Elements_Vert">OFFSET('Floor Plan'!$V$3,0,0,COUNTA('Floor Plan'!$V$3:$V$1048567),5)</definedName>
    <definedName name="Floor_Plan_Node_Names">OFFSET('Floor Plan'!$H$3,0,0,COUNTA('Floor Plan'!$H$3:$H$1048567),1)</definedName>
    <definedName name="Floor_Plan_Node_Table">OFFSET('Floor Plan'!$H$3,0,0,COUNTA('Floor Plan'!$H$3:$H$1048567),6)</definedName>
    <definedName name="Grid">OFFSET(Tables!$L$2,0,0,COUNTA(Tables!$L$2:$L$1048568),3)</definedName>
    <definedName name="Grid_List">OFFSET(Tables!$L$2,0,0,COUNTA(Tables!$L$2:$L$1048568),1)</definedName>
    <definedName name="Load_Case_list">OFFSET(loadCases!$A$2,0,0,COUNTA(loadCases!$A$2:$A$1048576),1)</definedName>
    <definedName name="Load_Case_Types">"a,b,c"</definedName>
    <definedName name="Node_List">OFFSET(#REF!,0,0,COUNTA(#REF!),1)</definedName>
    <definedName name="Recorder_Type_List" localSheetId="4">OFFSET(recorders!$Q$2,0,0,1,COUNTA(recorders!$Q$1:$XFA$1))</definedName>
    <definedName name="Transformations_List">OFFSET(eleTransf!$A$2,0,0,COUNTA(eleTransf!$A:$A)-1,1)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3" i="14" l="1"/>
  <c r="F12" i="14"/>
  <c r="F11" i="14"/>
  <c r="F10" i="14"/>
  <c r="F9" i="14"/>
  <c r="F8" i="14"/>
  <c r="F7" i="14"/>
  <c r="F6" i="14"/>
  <c r="F5" i="14"/>
  <c r="F4" i="14"/>
  <c r="E13" i="14"/>
  <c r="E12" i="14"/>
  <c r="E11" i="14"/>
  <c r="E10" i="14"/>
  <c r="E9" i="14"/>
  <c r="E8" i="14"/>
  <c r="E7" i="14"/>
  <c r="E6" i="14"/>
  <c r="E5" i="14"/>
  <c r="E4" i="14"/>
  <c r="R4" i="260" a="1"/>
  <c r="R4" i="260" s="1"/>
  <c r="S4" i="260" a="1"/>
  <c r="S4" i="260" s="1"/>
  <c r="Q4" i="260" a="1"/>
  <c r="Q4" i="260" s="1"/>
  <c r="I8" i="6"/>
  <c r="H8" i="6"/>
  <c r="G8" i="6"/>
  <c r="D8" i="6"/>
  <c r="I7" i="6"/>
  <c r="H7" i="6"/>
  <c r="G7" i="6"/>
  <c r="D7" i="6"/>
  <c r="I6" i="6"/>
  <c r="H6" i="6"/>
  <c r="G6" i="6"/>
  <c r="D6" i="6"/>
  <c r="I10" i="6"/>
  <c r="H10" i="6"/>
  <c r="G10" i="6"/>
  <c r="D10" i="6"/>
  <c r="I9" i="6"/>
  <c r="H9" i="6"/>
  <c r="G9" i="6"/>
  <c r="D9" i="6"/>
  <c r="F3" i="14"/>
  <c r="E3" i="14"/>
  <c r="D3" i="14"/>
  <c r="C3" i="14"/>
  <c r="H4" i="14" l="1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3" i="14"/>
  <c r="G3" i="6"/>
  <c r="H3" i="6"/>
  <c r="I3" i="6"/>
  <c r="D3" i="6"/>
  <c r="I2" i="6"/>
  <c r="H2" i="6"/>
  <c r="G2" i="6"/>
  <c r="D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A1" authorId="0" shapeId="0" xr:uid="{30A06A8C-AAEB-4AFE-B814-DCA4BC6D224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Last updated 01-Mar-22 from SW's 28-Jan-22 docx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E1" authorId="0" shapeId="0" xr:uid="{A0794862-A64F-4442-8D04-DE2ED3F1319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Leave blank unless recorder needed for only one load case.</t>
        </r>
      </text>
    </comment>
    <comment ref="F1" authorId="0" shapeId="0" xr:uid="{871538FE-4873-4F42-A557-DBAD4B5E2100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Can leave blank for all 6 dofs.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<sst xmlns="http://schemas.openxmlformats.org/spreadsheetml/2006/main" count="3994" uniqueCount="902">
  <si>
    <t>Element</t>
  </si>
  <si>
    <t>Type</t>
  </si>
  <si>
    <t>iNode</t>
  </si>
  <si>
    <t>jNode</t>
  </si>
  <si>
    <t>Tag</t>
  </si>
  <si>
    <t>elasticBeamCol</t>
  </si>
  <si>
    <t>b</t>
  </si>
  <si>
    <t>h</t>
  </si>
  <si>
    <t>A</t>
  </si>
  <si>
    <t>E</t>
  </si>
  <si>
    <t>PropertyID</t>
  </si>
  <si>
    <t>column</t>
  </si>
  <si>
    <t>wall</t>
  </si>
  <si>
    <t>G</t>
  </si>
  <si>
    <t>J</t>
  </si>
  <si>
    <t>Iy</t>
  </si>
  <si>
    <t>Iz</t>
  </si>
  <si>
    <t>NodeUID</t>
  </si>
  <si>
    <t>X</t>
  </si>
  <si>
    <t>Y</t>
  </si>
  <si>
    <t>Z</t>
  </si>
  <si>
    <t>NodeID</t>
  </si>
  <si>
    <t>MX</t>
  </si>
  <si>
    <t>MY</t>
  </si>
  <si>
    <t>MZ</t>
  </si>
  <si>
    <t>Fixed</t>
  </si>
  <si>
    <t>Transformation</t>
  </si>
  <si>
    <t>TransfUID</t>
  </si>
  <si>
    <t>Xvec</t>
  </si>
  <si>
    <t>Yvec</t>
  </si>
  <si>
    <t>Zvec</t>
  </si>
  <si>
    <t>colNS</t>
  </si>
  <si>
    <t>colEW</t>
  </si>
  <si>
    <t>Linear</t>
  </si>
  <si>
    <t>PT</t>
  </si>
  <si>
    <t>UFP</t>
  </si>
  <si>
    <t>alpha</t>
  </si>
  <si>
    <t>fy</t>
  </si>
  <si>
    <t>init_strain</t>
  </si>
  <si>
    <t>fail_strain</t>
  </si>
  <si>
    <t>D</t>
  </si>
  <si>
    <t>Group</t>
  </si>
  <si>
    <t>t</t>
  </si>
  <si>
    <t>Node</t>
  </si>
  <si>
    <t>Direction</t>
  </si>
  <si>
    <t>Pattern</t>
  </si>
  <si>
    <t>Load</t>
  </si>
  <si>
    <t>Directions</t>
  </si>
  <si>
    <t>East</t>
  </si>
  <si>
    <t>North</t>
  </si>
  <si>
    <t>Up</t>
  </si>
  <si>
    <t>Name</t>
  </si>
  <si>
    <t>Grid</t>
  </si>
  <si>
    <t>Location</t>
  </si>
  <si>
    <t>B</t>
  </si>
  <si>
    <t>C</t>
  </si>
  <si>
    <t>Level 1</t>
  </si>
  <si>
    <t>Level 1.1</t>
  </si>
  <si>
    <t>Level 2</t>
  </si>
  <si>
    <t>Level 3</t>
  </si>
  <si>
    <t>Level 4</t>
  </si>
  <si>
    <t>Level 5</t>
  </si>
  <si>
    <t>Level 6</t>
  </si>
  <si>
    <t>Level 7</t>
  </si>
  <si>
    <t>Level 8</t>
  </si>
  <si>
    <t>Level 9</t>
  </si>
  <si>
    <t>Level 10</t>
  </si>
  <si>
    <t>Level 10.1</t>
  </si>
  <si>
    <t>Roof</t>
  </si>
  <si>
    <t>Mass and Center of Gravity</t>
  </si>
  <si>
    <t>Floor</t>
  </si>
  <si>
    <t>x</t>
  </si>
  <si>
    <t>y</t>
  </si>
  <si>
    <t>m</t>
  </si>
  <si>
    <t>I</t>
  </si>
  <si>
    <t>Vertical Elements</t>
  </si>
  <si>
    <t>Horizontal Elements</t>
  </si>
  <si>
    <t>1</t>
  </si>
  <si>
    <t>2</t>
  </si>
  <si>
    <t>3</t>
  </si>
  <si>
    <t>4</t>
  </si>
  <si>
    <t>MPP</t>
  </si>
  <si>
    <t>Base Connection</t>
  </si>
  <si>
    <t>Pin</t>
  </si>
  <si>
    <t>None</t>
  </si>
  <si>
    <t>BeamA12</t>
  </si>
  <si>
    <t>BeamA34</t>
  </si>
  <si>
    <t>BeamA23</t>
  </si>
  <si>
    <t>A1</t>
  </si>
  <si>
    <t>A2</t>
  </si>
  <si>
    <t>A3</t>
  </si>
  <si>
    <t>A4</t>
  </si>
  <si>
    <t>B1</t>
  </si>
  <si>
    <t>B2</t>
  </si>
  <si>
    <t>B3</t>
  </si>
  <si>
    <t>B4</t>
  </si>
  <si>
    <t>BeamB12</t>
  </si>
  <si>
    <t>BeamB23</t>
  </si>
  <si>
    <t>BeamB34</t>
  </si>
  <si>
    <t>BeamC23</t>
  </si>
  <si>
    <t>BeamD12</t>
  </si>
  <si>
    <t>BeamD23</t>
  </si>
  <si>
    <t>BeamD34</t>
  </si>
  <si>
    <t>Cb</t>
  </si>
  <si>
    <t>Ab</t>
  </si>
  <si>
    <t>BeamAAb2</t>
  </si>
  <si>
    <t>BeamAbB2</t>
  </si>
  <si>
    <t>BeamAAb3</t>
  </si>
  <si>
    <t>BeamAbB3</t>
  </si>
  <si>
    <t>BeamCCb2</t>
  </si>
  <si>
    <t>BeamCbD2</t>
  </si>
  <si>
    <t>BeamCCb3</t>
  </si>
  <si>
    <t>BeamCbD3</t>
  </si>
  <si>
    <t>Ab2</t>
  </si>
  <si>
    <t>Ab3</t>
  </si>
  <si>
    <t>Cb2</t>
  </si>
  <si>
    <t>Cb3</t>
  </si>
  <si>
    <t>D1</t>
  </si>
  <si>
    <t>D2</t>
  </si>
  <si>
    <t>D3</t>
  </si>
  <si>
    <t>D4</t>
  </si>
  <si>
    <t>C2</t>
  </si>
  <si>
    <t>C3</t>
  </si>
  <si>
    <t>ColA1</t>
  </si>
  <si>
    <t>ColA2</t>
  </si>
  <si>
    <t>ColA3</t>
  </si>
  <si>
    <t>ColA4</t>
  </si>
  <si>
    <t>ColB1</t>
  </si>
  <si>
    <t>ColB2</t>
  </si>
  <si>
    <t>ColB3</t>
  </si>
  <si>
    <t>ColB4</t>
  </si>
  <si>
    <t>ColC2</t>
  </si>
  <si>
    <t>ColC3</t>
  </si>
  <si>
    <t>ColD1</t>
  </si>
  <si>
    <t>ColD2</t>
  </si>
  <si>
    <t>ColD3</t>
  </si>
  <si>
    <t>ColD4</t>
  </si>
  <si>
    <t>WallN</t>
  </si>
  <si>
    <t>WallS</t>
  </si>
  <si>
    <t>WallW</t>
  </si>
  <si>
    <t>WallE</t>
  </si>
  <si>
    <t>CLT</t>
  </si>
  <si>
    <t>ACLT</t>
  </si>
  <si>
    <t>CCLT</t>
  </si>
  <si>
    <t>MPP1</t>
  </si>
  <si>
    <t>MPP4</t>
  </si>
  <si>
    <t>CLT9</t>
  </si>
  <si>
    <t>MPP9</t>
  </si>
  <si>
    <t>LVL Col Deep</t>
  </si>
  <si>
    <t>LVL Col Square</t>
  </si>
  <si>
    <t>LVL Beam</t>
  </si>
  <si>
    <t>JointOffset</t>
  </si>
  <si>
    <t>Std Beam</t>
  </si>
  <si>
    <t>Short Name</t>
  </si>
  <si>
    <t>F2</t>
  </si>
  <si>
    <t>F3</t>
  </si>
  <si>
    <t>Nodes on Each Floor</t>
  </si>
  <si>
    <t>Rigid Diaphragm</t>
  </si>
  <si>
    <t>dXi</t>
  </si>
  <si>
    <t>dYi</t>
  </si>
  <si>
    <t>dZi</t>
  </si>
  <si>
    <t>dXj</t>
  </si>
  <si>
    <t>dYj</t>
  </si>
  <si>
    <t>dZj</t>
  </si>
  <si>
    <t>F1</t>
  </si>
  <si>
    <t>Fixity</t>
  </si>
  <si>
    <t>Diaphragm</t>
  </si>
  <si>
    <t>Free</t>
  </si>
  <si>
    <t>F4</t>
  </si>
  <si>
    <t>F5</t>
  </si>
  <si>
    <t>F6</t>
  </si>
  <si>
    <t>F7</t>
  </si>
  <si>
    <t>F8</t>
  </si>
  <si>
    <t>F9</t>
  </si>
  <si>
    <t>F10</t>
  </si>
  <si>
    <t>F11</t>
  </si>
  <si>
    <t>Group Tags</t>
  </si>
  <si>
    <t>main; column</t>
  </si>
  <si>
    <t>main; wall</t>
  </si>
  <si>
    <t>Date</t>
  </si>
  <si>
    <t>Note</t>
  </si>
  <si>
    <t>Description</t>
  </si>
  <si>
    <t>Centerline of CLT walls.</t>
  </si>
  <si>
    <t>Centerline of MPP walls.</t>
  </si>
  <si>
    <t>Top of walls.</t>
  </si>
  <si>
    <t>ConstrainedNode</t>
  </si>
  <si>
    <t>RetainedNode</t>
  </si>
  <si>
    <t>F1A1</t>
  </si>
  <si>
    <t>F1A2</t>
  </si>
  <si>
    <t>F1A3</t>
  </si>
  <si>
    <t>F1A4</t>
  </si>
  <si>
    <t>F1ACLT</t>
  </si>
  <si>
    <t>F1MPP1</t>
  </si>
  <si>
    <t>F1MPP4</t>
  </si>
  <si>
    <t>F1B1</t>
  </si>
  <si>
    <t>F1B2</t>
  </si>
  <si>
    <t>F1B3</t>
  </si>
  <si>
    <t>F1B4</t>
  </si>
  <si>
    <t>F1C2</t>
  </si>
  <si>
    <t>F1C3</t>
  </si>
  <si>
    <t>F1CCLT</t>
  </si>
  <si>
    <t>F1D1</t>
  </si>
  <si>
    <t>F1D2</t>
  </si>
  <si>
    <t>F1D3</t>
  </si>
  <si>
    <t>F1D4</t>
  </si>
  <si>
    <t>F2_center</t>
  </si>
  <si>
    <t>F2A1</t>
  </si>
  <si>
    <t>F2A2</t>
  </si>
  <si>
    <t>F2A3</t>
  </si>
  <si>
    <t>F2A4</t>
  </si>
  <si>
    <t>F2ACLT</t>
  </si>
  <si>
    <t>F2Ab2</t>
  </si>
  <si>
    <t>F2Ab3</t>
  </si>
  <si>
    <t>F2MPP1</t>
  </si>
  <si>
    <t>F2MPP4</t>
  </si>
  <si>
    <t>F2B1</t>
  </si>
  <si>
    <t>F2B2</t>
  </si>
  <si>
    <t>F2B3</t>
  </si>
  <si>
    <t>F2B4</t>
  </si>
  <si>
    <t>F2C2</t>
  </si>
  <si>
    <t>F2C3</t>
  </si>
  <si>
    <t>F2CCLT</t>
  </si>
  <si>
    <t>F2Cb2</t>
  </si>
  <si>
    <t>F2Cb3</t>
  </si>
  <si>
    <t>F2D1</t>
  </si>
  <si>
    <t>F2D2</t>
  </si>
  <si>
    <t>F2D3</t>
  </si>
  <si>
    <t>F2D4</t>
  </si>
  <si>
    <t>F3_center</t>
  </si>
  <si>
    <t>F3A1</t>
  </si>
  <si>
    <t>F3A2</t>
  </si>
  <si>
    <t>F3A3</t>
  </si>
  <si>
    <t>F3A4</t>
  </si>
  <si>
    <t>F3ACLT</t>
  </si>
  <si>
    <t>F3Ab2</t>
  </si>
  <si>
    <t>F3Ab3</t>
  </si>
  <si>
    <t>F3MPP1</t>
  </si>
  <si>
    <t>F3MPP4</t>
  </si>
  <si>
    <t>F3B1</t>
  </si>
  <si>
    <t>F3B2</t>
  </si>
  <si>
    <t>F3B3</t>
  </si>
  <si>
    <t>F3B4</t>
  </si>
  <si>
    <t>F3C2</t>
  </si>
  <si>
    <t>F3C3</t>
  </si>
  <si>
    <t>F3CCLT</t>
  </si>
  <si>
    <t>F3Cb2</t>
  </si>
  <si>
    <t>F3Cb3</t>
  </si>
  <si>
    <t>F3D1</t>
  </si>
  <si>
    <t>F3D2</t>
  </si>
  <si>
    <t>F3D3</t>
  </si>
  <si>
    <t>F3D4</t>
  </si>
  <si>
    <t>F4_center</t>
  </si>
  <si>
    <t>F4A1</t>
  </si>
  <si>
    <t>F4A2</t>
  </si>
  <si>
    <t>F4A3</t>
  </si>
  <si>
    <t>F4A4</t>
  </si>
  <si>
    <t>F4ACLT</t>
  </si>
  <si>
    <t>F4Ab2</t>
  </si>
  <si>
    <t>F4Ab3</t>
  </si>
  <si>
    <t>F4MPP1</t>
  </si>
  <si>
    <t>F4MPP4</t>
  </si>
  <si>
    <t>F4B1</t>
  </si>
  <si>
    <t>F4B2</t>
  </si>
  <si>
    <t>F4B3</t>
  </si>
  <si>
    <t>F4B4</t>
  </si>
  <si>
    <t>F4C2</t>
  </si>
  <si>
    <t>F4C3</t>
  </si>
  <si>
    <t>F4CCLT</t>
  </si>
  <si>
    <t>F4Cb2</t>
  </si>
  <si>
    <t>F4Cb3</t>
  </si>
  <si>
    <t>F4D1</t>
  </si>
  <si>
    <t>F4D2</t>
  </si>
  <si>
    <t>F4D3</t>
  </si>
  <si>
    <t>F4D4</t>
  </si>
  <si>
    <t>F5_center</t>
  </si>
  <si>
    <t>F5A1</t>
  </si>
  <si>
    <t>F5A2</t>
  </si>
  <si>
    <t>F5A3</t>
  </si>
  <si>
    <t>F5A4</t>
  </si>
  <si>
    <t>F5ACLT</t>
  </si>
  <si>
    <t>F5Ab2</t>
  </si>
  <si>
    <t>F5Ab3</t>
  </si>
  <si>
    <t>F5MPP1</t>
  </si>
  <si>
    <t>F5MPP4</t>
  </si>
  <si>
    <t>F5B1</t>
  </si>
  <si>
    <t>F5B2</t>
  </si>
  <si>
    <t>F5B3</t>
  </si>
  <si>
    <t>F5B4</t>
  </si>
  <si>
    <t>F5C2</t>
  </si>
  <si>
    <t>F5C3</t>
  </si>
  <si>
    <t>F5CCLT</t>
  </si>
  <si>
    <t>F5Cb2</t>
  </si>
  <si>
    <t>F5Cb3</t>
  </si>
  <si>
    <t>F5D1</t>
  </si>
  <si>
    <t>F5D2</t>
  </si>
  <si>
    <t>F5D3</t>
  </si>
  <si>
    <t>F5D4</t>
  </si>
  <si>
    <t>F6_center</t>
  </si>
  <si>
    <t>F6A1</t>
  </si>
  <si>
    <t>F6A2</t>
  </si>
  <si>
    <t>F6A3</t>
  </si>
  <si>
    <t>F6A4</t>
  </si>
  <si>
    <t>F6ACLT</t>
  </si>
  <si>
    <t>F6Ab2</t>
  </si>
  <si>
    <t>F6Ab3</t>
  </si>
  <si>
    <t>F6MPP1</t>
  </si>
  <si>
    <t>F6MPP4</t>
  </si>
  <si>
    <t>F6B1</t>
  </si>
  <si>
    <t>F6B2</t>
  </si>
  <si>
    <t>F6B3</t>
  </si>
  <si>
    <t>F6B4</t>
  </si>
  <si>
    <t>F6C2</t>
  </si>
  <si>
    <t>F6C3</t>
  </si>
  <si>
    <t>F6CCLT</t>
  </si>
  <si>
    <t>F6Cb2</t>
  </si>
  <si>
    <t>F6Cb3</t>
  </si>
  <si>
    <t>F6D1</t>
  </si>
  <si>
    <t>F6D2</t>
  </si>
  <si>
    <t>F6D3</t>
  </si>
  <si>
    <t>F6D4</t>
  </si>
  <si>
    <t>F7_center</t>
  </si>
  <si>
    <t>F7A1</t>
  </si>
  <si>
    <t>F7A2</t>
  </si>
  <si>
    <t>F7A3</t>
  </si>
  <si>
    <t>F7A4</t>
  </si>
  <si>
    <t>F7ACLT</t>
  </si>
  <si>
    <t>F7Ab2</t>
  </si>
  <si>
    <t>F7Ab3</t>
  </si>
  <si>
    <t>F7MPP1</t>
  </si>
  <si>
    <t>F7MPP4</t>
  </si>
  <si>
    <t>F7B1</t>
  </si>
  <si>
    <t>F7B2</t>
  </si>
  <si>
    <t>F7B3</t>
  </si>
  <si>
    <t>F7B4</t>
  </si>
  <si>
    <t>F7C2</t>
  </si>
  <si>
    <t>F7C3</t>
  </si>
  <si>
    <t>F7CCLT</t>
  </si>
  <si>
    <t>F7Cb2</t>
  </si>
  <si>
    <t>F7Cb3</t>
  </si>
  <si>
    <t>F7D1</t>
  </si>
  <si>
    <t>F7D2</t>
  </si>
  <si>
    <t>F7D3</t>
  </si>
  <si>
    <t>F7D4</t>
  </si>
  <si>
    <t>F8_center</t>
  </si>
  <si>
    <t>F8A1</t>
  </si>
  <si>
    <t>F8A2</t>
  </si>
  <si>
    <t>F8A3</t>
  </si>
  <si>
    <t>F8A4</t>
  </si>
  <si>
    <t>F8ACLT</t>
  </si>
  <si>
    <t>F8Ab2</t>
  </si>
  <si>
    <t>F8Ab3</t>
  </si>
  <si>
    <t>F8MPP1</t>
  </si>
  <si>
    <t>F8MPP4</t>
  </si>
  <si>
    <t>F8B1</t>
  </si>
  <si>
    <t>F8B2</t>
  </si>
  <si>
    <t>F8B3</t>
  </si>
  <si>
    <t>F8B4</t>
  </si>
  <si>
    <t>F8C2</t>
  </si>
  <si>
    <t>F8C3</t>
  </si>
  <si>
    <t>F8CCLT</t>
  </si>
  <si>
    <t>F8Cb2</t>
  </si>
  <si>
    <t>F8Cb3</t>
  </si>
  <si>
    <t>F8D1</t>
  </si>
  <si>
    <t>F8D2</t>
  </si>
  <si>
    <t>F8D3</t>
  </si>
  <si>
    <t>F8D4</t>
  </si>
  <si>
    <t>F9_center</t>
  </si>
  <si>
    <t>F9A1</t>
  </si>
  <si>
    <t>F9A2</t>
  </si>
  <si>
    <t>F9A3</t>
  </si>
  <si>
    <t>F9A4</t>
  </si>
  <si>
    <t>F9ACLT</t>
  </si>
  <si>
    <t>F9Ab2</t>
  </si>
  <si>
    <t>F9Ab3</t>
  </si>
  <si>
    <t>F9MPP1</t>
  </si>
  <si>
    <t>F9MPP4</t>
  </si>
  <si>
    <t>F9B1</t>
  </si>
  <si>
    <t>F9B2</t>
  </si>
  <si>
    <t>F9B3</t>
  </si>
  <si>
    <t>F9B4</t>
  </si>
  <si>
    <t>F9C2</t>
  </si>
  <si>
    <t>F9C3</t>
  </si>
  <si>
    <t>F9CCLT</t>
  </si>
  <si>
    <t>F9Cb2</t>
  </si>
  <si>
    <t>F9Cb3</t>
  </si>
  <si>
    <t>F9D1</t>
  </si>
  <si>
    <t>F9D2</t>
  </si>
  <si>
    <t>F9D3</t>
  </si>
  <si>
    <t>F9D4</t>
  </si>
  <si>
    <t>F10_center</t>
  </si>
  <si>
    <t>F10A1</t>
  </si>
  <si>
    <t>F10A2</t>
  </si>
  <si>
    <t>F10A3</t>
  </si>
  <si>
    <t>F10A4</t>
  </si>
  <si>
    <t>F10ACLT</t>
  </si>
  <si>
    <t>F10Ab2</t>
  </si>
  <si>
    <t>F10Ab3</t>
  </si>
  <si>
    <t>F10MPP1</t>
  </si>
  <si>
    <t>F10MPP4</t>
  </si>
  <si>
    <t>F10B1</t>
  </si>
  <si>
    <t>F10B2</t>
  </si>
  <si>
    <t>F10B3</t>
  </si>
  <si>
    <t>F10B4</t>
  </si>
  <si>
    <t>F10C2</t>
  </si>
  <si>
    <t>F10C3</t>
  </si>
  <si>
    <t>F10CCLT</t>
  </si>
  <si>
    <t>F10Cb2</t>
  </si>
  <si>
    <t>F10Cb3</t>
  </si>
  <si>
    <t>F10D1</t>
  </si>
  <si>
    <t>F10D2</t>
  </si>
  <si>
    <t>F10D3</t>
  </si>
  <si>
    <t>F10D4</t>
  </si>
  <si>
    <t>F11_center</t>
  </si>
  <si>
    <t>F11A1</t>
  </si>
  <si>
    <t>F11A2</t>
  </si>
  <si>
    <t>F11A3</t>
  </si>
  <si>
    <t>F11A4</t>
  </si>
  <si>
    <t>F11ACLT</t>
  </si>
  <si>
    <t>F11Ab2</t>
  </si>
  <si>
    <t>F11Ab3</t>
  </si>
  <si>
    <t>F11MPP1</t>
  </si>
  <si>
    <t>F11MPP4</t>
  </si>
  <si>
    <t>F11B1</t>
  </si>
  <si>
    <t>F11B2</t>
  </si>
  <si>
    <t>F11B3</t>
  </si>
  <si>
    <t>F11B4</t>
  </si>
  <si>
    <t>F11C2</t>
  </si>
  <si>
    <t>F11C3</t>
  </si>
  <si>
    <t>F11CCLT</t>
  </si>
  <si>
    <t>F11Cb2</t>
  </si>
  <si>
    <t>F11Cb3</t>
  </si>
  <si>
    <t>F11D1</t>
  </si>
  <si>
    <t>F11D2</t>
  </si>
  <si>
    <t>F11D3</t>
  </si>
  <si>
    <t>F11D4</t>
  </si>
  <si>
    <t>Writes nodes that are on every floor.
Adds groups to nodes.
Adds master nodes for each diaphragm to node list.
Adds nodal masses at floor diaphragms.</t>
  </si>
  <si>
    <t>F2BeamA12</t>
  </si>
  <si>
    <t>F2BeamA34</t>
  </si>
  <si>
    <t>F2BeamA23</t>
  </si>
  <si>
    <t>F2BeamB12</t>
  </si>
  <si>
    <t>F2BeamB23</t>
  </si>
  <si>
    <t>F2BeamB34</t>
  </si>
  <si>
    <t>F2BeamC23</t>
  </si>
  <si>
    <t>F2BeamD12</t>
  </si>
  <si>
    <t>F2BeamD23</t>
  </si>
  <si>
    <t>F2BeamD34</t>
  </si>
  <si>
    <t>F2BeamAAb2</t>
  </si>
  <si>
    <t>F2BeamAbB2</t>
  </si>
  <si>
    <t>F2BeamAAb3</t>
  </si>
  <si>
    <t>F2BeamAbB3</t>
  </si>
  <si>
    <t>F2BeamCCb2</t>
  </si>
  <si>
    <t>F2BeamCbD2</t>
  </si>
  <si>
    <t>F2BeamCCb3</t>
  </si>
  <si>
    <t>F2BeamCbD3</t>
  </si>
  <si>
    <t>F3BeamA12</t>
  </si>
  <si>
    <t>F3BeamA34</t>
  </si>
  <si>
    <t>F3BeamA23</t>
  </si>
  <si>
    <t>F3BeamB12</t>
  </si>
  <si>
    <t>F3BeamB23</t>
  </si>
  <si>
    <t>F3BeamB34</t>
  </si>
  <si>
    <t>F3BeamC23</t>
  </si>
  <si>
    <t>F3BeamD12</t>
  </si>
  <si>
    <t>F3BeamD23</t>
  </si>
  <si>
    <t>F3BeamD34</t>
  </si>
  <si>
    <t>F3BeamAAb2</t>
  </si>
  <si>
    <t>F3BeamAbB2</t>
  </si>
  <si>
    <t>F3BeamAAb3</t>
  </si>
  <si>
    <t>F3BeamAbB3</t>
  </si>
  <si>
    <t>F3BeamCCb2</t>
  </si>
  <si>
    <t>F3BeamCbD2</t>
  </si>
  <si>
    <t>F3BeamCCb3</t>
  </si>
  <si>
    <t>F3BeamCbD3</t>
  </si>
  <si>
    <t>F4BeamA12</t>
  </si>
  <si>
    <t>F4BeamA34</t>
  </si>
  <si>
    <t>F4BeamA23</t>
  </si>
  <si>
    <t>F4BeamB12</t>
  </si>
  <si>
    <t>F4BeamB23</t>
  </si>
  <si>
    <t>F4BeamC23</t>
  </si>
  <si>
    <t>F4BeamD12</t>
  </si>
  <si>
    <t>F4BeamD23</t>
  </si>
  <si>
    <t>F4BeamD34</t>
  </si>
  <si>
    <t>F4BeamAAb2</t>
  </si>
  <si>
    <t>F4BeamAbB2</t>
  </si>
  <si>
    <t>F4BeamAAb3</t>
  </si>
  <si>
    <t>F4BeamAbB3</t>
  </si>
  <si>
    <t>F4BeamCCb2</t>
  </si>
  <si>
    <t>F4BeamCbD2</t>
  </si>
  <si>
    <t>F4BeamCCb3</t>
  </si>
  <si>
    <t>F4BeamCbD3</t>
  </si>
  <si>
    <t>F5BeamA12</t>
  </si>
  <si>
    <t>F5BeamA34</t>
  </si>
  <si>
    <t>F5BeamA23</t>
  </si>
  <si>
    <t>F5BeamB12</t>
  </si>
  <si>
    <t>F5BeamB23</t>
  </si>
  <si>
    <t>F5BeamB34</t>
  </si>
  <si>
    <t>F5BeamC23</t>
  </si>
  <si>
    <t>F5BeamD12</t>
  </si>
  <si>
    <t>F5BeamD23</t>
  </si>
  <si>
    <t>F5BeamD34</t>
  </si>
  <si>
    <t>F5BeamAAb2</t>
  </si>
  <si>
    <t>F5BeamAbB2</t>
  </si>
  <si>
    <t>F5BeamAAb3</t>
  </si>
  <si>
    <t>F5BeamAbB3</t>
  </si>
  <si>
    <t>F5BeamCCb2</t>
  </si>
  <si>
    <t>F5BeamCbD2</t>
  </si>
  <si>
    <t>F5BeamCCb3</t>
  </si>
  <si>
    <t>F5BeamCbD3</t>
  </si>
  <si>
    <t>F6BeamA12</t>
  </si>
  <si>
    <t>F6BeamA34</t>
  </si>
  <si>
    <t>F6BeamA23</t>
  </si>
  <si>
    <t>F6BeamB12</t>
  </si>
  <si>
    <t>F6BeamB23</t>
  </si>
  <si>
    <t>F6BeamB34</t>
  </si>
  <si>
    <t>F6BeamC23</t>
  </si>
  <si>
    <t>F6BeamD12</t>
  </si>
  <si>
    <t>F6BeamD23</t>
  </si>
  <si>
    <t>F6BeamD34</t>
  </si>
  <si>
    <t>F6BeamAAb2</t>
  </si>
  <si>
    <t>F6BeamAbB2</t>
  </si>
  <si>
    <t>F6BeamAAb3</t>
  </si>
  <si>
    <t>F6BeamAbB3</t>
  </si>
  <si>
    <t>F6BeamCCb2</t>
  </si>
  <si>
    <t>F6BeamCbD2</t>
  </si>
  <si>
    <t>F6BeamCCb3</t>
  </si>
  <si>
    <t>F6BeamCbD3</t>
  </si>
  <si>
    <t>F7BeamA12</t>
  </si>
  <si>
    <t>F7BeamA34</t>
  </si>
  <si>
    <t>F7BeamA23</t>
  </si>
  <si>
    <t>F7BeamB12</t>
  </si>
  <si>
    <t>F7BeamB23</t>
  </si>
  <si>
    <t>F7BeamB34</t>
  </si>
  <si>
    <t>F7BeamC23</t>
  </si>
  <si>
    <t>F7BeamD12</t>
  </si>
  <si>
    <t>F7BeamD23</t>
  </si>
  <si>
    <t>F7BeamD34</t>
  </si>
  <si>
    <t>F7BeamAAb2</t>
  </si>
  <si>
    <t>F7BeamAbB2</t>
  </si>
  <si>
    <t>F7BeamAAb3</t>
  </si>
  <si>
    <t>F7BeamAbB3</t>
  </si>
  <si>
    <t>F7BeamCCb2</t>
  </si>
  <si>
    <t>F7BeamCbD2</t>
  </si>
  <si>
    <t>F7BeamCCb3</t>
  </si>
  <si>
    <t>F7BeamCbD3</t>
  </si>
  <si>
    <t>F8BeamA12</t>
  </si>
  <si>
    <t>F8BeamA34</t>
  </si>
  <si>
    <t>F8BeamA23</t>
  </si>
  <si>
    <t>F8BeamB12</t>
  </si>
  <si>
    <t>F8BeamB23</t>
  </si>
  <si>
    <t>F8BeamB34</t>
  </si>
  <si>
    <t>F8BeamC23</t>
  </si>
  <si>
    <t>F8BeamD12</t>
  </si>
  <si>
    <t>F8BeamD23</t>
  </si>
  <si>
    <t>F8BeamD34</t>
  </si>
  <si>
    <t>F8BeamAAb2</t>
  </si>
  <si>
    <t>F8BeamAbB2</t>
  </si>
  <si>
    <t>F8BeamAAb3</t>
  </si>
  <si>
    <t>F8BeamAbB3</t>
  </si>
  <si>
    <t>F8BeamCCb2</t>
  </si>
  <si>
    <t>F8BeamCbD2</t>
  </si>
  <si>
    <t>F8BeamCCb3</t>
  </si>
  <si>
    <t>F8BeamCbD3</t>
  </si>
  <si>
    <t>F9BeamA12</t>
  </si>
  <si>
    <t>F9BeamA34</t>
  </si>
  <si>
    <t>F9BeamA23</t>
  </si>
  <si>
    <t>F9BeamB12</t>
  </si>
  <si>
    <t>F9BeamB23</t>
  </si>
  <si>
    <t>F9BeamB34</t>
  </si>
  <si>
    <t>F9BeamC23</t>
  </si>
  <si>
    <t>F9BeamD12</t>
  </si>
  <si>
    <t>F9BeamD23</t>
  </si>
  <si>
    <t>F9BeamD34</t>
  </si>
  <si>
    <t>F9BeamAAb2</t>
  </si>
  <si>
    <t>F9BeamAbB2</t>
  </si>
  <si>
    <t>F9BeamAAb3</t>
  </si>
  <si>
    <t>F9BeamAbB3</t>
  </si>
  <si>
    <t>F9BeamCCb2</t>
  </si>
  <si>
    <t>F9BeamCbD2</t>
  </si>
  <si>
    <t>F9BeamCCb3</t>
  </si>
  <si>
    <t>F9BeamCbD3</t>
  </si>
  <si>
    <t>F10BeamA12</t>
  </si>
  <si>
    <t>F10BeamA34</t>
  </si>
  <si>
    <t>F10BeamA23</t>
  </si>
  <si>
    <t>F10BeamB12</t>
  </si>
  <si>
    <t>F10BeamB23</t>
  </si>
  <si>
    <t>F10BeamB34</t>
  </si>
  <si>
    <t>F10BeamC23</t>
  </si>
  <si>
    <t>F10BeamD12</t>
  </si>
  <si>
    <t>F10BeamD23</t>
  </si>
  <si>
    <t>F10BeamD34</t>
  </si>
  <si>
    <t>F10BeamAAb2</t>
  </si>
  <si>
    <t>F10BeamAbB2</t>
  </si>
  <si>
    <t>F10BeamAAb3</t>
  </si>
  <si>
    <t>F10BeamAbB3</t>
  </si>
  <si>
    <t>F10BeamCCb2</t>
  </si>
  <si>
    <t>F10BeamCbD2</t>
  </si>
  <si>
    <t>F10BeamCCb3</t>
  </si>
  <si>
    <t>F10BeamCbD3</t>
  </si>
  <si>
    <t>F11BeamA12</t>
  </si>
  <si>
    <t>F11BeamA34</t>
  </si>
  <si>
    <t>F11BeamA23</t>
  </si>
  <si>
    <t>F11BeamB12</t>
  </si>
  <si>
    <t>F11BeamB23</t>
  </si>
  <si>
    <t>F11BeamB34</t>
  </si>
  <si>
    <t>F11BeamC23</t>
  </si>
  <si>
    <t>F11BeamD12</t>
  </si>
  <si>
    <t>F11BeamD23</t>
  </si>
  <si>
    <t>F11BeamD34</t>
  </si>
  <si>
    <t>F11BeamAAb2</t>
  </si>
  <si>
    <t>F11BeamAbB2</t>
  </si>
  <si>
    <t>F11BeamAAb3</t>
  </si>
  <si>
    <t>F11BeamAbB3</t>
  </si>
  <si>
    <t>F11BeamCCb2</t>
  </si>
  <si>
    <t>F11BeamCbD2</t>
  </si>
  <si>
    <t>F11BeamCCb3</t>
  </si>
  <si>
    <t>F11BeamCbD3</t>
  </si>
  <si>
    <t>BeamAW</t>
  </si>
  <si>
    <t>BeamAE</t>
  </si>
  <si>
    <t>Beam Y</t>
  </si>
  <si>
    <t>BeamBW</t>
  </si>
  <si>
    <t>BeamBE</t>
  </si>
  <si>
    <t>BeamXcommon</t>
  </si>
  <si>
    <t>F2ColA2</t>
  </si>
  <si>
    <t>F2ColA3</t>
  </si>
  <si>
    <t>F2ColA4</t>
  </si>
  <si>
    <t>F2ColB1</t>
  </si>
  <si>
    <t>F2ColB2</t>
  </si>
  <si>
    <t>F2ColB3</t>
  </si>
  <si>
    <t>F2ColB4</t>
  </si>
  <si>
    <t>F2ColC2</t>
  </si>
  <si>
    <t>F2ColC3</t>
  </si>
  <si>
    <t>F2ColD1</t>
  </si>
  <si>
    <t>F2ColD2</t>
  </si>
  <si>
    <t>F2ColD3</t>
  </si>
  <si>
    <t>F2ColD4</t>
  </si>
  <si>
    <t>F2WallN</t>
  </si>
  <si>
    <t>F2WallS</t>
  </si>
  <si>
    <t>F2WallW</t>
  </si>
  <si>
    <t>F2WallE</t>
  </si>
  <si>
    <t>F3ColA1</t>
  </si>
  <si>
    <t>F3ColA2</t>
  </si>
  <si>
    <t>F3ColA3</t>
  </si>
  <si>
    <t>F3ColA4</t>
  </si>
  <si>
    <t>F3ColB1</t>
  </si>
  <si>
    <t>F3ColB2</t>
  </si>
  <si>
    <t>F3ColB3</t>
  </si>
  <si>
    <t>F3ColB4</t>
  </si>
  <si>
    <t>F3ColC2</t>
  </si>
  <si>
    <t>F3ColC3</t>
  </si>
  <si>
    <t>F3ColD1</t>
  </si>
  <si>
    <t>F3ColD2</t>
  </si>
  <si>
    <t>F3ColD3</t>
  </si>
  <si>
    <t>F3ColD4</t>
  </si>
  <si>
    <t>F3WallN</t>
  </si>
  <si>
    <t>F3WallS</t>
  </si>
  <si>
    <t>F3WallW</t>
  </si>
  <si>
    <t>F3WallE</t>
  </si>
  <si>
    <t>F4ColA1</t>
  </si>
  <si>
    <t>F4ColA2</t>
  </si>
  <si>
    <t>F4ColA3</t>
  </si>
  <si>
    <t>F4ColA4</t>
  </si>
  <si>
    <t>F4ColB1</t>
  </si>
  <si>
    <t>F4ColB2</t>
  </si>
  <si>
    <t>F4ColB3</t>
  </si>
  <si>
    <t>F4ColB4</t>
  </si>
  <si>
    <t>F4ColC2</t>
  </si>
  <si>
    <t>F4ColC3</t>
  </si>
  <si>
    <t>F4ColD1</t>
  </si>
  <si>
    <t>F4ColD2</t>
  </si>
  <si>
    <t>F4ColD3</t>
  </si>
  <si>
    <t>F4ColD4</t>
  </si>
  <si>
    <t>F4WallN</t>
  </si>
  <si>
    <t>F4WallS</t>
  </si>
  <si>
    <t>F4WallW</t>
  </si>
  <si>
    <t>F4WallE</t>
  </si>
  <si>
    <t>F5ColA1</t>
  </si>
  <si>
    <t>F5ColA2</t>
  </si>
  <si>
    <t>F5ColA3</t>
  </si>
  <si>
    <t>F5ColA4</t>
  </si>
  <si>
    <t>F5ColB1</t>
  </si>
  <si>
    <t>F5ColB2</t>
  </si>
  <si>
    <t>F5ColB3</t>
  </si>
  <si>
    <t>F5ColB4</t>
  </si>
  <si>
    <t>F5ColC2</t>
  </si>
  <si>
    <t>F5ColC3</t>
  </si>
  <si>
    <t>F5ColD1</t>
  </si>
  <si>
    <t>F5ColD2</t>
  </si>
  <si>
    <t>F5ColD3</t>
  </si>
  <si>
    <t>F5ColD4</t>
  </si>
  <si>
    <t>F5WallN</t>
  </si>
  <si>
    <t>F5WallS</t>
  </si>
  <si>
    <t>F5WallW</t>
  </si>
  <si>
    <t>F5WallE</t>
  </si>
  <si>
    <t>F6ColA1</t>
  </si>
  <si>
    <t>F6ColA2</t>
  </si>
  <si>
    <t>F6ColA3</t>
  </si>
  <si>
    <t>F6ColA4</t>
  </si>
  <si>
    <t>F6ColB1</t>
  </si>
  <si>
    <t>F6ColB2</t>
  </si>
  <si>
    <t>F6ColB3</t>
  </si>
  <si>
    <t>F6ColB4</t>
  </si>
  <si>
    <t>F6ColC2</t>
  </si>
  <si>
    <t>F6ColC3</t>
  </si>
  <si>
    <t>F6ColD1</t>
  </si>
  <si>
    <t>F6ColD2</t>
  </si>
  <si>
    <t>F6ColD3</t>
  </si>
  <si>
    <t>F6ColD4</t>
  </si>
  <si>
    <t>F6WallN</t>
  </si>
  <si>
    <t>F6WallS</t>
  </si>
  <si>
    <t>F6WallW</t>
  </si>
  <si>
    <t>F6WallE</t>
  </si>
  <si>
    <t>F7ColA1</t>
  </si>
  <si>
    <t>F7ColA2</t>
  </si>
  <si>
    <t>F7ColA3</t>
  </si>
  <si>
    <t>F7ColA4</t>
  </si>
  <si>
    <t>F7ColB1</t>
  </si>
  <si>
    <t>F7ColB2</t>
  </si>
  <si>
    <t>F7ColB3</t>
  </si>
  <si>
    <t>F7ColB4</t>
  </si>
  <si>
    <t>F7ColC2</t>
  </si>
  <si>
    <t>F7ColC3</t>
  </si>
  <si>
    <t>F7ColD1</t>
  </si>
  <si>
    <t>F7ColD2</t>
  </si>
  <si>
    <t>F7ColD3</t>
  </si>
  <si>
    <t>F7ColD4</t>
  </si>
  <si>
    <t>F7WallN</t>
  </si>
  <si>
    <t>F7WallS</t>
  </si>
  <si>
    <t>F7WallW</t>
  </si>
  <si>
    <t>F7WallE</t>
  </si>
  <si>
    <t>F8ColA1</t>
  </si>
  <si>
    <t>F8ColA2</t>
  </si>
  <si>
    <t>F8ColA3</t>
  </si>
  <si>
    <t>F8ColA4</t>
  </si>
  <si>
    <t>F8ColB1</t>
  </si>
  <si>
    <t>F8ColB2</t>
  </si>
  <si>
    <t>F8ColB3</t>
  </si>
  <si>
    <t>F8ColB4</t>
  </si>
  <si>
    <t>F8ColC2</t>
  </si>
  <si>
    <t>F8ColC3</t>
  </si>
  <si>
    <t>F8ColD1</t>
  </si>
  <si>
    <t>F8ColD2</t>
  </si>
  <si>
    <t>F8ColD3</t>
  </si>
  <si>
    <t>F8ColD4</t>
  </si>
  <si>
    <t>F8WallN</t>
  </si>
  <si>
    <t>F8WallS</t>
  </si>
  <si>
    <t>F8WallW</t>
  </si>
  <si>
    <t>F8WallE</t>
  </si>
  <si>
    <t>F9ColA1</t>
  </si>
  <si>
    <t>F9ColA2</t>
  </si>
  <si>
    <t>F9ColA3</t>
  </si>
  <si>
    <t>F9ColA4</t>
  </si>
  <si>
    <t>F9ColB1</t>
  </si>
  <si>
    <t>F9ColB2</t>
  </si>
  <si>
    <t>F9ColB3</t>
  </si>
  <si>
    <t>F9ColB4</t>
  </si>
  <si>
    <t>F9ColC2</t>
  </si>
  <si>
    <t>F9ColC3</t>
  </si>
  <si>
    <t>F9ColD1</t>
  </si>
  <si>
    <t>F9ColD2</t>
  </si>
  <si>
    <t>F9ColD3</t>
  </si>
  <si>
    <t>F9ColD4</t>
  </si>
  <si>
    <t>F9WallN</t>
  </si>
  <si>
    <t>F9WallS</t>
  </si>
  <si>
    <t>F9WallW</t>
  </si>
  <si>
    <t>F9WallE</t>
  </si>
  <si>
    <t>F10ColA1</t>
  </si>
  <si>
    <t>F10ColA2</t>
  </si>
  <si>
    <t>F10ColA3</t>
  </si>
  <si>
    <t>F10ColA4</t>
  </si>
  <si>
    <t>F10ColB1</t>
  </si>
  <si>
    <t>F10ColB2</t>
  </si>
  <si>
    <t>F10ColB3</t>
  </si>
  <si>
    <t>F10ColB4</t>
  </si>
  <si>
    <t>F10ColC2</t>
  </si>
  <si>
    <t>F10ColC3</t>
  </si>
  <si>
    <t>F10ColD1</t>
  </si>
  <si>
    <t>F10ColD2</t>
  </si>
  <si>
    <t>F10ColD3</t>
  </si>
  <si>
    <t>F10ColD4</t>
  </si>
  <si>
    <t>F10WallN</t>
  </si>
  <si>
    <t>F10WallS</t>
  </si>
  <si>
    <t>F10WallW</t>
  </si>
  <si>
    <t>F10WallE</t>
  </si>
  <si>
    <t>F11ColA1</t>
  </si>
  <si>
    <t>F11ColA2</t>
  </si>
  <si>
    <t>F11ColA3</t>
  </si>
  <si>
    <t>F11ColA4</t>
  </si>
  <si>
    <t>F11ColB1</t>
  </si>
  <si>
    <t>F11ColB2</t>
  </si>
  <si>
    <t>F11ColB3</t>
  </si>
  <si>
    <t>F11ColB4</t>
  </si>
  <si>
    <t>F11ColC2</t>
  </si>
  <si>
    <t>F11ColC3</t>
  </si>
  <si>
    <t>F11ColD1</t>
  </si>
  <si>
    <t>F11ColD2</t>
  </si>
  <si>
    <t>F11ColD3</t>
  </si>
  <si>
    <t>F11ColD4</t>
  </si>
  <si>
    <t>F11WallN</t>
  </si>
  <si>
    <t>F11WallS</t>
  </si>
  <si>
    <t>F11WallW</t>
  </si>
  <si>
    <t>F11WallE</t>
  </si>
  <si>
    <t>gravity</t>
  </si>
  <si>
    <t>Static</t>
  </si>
  <si>
    <t>N</t>
  </si>
  <si>
    <t>Run</t>
  </si>
  <si>
    <t>EQ</t>
  </si>
  <si>
    <t>Disp</t>
  </si>
  <si>
    <t>gm1</t>
  </si>
  <si>
    <t>Incr</t>
  </si>
  <si>
    <t>Nsteps</t>
  </si>
  <si>
    <t>floor mass;</t>
  </si>
  <si>
    <t>F2;</t>
  </si>
  <si>
    <t>F3;</t>
  </si>
  <si>
    <t>F4;</t>
  </si>
  <si>
    <t>F5;</t>
  </si>
  <si>
    <t>F6;</t>
  </si>
  <si>
    <t>F7;</t>
  </si>
  <si>
    <t>F8;</t>
  </si>
  <si>
    <t>F9;</t>
  </si>
  <si>
    <t>F10;</t>
  </si>
  <si>
    <t>F11;</t>
  </si>
  <si>
    <t>F1; main; column; base support;</t>
  </si>
  <si>
    <t>F1; main; wall; base support;</t>
  </si>
  <si>
    <t>F2; main; column;</t>
  </si>
  <si>
    <t>F2; main; wall;</t>
  </si>
  <si>
    <t>F3; main; column;</t>
  </si>
  <si>
    <t>F3; main; wall;</t>
  </si>
  <si>
    <t>F4; main; column;</t>
  </si>
  <si>
    <t>F4; main; wall;</t>
  </si>
  <si>
    <t>F5; main; column;</t>
  </si>
  <si>
    <t>F5; main; wall;</t>
  </si>
  <si>
    <t>F6; main; column;</t>
  </si>
  <si>
    <t>F6; main; wall;</t>
  </si>
  <si>
    <t>F7; main; column;</t>
  </si>
  <si>
    <t>F7; main; wall;</t>
  </si>
  <si>
    <t>F8; main; column;</t>
  </si>
  <si>
    <t>F8; main; wall;</t>
  </si>
  <si>
    <t>F9; main; column;</t>
  </si>
  <si>
    <t>F9; main; wall;</t>
  </si>
  <si>
    <t>F10; main; column;</t>
  </si>
  <si>
    <t>F10; main; wall;</t>
  </si>
  <si>
    <t>F11; main; column;</t>
  </si>
  <si>
    <t>F11; main; wall;</t>
  </si>
  <si>
    <t>node</t>
  </si>
  <si>
    <t>Recorder Arg</t>
  </si>
  <si>
    <t>Applies to</t>
  </si>
  <si>
    <t>disp</t>
  </si>
  <si>
    <t>vel</t>
  </si>
  <si>
    <t>accel</t>
  </si>
  <si>
    <t>incrDisp</t>
  </si>
  <si>
    <t>reaction</t>
  </si>
  <si>
    <t>eigen 1</t>
  </si>
  <si>
    <t>eigen 2</t>
  </si>
  <si>
    <t>eigen 3</t>
  </si>
  <si>
    <t>eigen 4</t>
  </si>
  <si>
    <t>eigen 5</t>
  </si>
  <si>
    <t>eigen 6</t>
  </si>
  <si>
    <t>eigen 7</t>
  </si>
  <si>
    <t>eigen 8</t>
  </si>
  <si>
    <t>eigen 9</t>
  </si>
  <si>
    <t>eigen 10</t>
  </si>
  <si>
    <t>eigen 11</t>
  </si>
  <si>
    <t>eigen 12</t>
  </si>
  <si>
    <t>eigen 13</t>
  </si>
  <si>
    <t>eigen 14</t>
  </si>
  <si>
    <t>eigen 15</t>
  </si>
  <si>
    <t>eigen 16</t>
  </si>
  <si>
    <t>eigen 17</t>
  </si>
  <si>
    <t>eigen 18</t>
  </si>
  <si>
    <t>eigen 19</t>
  </si>
  <si>
    <t>eigen 20</t>
  </si>
  <si>
    <t>Recorders</t>
  </si>
  <si>
    <t>FileName</t>
  </si>
  <si>
    <t>ele - elasticBeam Column</t>
  </si>
  <si>
    <t>force</t>
  </si>
  <si>
    <t>localForce</t>
  </si>
  <si>
    <t>vbasicForce</t>
  </si>
  <si>
    <t>deformations</t>
  </si>
  <si>
    <t>chordRotation</t>
  </si>
  <si>
    <t>xaxis</t>
  </si>
  <si>
    <t>yaxis</t>
  </si>
  <si>
    <t>zaxis</t>
  </si>
  <si>
    <t>ele - Timoshenko</t>
  </si>
  <si>
    <t>Node DOF</t>
  </si>
  <si>
    <t>top_disp</t>
  </si>
  <si>
    <t>top_dispx</t>
  </si>
  <si>
    <t>bottom_rxn</t>
  </si>
  <si>
    <t>Case</t>
  </si>
  <si>
    <t>Envelope</t>
  </si>
  <si>
    <t>RespType</t>
  </si>
  <si>
    <t>1,2,3,4,5,6</t>
  </si>
  <si>
    <t>lateralX</t>
  </si>
  <si>
    <t>lateralY</t>
  </si>
  <si>
    <t>dispX</t>
  </si>
  <si>
    <t>rayleighForces</t>
  </si>
  <si>
    <t>Reference</t>
  </si>
  <si>
    <t>floor mass</t>
  </si>
  <si>
    <t>center_disp</t>
  </si>
  <si>
    <t>gm/RSN942_NORTHR_ALH090.txt</t>
  </si>
  <si>
    <t>DOF</t>
  </si>
  <si>
    <t>F2ColA1</t>
  </si>
  <si>
    <t>F4BeamB34</t>
  </si>
  <si>
    <t>oneG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</si>
</sst>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49" fontId="0" fillId="0" borderId="0" xfId="0" applyNumberFormat="1"/>
    <xf numFmtId="0" fontId="0" fillId="2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49" fontId="0" fillId="0" borderId="0" xfId="0" quotePrefix="1" applyNumberFormat="1"/>
    <xf numFmtId="0" fontId="0" fillId="0" borderId="0" xfId="0" applyAlignment="1">
      <alignment vertical="top" wrapText="1"/>
    </xf>
    <xf numFmtId="14" fontId="0" fillId="0" borderId="0" xfId="0" applyNumberFormat="1" applyAlignment="1">
      <alignment vertical="top" wrapText="1"/>
    </xf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/>
    <xf numFmtId="0" fontId="0" fillId="3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/>
    <xf numFmtId="0" fontId="0" fillId="0" borderId="0" xfId="0"/>
    <xf numFmtId="165" fontId="0" fillId="0" borderId="0" xfId="0" applyNumberFormat="1"/>
    <xf numFmtId="0" fontId="0" fillId="0" borderId="0" xfId="0"/>
    <xf numFmtId="0" fontId="0" fillId="0" borderId="0" xfId="0" applyAlignment="1">
      <alignment horizontal="left"/>
    </xf>
  </cellXfs>
  <cellStyles count="1">
    <cellStyle name="Normal" xfId="0" builtinId="0"/>
  </cellStyles>
  <dxfs count="10">
    <dxf>
      <fill>
        <patternFill>
          <bgColor theme="0" tint="-0.24994659260841701"/>
        </patternFill>
      </fill>
    </dxf>
    <dxf>
      <font>
        <strike/>
      </font>
      <fill>
        <patternFill patternType="solid"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2</xdr:row>
          <xdr:rowOff>57150</xdr:rowOff>
        </xdr:from>
        <xdr:to>
          <xdr:col>5</xdr:col>
          <xdr:colOff>104775</xdr:colOff>
          <xdr:row>4</xdr:row>
          <xdr:rowOff>180975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0607E-643F-4877-8D16-7B0763DB90D0}">
  <sheetPr codeName="Sheet11"/>
  <dimension ref="A1"/>
  <sheetViews>
    <sheetView workbookViewId="0">
      <selection activeCell="F11" sqref="F11"/>
    </sheetView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3" name="Button 2">
              <controlPr defaultSize="0" print="0" autoFill="0" autoPict="0" macro="[0]!Floors_and_Columns">
                <anchor moveWithCells="1" sizeWithCells="1">
                  <from>
                    <xdr:col>1</xdr:col>
                    <xdr:colOff>133350</xdr:colOff>
                    <xdr:row>2</xdr:row>
                    <xdr:rowOff>57150</xdr:rowOff>
                  </from>
                  <to>
                    <xdr:col>5</xdr:col>
                    <xdr:colOff>104775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30280-A1A3-47CB-8F6A-A0A7F17C97FB}">
  <sheetPr codeName="Sheet92"/>
  <dimension ref="A1:B2"/>
  <sheetViews>
    <sheetView workbookViewId="0">
      <selection activeCell="B9" sqref="B8:B9"/>
    </sheetView>
  </sheetViews>
  <sheetFormatPr defaultColWidth="0" defaultRowHeight="15" x14ac:dyDescent="0.25"/>
  <cols>
    <col min="1" max="1" width="15.42578125" style="10" customWidth="1"/>
    <col min="2" max="2" width="108.5703125" style="10" customWidth="1"/>
    <col min="3" max="16384" width="9.140625" hidden="1"/>
  </cols>
  <sheetData>
    <row r="1" spans="1:2" x14ac:dyDescent="0.25">
      <c r="A1" s="10" t="s">
        <v>179</v>
      </c>
      <c r="B1" s="10" t="s">
        <v>180</v>
      </c>
    </row>
    <row r="2" spans="1:2" ht="60" x14ac:dyDescent="0.25">
      <c r="A2" s="11">
        <v>44628</v>
      </c>
      <c r="B2" s="10" t="s">
        <v>435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FC35E-CFCB-4F80-9639-AE43431B6B1C}">
  <sheetPr codeName="FloorPlan"/>
  <dimension ref="A1:Z26"/>
  <sheetViews>
    <sheetView workbookViewId="0">
      <selection activeCell="E17" sqref="E17"/>
    </sheetView>
  </sheetViews>
  <sheetFormatPr defaultColWidth="0" defaultRowHeight="15" x14ac:dyDescent="0.25"/>
  <cols>
    <col min="1" max="1" width="11.42578125" customWidth="1"/>
    <col min="2" max="6" width="9.140625" customWidth="1"/>
    <col min="7" max="7" width="3" style="4" customWidth="1"/>
    <col min="8" max="8" width="14.140625" customWidth="1"/>
    <col min="9" max="9" width="9.140625" style="3" customWidth="1"/>
    <col min="10" max="10" width="9.140625" customWidth="1"/>
    <col min="11" max="11" width="16.140625" customWidth="1"/>
    <col min="12" max="12" width="16.140625" style="7" customWidth="1"/>
    <col min="13" max="13" width="15.7109375" customWidth="1"/>
    <col min="14" max="14" width="3" style="4" customWidth="1"/>
    <col min="15" max="15" width="12.140625" customWidth="1"/>
    <col min="16" max="16" width="14.5703125" customWidth="1"/>
    <col min="17" max="17" width="13.28515625" customWidth="1"/>
    <col min="18" max="18" width="14.5703125" customWidth="1"/>
    <col min="19" max="19" width="15.28515625" customWidth="1"/>
    <col min="20" max="20" width="25.5703125" customWidth="1"/>
    <col min="21" max="21" width="3" style="4" customWidth="1"/>
    <col min="22" max="22" width="9.140625" customWidth="1"/>
    <col min="23" max="23" width="15.42578125" customWidth="1"/>
    <col min="24" max="24" width="9.140625" customWidth="1"/>
    <col min="25" max="25" width="21.28515625" customWidth="1"/>
    <col min="26" max="26" width="15.28515625" customWidth="1"/>
    <col min="27" max="16384" width="9.140625" hidden="1"/>
  </cols>
  <sheetData>
    <row r="1" spans="1:26" x14ac:dyDescent="0.25">
      <c r="A1" s="26" t="s">
        <v>69</v>
      </c>
      <c r="B1" s="26"/>
      <c r="C1" s="26"/>
      <c r="D1" s="26"/>
      <c r="E1" s="26"/>
      <c r="F1" s="26"/>
      <c r="H1" s="26" t="s">
        <v>156</v>
      </c>
      <c r="I1" s="26"/>
      <c r="J1" s="26"/>
      <c r="K1" s="26"/>
      <c r="L1" s="26"/>
      <c r="M1" s="26"/>
      <c r="O1" s="26" t="s">
        <v>76</v>
      </c>
      <c r="P1" s="26"/>
      <c r="Q1" s="26"/>
      <c r="R1" s="26"/>
      <c r="S1" s="26"/>
      <c r="T1" s="26"/>
      <c r="V1" s="26" t="s">
        <v>75</v>
      </c>
      <c r="W1" s="26"/>
      <c r="X1" s="26"/>
      <c r="Y1" s="26"/>
      <c r="Z1" s="26"/>
    </row>
    <row r="2" spans="1:26" x14ac:dyDescent="0.25">
      <c r="A2" t="s">
        <v>153</v>
      </c>
      <c r="B2" t="s">
        <v>70</v>
      </c>
      <c r="C2" t="s">
        <v>71</v>
      </c>
      <c r="D2" t="s">
        <v>72</v>
      </c>
      <c r="E2" t="s">
        <v>73</v>
      </c>
      <c r="F2" t="s">
        <v>74</v>
      </c>
      <c r="H2" t="s">
        <v>17</v>
      </c>
      <c r="I2" s="3" t="s">
        <v>18</v>
      </c>
      <c r="J2" t="s">
        <v>19</v>
      </c>
      <c r="K2" t="s">
        <v>157</v>
      </c>
      <c r="L2" t="s">
        <v>82</v>
      </c>
      <c r="M2" t="s">
        <v>176</v>
      </c>
      <c r="O2" t="s">
        <v>0</v>
      </c>
      <c r="P2" t="s">
        <v>1</v>
      </c>
      <c r="Q2" t="s">
        <v>2</v>
      </c>
      <c r="R2" t="s">
        <v>3</v>
      </c>
      <c r="S2" t="s">
        <v>10</v>
      </c>
      <c r="T2" t="s">
        <v>26</v>
      </c>
      <c r="V2" t="s">
        <v>0</v>
      </c>
      <c r="W2" t="s">
        <v>1</v>
      </c>
      <c r="X2" t="s">
        <v>43</v>
      </c>
      <c r="Y2" t="s">
        <v>10</v>
      </c>
      <c r="Z2" t="s">
        <v>26</v>
      </c>
    </row>
    <row r="3" spans="1:26" x14ac:dyDescent="0.25">
      <c r="A3" s="5" t="s">
        <v>164</v>
      </c>
      <c r="B3" s="5" t="s">
        <v>57</v>
      </c>
      <c r="C3" s="5" t="e">
        <f>NA()</f>
        <v>#N/A</v>
      </c>
      <c r="D3" s="6" t="e">
        <f>NA()</f>
        <v>#N/A</v>
      </c>
      <c r="E3" s="6" t="e">
        <f>NA()</f>
        <v>#N/A</v>
      </c>
      <c r="F3" s="6" t="e">
        <f>NA()</f>
        <v>#N/A</v>
      </c>
      <c r="H3" t="str">
        <f>J3&amp;I3</f>
        <v>A1</v>
      </c>
      <c r="I3" s="3" t="s">
        <v>77</v>
      </c>
      <c r="J3" t="s">
        <v>8</v>
      </c>
      <c r="K3" t="b">
        <v>1</v>
      </c>
      <c r="L3" t="s">
        <v>83</v>
      </c>
      <c r="M3" t="s">
        <v>177</v>
      </c>
      <c r="O3" t="s">
        <v>85</v>
      </c>
      <c r="P3" t="s">
        <v>5</v>
      </c>
      <c r="Q3" t="s">
        <v>88</v>
      </c>
      <c r="R3" t="s">
        <v>89</v>
      </c>
      <c r="S3" t="s">
        <v>150</v>
      </c>
      <c r="T3" t="s">
        <v>152</v>
      </c>
      <c r="V3" t="s">
        <v>123</v>
      </c>
      <c r="W3" t="s">
        <v>5</v>
      </c>
      <c r="X3" t="s">
        <v>88</v>
      </c>
      <c r="Y3" t="s">
        <v>148</v>
      </c>
      <c r="Z3" t="s">
        <v>32</v>
      </c>
    </row>
    <row r="4" spans="1:26" x14ac:dyDescent="0.25">
      <c r="A4" t="s">
        <v>154</v>
      </c>
      <c r="B4" t="s">
        <v>58</v>
      </c>
      <c r="C4">
        <v>189.7</v>
      </c>
      <c r="D4">
        <v>-115.9</v>
      </c>
      <c r="E4" s="25">
        <f>71.7/32.2/12</f>
        <v>0.18555900621118013</v>
      </c>
      <c r="F4" s="25">
        <f>5944/32.2/12</f>
        <v>15.383022774327122</v>
      </c>
      <c r="H4" t="str">
        <f t="shared" ref="H4:H24" si="0">J4&amp;I4</f>
        <v>A2</v>
      </c>
      <c r="I4" s="3" t="s">
        <v>78</v>
      </c>
      <c r="J4" t="s">
        <v>8</v>
      </c>
      <c r="K4" t="b">
        <v>1</v>
      </c>
      <c r="L4" t="s">
        <v>83</v>
      </c>
      <c r="M4" s="7" t="s">
        <v>177</v>
      </c>
      <c r="O4" t="s">
        <v>86</v>
      </c>
      <c r="P4" t="s">
        <v>5</v>
      </c>
      <c r="Q4" t="s">
        <v>90</v>
      </c>
      <c r="R4" t="s">
        <v>91</v>
      </c>
      <c r="S4" t="s">
        <v>150</v>
      </c>
      <c r="T4" t="s">
        <v>152</v>
      </c>
      <c r="V4" t="s">
        <v>124</v>
      </c>
      <c r="W4" t="s">
        <v>5</v>
      </c>
      <c r="X4" t="s">
        <v>89</v>
      </c>
      <c r="Y4" t="s">
        <v>148</v>
      </c>
      <c r="Z4" t="s">
        <v>32</v>
      </c>
    </row>
    <row r="5" spans="1:26" x14ac:dyDescent="0.25">
      <c r="A5" t="s">
        <v>155</v>
      </c>
      <c r="B5" t="s">
        <v>59</v>
      </c>
      <c r="C5">
        <v>194.3</v>
      </c>
      <c r="D5">
        <v>-123.9</v>
      </c>
      <c r="E5" s="25">
        <f>67.6/32.2/12</f>
        <v>0.17494824016563146</v>
      </c>
      <c r="F5" s="25">
        <f>5305/32.2/12</f>
        <v>13.729296066252587</v>
      </c>
      <c r="H5" t="str">
        <f t="shared" si="0"/>
        <v>A3</v>
      </c>
      <c r="I5" s="3" t="s">
        <v>79</v>
      </c>
      <c r="J5" t="s">
        <v>8</v>
      </c>
      <c r="K5" t="b">
        <v>1</v>
      </c>
      <c r="L5" t="s">
        <v>83</v>
      </c>
      <c r="M5" s="7" t="s">
        <v>177</v>
      </c>
      <c r="O5" t="s">
        <v>87</v>
      </c>
      <c r="P5" t="s">
        <v>5</v>
      </c>
      <c r="Q5" t="s">
        <v>113</v>
      </c>
      <c r="R5" t="s">
        <v>114</v>
      </c>
      <c r="S5" t="s">
        <v>150</v>
      </c>
      <c r="T5" t="s">
        <v>152</v>
      </c>
      <c r="V5" t="s">
        <v>125</v>
      </c>
      <c r="W5" t="s">
        <v>5</v>
      </c>
      <c r="X5" t="s">
        <v>90</v>
      </c>
      <c r="Y5" t="s">
        <v>148</v>
      </c>
      <c r="Z5" t="s">
        <v>32</v>
      </c>
    </row>
    <row r="6" spans="1:26" x14ac:dyDescent="0.25">
      <c r="A6" s="7" t="s">
        <v>168</v>
      </c>
      <c r="B6" s="7" t="s">
        <v>60</v>
      </c>
      <c r="C6" s="7">
        <v>197.3</v>
      </c>
      <c r="D6" s="7">
        <v>-128.1</v>
      </c>
      <c r="E6" s="25">
        <f>58.8/32.2/12</f>
        <v>0.15217391304347824</v>
      </c>
      <c r="F6" s="25">
        <f>4137/32.2/12</f>
        <v>10.706521739130435</v>
      </c>
      <c r="H6" t="str">
        <f t="shared" si="0"/>
        <v>A4</v>
      </c>
      <c r="I6" s="3" t="s">
        <v>80</v>
      </c>
      <c r="J6" t="s">
        <v>8</v>
      </c>
      <c r="K6" t="b">
        <v>1</v>
      </c>
      <c r="L6" t="s">
        <v>83</v>
      </c>
      <c r="M6" s="7" t="s">
        <v>177</v>
      </c>
      <c r="O6" t="s">
        <v>96</v>
      </c>
      <c r="P6" t="s">
        <v>5</v>
      </c>
      <c r="Q6" t="s">
        <v>92</v>
      </c>
      <c r="R6" t="s">
        <v>93</v>
      </c>
      <c r="S6" t="s">
        <v>150</v>
      </c>
      <c r="T6" t="s">
        <v>152</v>
      </c>
      <c r="V6" t="s">
        <v>126</v>
      </c>
      <c r="W6" t="s">
        <v>5</v>
      </c>
      <c r="X6" t="s">
        <v>91</v>
      </c>
      <c r="Y6" t="s">
        <v>148</v>
      </c>
      <c r="Z6" t="s">
        <v>32</v>
      </c>
    </row>
    <row r="7" spans="1:26" x14ac:dyDescent="0.25">
      <c r="A7" s="7" t="s">
        <v>169</v>
      </c>
      <c r="B7" s="7" t="s">
        <v>61</v>
      </c>
      <c r="C7" s="7">
        <v>191.7</v>
      </c>
      <c r="D7" s="7">
        <v>-124.3</v>
      </c>
      <c r="E7" s="25">
        <f>56.1/32.2/12</f>
        <v>0.14518633540372669</v>
      </c>
      <c r="F7" s="25">
        <f>3490/32.2/12</f>
        <v>9.0320910973084878</v>
      </c>
      <c r="H7" t="str">
        <f t="shared" si="0"/>
        <v>ACLT</v>
      </c>
      <c r="I7" s="3" t="s">
        <v>141</v>
      </c>
      <c r="J7" t="s">
        <v>8</v>
      </c>
      <c r="K7" t="b">
        <v>1</v>
      </c>
      <c r="L7" t="s">
        <v>25</v>
      </c>
      <c r="M7" t="s">
        <v>178</v>
      </c>
      <c r="O7" t="s">
        <v>97</v>
      </c>
      <c r="P7" t="s">
        <v>5</v>
      </c>
      <c r="Q7" t="s">
        <v>93</v>
      </c>
      <c r="R7" t="s">
        <v>94</v>
      </c>
      <c r="S7" t="s">
        <v>150</v>
      </c>
      <c r="T7" t="s">
        <v>152</v>
      </c>
      <c r="V7" t="s">
        <v>127</v>
      </c>
      <c r="W7" t="s">
        <v>5</v>
      </c>
      <c r="X7" t="s">
        <v>92</v>
      </c>
      <c r="Y7" t="s">
        <v>148</v>
      </c>
      <c r="Z7" t="s">
        <v>32</v>
      </c>
    </row>
    <row r="8" spans="1:26" x14ac:dyDescent="0.25">
      <c r="A8" s="7" t="s">
        <v>170</v>
      </c>
      <c r="B8" s="7" t="s">
        <v>62</v>
      </c>
      <c r="C8" s="7">
        <v>191.8</v>
      </c>
      <c r="D8" s="7">
        <v>-129.1</v>
      </c>
      <c r="E8" s="25">
        <f>61.5/32.2/12</f>
        <v>0.15916149068322979</v>
      </c>
      <c r="F8" s="25">
        <f>3604/32.2/12</f>
        <v>9.3271221532091086</v>
      </c>
      <c r="H8" t="str">
        <f t="shared" si="0"/>
        <v>Ab2</v>
      </c>
      <c r="I8" s="3" t="s">
        <v>78</v>
      </c>
      <c r="J8" t="s">
        <v>104</v>
      </c>
      <c r="K8" t="b">
        <v>0</v>
      </c>
      <c r="L8" t="s">
        <v>84</v>
      </c>
      <c r="O8" t="s">
        <v>98</v>
      </c>
      <c r="P8" t="s">
        <v>5</v>
      </c>
      <c r="Q8" t="s">
        <v>94</v>
      </c>
      <c r="R8" t="s">
        <v>95</v>
      </c>
      <c r="S8" t="s">
        <v>150</v>
      </c>
      <c r="T8" t="s">
        <v>152</v>
      </c>
      <c r="V8" t="s">
        <v>128</v>
      </c>
      <c r="W8" t="s">
        <v>5</v>
      </c>
      <c r="X8" t="s">
        <v>93</v>
      </c>
      <c r="Y8" t="s">
        <v>149</v>
      </c>
      <c r="Z8" t="s">
        <v>32</v>
      </c>
    </row>
    <row r="9" spans="1:26" x14ac:dyDescent="0.25">
      <c r="A9" s="7" t="s">
        <v>171</v>
      </c>
      <c r="B9" s="7" t="s">
        <v>63</v>
      </c>
      <c r="C9" s="7">
        <v>191.6</v>
      </c>
      <c r="D9" s="7">
        <v>-120.9</v>
      </c>
      <c r="E9" s="25">
        <f>55.6/32.2/12</f>
        <v>0.14389233954451344</v>
      </c>
      <c r="F9" s="25">
        <f>3423/32.2/12</f>
        <v>8.8586956521739122</v>
      </c>
      <c r="H9" t="str">
        <f t="shared" si="0"/>
        <v>Ab3</v>
      </c>
      <c r="I9" s="3" t="s">
        <v>79</v>
      </c>
      <c r="J9" t="s">
        <v>104</v>
      </c>
      <c r="K9" t="b">
        <v>0</v>
      </c>
      <c r="L9" t="s">
        <v>84</v>
      </c>
      <c r="O9" t="s">
        <v>99</v>
      </c>
      <c r="P9" t="s">
        <v>5</v>
      </c>
      <c r="Q9" t="s">
        <v>115</v>
      </c>
      <c r="R9" t="s">
        <v>116</v>
      </c>
      <c r="S9" t="s">
        <v>150</v>
      </c>
      <c r="T9" t="s">
        <v>152</v>
      </c>
      <c r="V9" t="s">
        <v>129</v>
      </c>
      <c r="W9" t="s">
        <v>5</v>
      </c>
      <c r="X9" t="s">
        <v>94</v>
      </c>
      <c r="Y9" t="s">
        <v>149</v>
      </c>
      <c r="Z9" t="s">
        <v>32</v>
      </c>
    </row>
    <row r="10" spans="1:26" x14ac:dyDescent="0.25">
      <c r="A10" s="7" t="s">
        <v>172</v>
      </c>
      <c r="B10" s="7" t="s">
        <v>64</v>
      </c>
      <c r="C10" s="7">
        <v>192.3</v>
      </c>
      <c r="D10" s="7">
        <v>-122.1</v>
      </c>
      <c r="E10" s="25">
        <f>59.2/32.2/12</f>
        <v>0.15320910973084886</v>
      </c>
      <c r="F10" s="25">
        <f>3723/32.2/12</f>
        <v>9.6350931677018625</v>
      </c>
      <c r="H10" t="str">
        <f t="shared" si="0"/>
        <v>MPP1</v>
      </c>
      <c r="I10" s="3" t="s">
        <v>77</v>
      </c>
      <c r="J10" t="s">
        <v>81</v>
      </c>
      <c r="K10" t="b">
        <v>1</v>
      </c>
      <c r="L10" s="7" t="s">
        <v>25</v>
      </c>
      <c r="M10" s="7" t="s">
        <v>178</v>
      </c>
      <c r="O10" t="s">
        <v>100</v>
      </c>
      <c r="P10" t="s">
        <v>5</v>
      </c>
      <c r="Q10" t="s">
        <v>117</v>
      </c>
      <c r="R10" t="s">
        <v>118</v>
      </c>
      <c r="S10" t="s">
        <v>150</v>
      </c>
      <c r="T10" t="s">
        <v>152</v>
      </c>
      <c r="V10" t="s">
        <v>130</v>
      </c>
      <c r="W10" t="s">
        <v>5</v>
      </c>
      <c r="X10" t="s">
        <v>95</v>
      </c>
      <c r="Y10" t="s">
        <v>148</v>
      </c>
      <c r="Z10" t="s">
        <v>32</v>
      </c>
    </row>
    <row r="11" spans="1:26" x14ac:dyDescent="0.25">
      <c r="A11" s="7" t="s">
        <v>173</v>
      </c>
      <c r="B11" s="7" t="s">
        <v>65</v>
      </c>
      <c r="C11" s="7">
        <v>192.3</v>
      </c>
      <c r="D11" s="7">
        <v>-120.9</v>
      </c>
      <c r="E11" s="25">
        <f>57.7/32.2/12</f>
        <v>0.14932712215320912</v>
      </c>
      <c r="F11" s="25">
        <f>3711/32.2/12</f>
        <v>9.604037267080745</v>
      </c>
      <c r="H11" t="str">
        <f t="shared" si="0"/>
        <v>MPP4</v>
      </c>
      <c r="I11" s="3" t="s">
        <v>80</v>
      </c>
      <c r="J11" t="s">
        <v>81</v>
      </c>
      <c r="K11" t="b">
        <v>1</v>
      </c>
      <c r="L11" s="7" t="s">
        <v>25</v>
      </c>
      <c r="M11" s="7" t="s">
        <v>178</v>
      </c>
      <c r="O11" t="s">
        <v>101</v>
      </c>
      <c r="P11" t="s">
        <v>5</v>
      </c>
      <c r="Q11" t="s">
        <v>118</v>
      </c>
      <c r="R11" t="s">
        <v>119</v>
      </c>
      <c r="S11" t="s">
        <v>150</v>
      </c>
      <c r="T11" t="s">
        <v>152</v>
      </c>
      <c r="V11" t="s">
        <v>131</v>
      </c>
      <c r="W11" t="s">
        <v>5</v>
      </c>
      <c r="X11" t="s">
        <v>121</v>
      </c>
      <c r="Y11" t="s">
        <v>148</v>
      </c>
      <c r="Z11" s="12" t="s">
        <v>32</v>
      </c>
    </row>
    <row r="12" spans="1:26" x14ac:dyDescent="0.25">
      <c r="A12" s="7" t="s">
        <v>174</v>
      </c>
      <c r="B12" s="7" t="s">
        <v>66</v>
      </c>
      <c r="C12" s="7">
        <v>192.3</v>
      </c>
      <c r="D12" s="7">
        <v>-122.3</v>
      </c>
      <c r="E12" s="25">
        <f>55.5/32.2/12</f>
        <v>0.14363354037267079</v>
      </c>
      <c r="F12" s="25">
        <f>3648/32.2/12</f>
        <v>9.4409937888198758</v>
      </c>
      <c r="H12" t="str">
        <f t="shared" si="0"/>
        <v>B1</v>
      </c>
      <c r="I12" s="3" t="s">
        <v>77</v>
      </c>
      <c r="J12" t="s">
        <v>54</v>
      </c>
      <c r="K12" t="b">
        <v>1</v>
      </c>
      <c r="L12" t="s">
        <v>83</v>
      </c>
      <c r="M12" s="7" t="s">
        <v>177</v>
      </c>
      <c r="O12" t="s">
        <v>102</v>
      </c>
      <c r="P12" t="s">
        <v>5</v>
      </c>
      <c r="Q12" t="s">
        <v>119</v>
      </c>
      <c r="R12" t="s">
        <v>120</v>
      </c>
      <c r="S12" t="s">
        <v>150</v>
      </c>
      <c r="T12" t="s">
        <v>152</v>
      </c>
      <c r="V12" t="s">
        <v>132</v>
      </c>
      <c r="W12" t="s">
        <v>5</v>
      </c>
      <c r="X12" t="s">
        <v>122</v>
      </c>
      <c r="Y12" t="s">
        <v>148</v>
      </c>
      <c r="Z12" s="12" t="s">
        <v>32</v>
      </c>
    </row>
    <row r="13" spans="1:26" x14ac:dyDescent="0.25">
      <c r="A13" s="7" t="s">
        <v>175</v>
      </c>
      <c r="B13" s="7" t="s">
        <v>68</v>
      </c>
      <c r="C13" s="7">
        <v>192.2</v>
      </c>
      <c r="D13" s="7">
        <v>-123.4</v>
      </c>
      <c r="E13" s="25">
        <f>44.3/32.2/12</f>
        <v>0.11464803312629397</v>
      </c>
      <c r="F13" s="25">
        <f>3020/32.2/12</f>
        <v>7.8157349896480319</v>
      </c>
      <c r="H13" t="str">
        <f t="shared" si="0"/>
        <v>B2</v>
      </c>
      <c r="I13" s="3" t="s">
        <v>78</v>
      </c>
      <c r="J13" t="s">
        <v>54</v>
      </c>
      <c r="K13" t="b">
        <v>1</v>
      </c>
      <c r="L13" t="s">
        <v>83</v>
      </c>
      <c r="M13" s="7" t="s">
        <v>177</v>
      </c>
      <c r="O13" t="s">
        <v>105</v>
      </c>
      <c r="P13" t="s">
        <v>5</v>
      </c>
      <c r="Q13" t="s">
        <v>89</v>
      </c>
      <c r="R13" t="s">
        <v>113</v>
      </c>
      <c r="S13" t="s">
        <v>150</v>
      </c>
      <c r="T13" t="s">
        <v>152</v>
      </c>
      <c r="V13" t="s">
        <v>133</v>
      </c>
      <c r="W13" t="s">
        <v>5</v>
      </c>
      <c r="X13" t="s">
        <v>117</v>
      </c>
      <c r="Y13" t="s">
        <v>149</v>
      </c>
      <c r="Z13" t="s">
        <v>32</v>
      </c>
    </row>
    <row r="14" spans="1:26" x14ac:dyDescent="0.25">
      <c r="H14" t="str">
        <f t="shared" si="0"/>
        <v>B3</v>
      </c>
      <c r="I14" s="3" t="s">
        <v>79</v>
      </c>
      <c r="J14" t="s">
        <v>54</v>
      </c>
      <c r="K14" t="b">
        <v>1</v>
      </c>
      <c r="L14" t="s">
        <v>83</v>
      </c>
      <c r="M14" s="7" t="s">
        <v>177</v>
      </c>
      <c r="O14" t="s">
        <v>106</v>
      </c>
      <c r="P14" t="s">
        <v>5</v>
      </c>
      <c r="Q14" t="s">
        <v>113</v>
      </c>
      <c r="R14" t="s">
        <v>93</v>
      </c>
      <c r="S14" t="s">
        <v>150</v>
      </c>
      <c r="T14" t="s">
        <v>152</v>
      </c>
      <c r="V14" t="s">
        <v>134</v>
      </c>
      <c r="W14" t="s">
        <v>5</v>
      </c>
      <c r="X14" t="s">
        <v>118</v>
      </c>
      <c r="Y14" t="s">
        <v>149</v>
      </c>
      <c r="Z14" t="s">
        <v>32</v>
      </c>
    </row>
    <row r="15" spans="1:26" x14ac:dyDescent="0.25">
      <c r="H15" t="str">
        <f t="shared" si="0"/>
        <v>B4</v>
      </c>
      <c r="I15" s="3" t="s">
        <v>80</v>
      </c>
      <c r="J15" t="s">
        <v>54</v>
      </c>
      <c r="K15" t="b">
        <v>1</v>
      </c>
      <c r="L15" t="s">
        <v>83</v>
      </c>
      <c r="M15" s="7" t="s">
        <v>177</v>
      </c>
      <c r="O15" t="s">
        <v>107</v>
      </c>
      <c r="P15" t="s">
        <v>5</v>
      </c>
      <c r="Q15" t="s">
        <v>90</v>
      </c>
      <c r="R15" t="s">
        <v>114</v>
      </c>
      <c r="S15" t="s">
        <v>150</v>
      </c>
      <c r="T15" t="s">
        <v>152</v>
      </c>
      <c r="V15" t="s">
        <v>135</v>
      </c>
      <c r="W15" t="s">
        <v>5</v>
      </c>
      <c r="X15" t="s">
        <v>119</v>
      </c>
      <c r="Y15" t="s">
        <v>149</v>
      </c>
      <c r="Z15" t="s">
        <v>32</v>
      </c>
    </row>
    <row r="16" spans="1:26" x14ac:dyDescent="0.25">
      <c r="H16" t="str">
        <f t="shared" si="0"/>
        <v>C2</v>
      </c>
      <c r="I16" s="3" t="s">
        <v>78</v>
      </c>
      <c r="J16" t="s">
        <v>55</v>
      </c>
      <c r="K16" t="b">
        <v>1</v>
      </c>
      <c r="L16" t="s">
        <v>83</v>
      </c>
      <c r="M16" s="7" t="s">
        <v>177</v>
      </c>
      <c r="O16" t="s">
        <v>108</v>
      </c>
      <c r="P16" t="s">
        <v>5</v>
      </c>
      <c r="Q16" t="s">
        <v>114</v>
      </c>
      <c r="R16" t="s">
        <v>94</v>
      </c>
      <c r="S16" t="s">
        <v>150</v>
      </c>
      <c r="T16" t="s">
        <v>152</v>
      </c>
      <c r="V16" t="s">
        <v>136</v>
      </c>
      <c r="W16" t="s">
        <v>5</v>
      </c>
      <c r="X16" t="s">
        <v>120</v>
      </c>
      <c r="Y16" t="s">
        <v>149</v>
      </c>
      <c r="Z16" t="s">
        <v>32</v>
      </c>
    </row>
    <row r="17" spans="2:26" x14ac:dyDescent="0.25">
      <c r="H17" t="str">
        <f t="shared" si="0"/>
        <v>C3</v>
      </c>
      <c r="I17" s="3" t="s">
        <v>79</v>
      </c>
      <c r="J17" t="s">
        <v>55</v>
      </c>
      <c r="K17" t="b">
        <v>1</v>
      </c>
      <c r="L17" t="s">
        <v>83</v>
      </c>
      <c r="M17" s="7" t="s">
        <v>177</v>
      </c>
      <c r="O17" t="s">
        <v>109</v>
      </c>
      <c r="P17" t="s">
        <v>5</v>
      </c>
      <c r="Q17" t="s">
        <v>121</v>
      </c>
      <c r="R17" t="s">
        <v>115</v>
      </c>
      <c r="S17" t="s">
        <v>150</v>
      </c>
      <c r="T17" t="s">
        <v>152</v>
      </c>
      <c r="V17" t="s">
        <v>137</v>
      </c>
      <c r="W17" s="22" t="s">
        <v>5</v>
      </c>
      <c r="X17" t="s">
        <v>142</v>
      </c>
      <c r="Y17" t="s">
        <v>146</v>
      </c>
      <c r="Z17" s="12" t="s">
        <v>31</v>
      </c>
    </row>
    <row r="18" spans="2:26" x14ac:dyDescent="0.25">
      <c r="H18" t="str">
        <f t="shared" si="0"/>
        <v>CCLT</v>
      </c>
      <c r="I18" s="3" t="s">
        <v>141</v>
      </c>
      <c r="J18" t="s">
        <v>55</v>
      </c>
      <c r="K18" t="b">
        <v>1</v>
      </c>
      <c r="L18" s="7" t="s">
        <v>25</v>
      </c>
      <c r="M18" s="7" t="s">
        <v>178</v>
      </c>
      <c r="O18" t="s">
        <v>110</v>
      </c>
      <c r="P18" t="s">
        <v>5</v>
      </c>
      <c r="Q18" t="s">
        <v>115</v>
      </c>
      <c r="R18" t="s">
        <v>118</v>
      </c>
      <c r="S18" t="s">
        <v>150</v>
      </c>
      <c r="T18" t="s">
        <v>152</v>
      </c>
      <c r="V18" t="s">
        <v>138</v>
      </c>
      <c r="W18" s="22" t="s">
        <v>5</v>
      </c>
      <c r="X18" t="s">
        <v>143</v>
      </c>
      <c r="Y18" t="s">
        <v>146</v>
      </c>
      <c r="Z18" s="12" t="s">
        <v>31</v>
      </c>
    </row>
    <row r="19" spans="2:26" x14ac:dyDescent="0.25">
      <c r="B19" s="7"/>
      <c r="H19" t="str">
        <f t="shared" si="0"/>
        <v>Cb2</v>
      </c>
      <c r="I19" s="3" t="s">
        <v>78</v>
      </c>
      <c r="J19" t="s">
        <v>103</v>
      </c>
      <c r="K19" t="b">
        <v>0</v>
      </c>
      <c r="L19" t="s">
        <v>84</v>
      </c>
      <c r="O19" t="s">
        <v>111</v>
      </c>
      <c r="P19" t="s">
        <v>5</v>
      </c>
      <c r="Q19" t="s">
        <v>122</v>
      </c>
      <c r="R19" t="s">
        <v>116</v>
      </c>
      <c r="S19" t="s">
        <v>150</v>
      </c>
      <c r="T19" t="s">
        <v>152</v>
      </c>
      <c r="V19" t="s">
        <v>139</v>
      </c>
      <c r="W19" s="22" t="s">
        <v>5</v>
      </c>
      <c r="X19" t="s">
        <v>144</v>
      </c>
      <c r="Y19" t="s">
        <v>147</v>
      </c>
      <c r="Z19" s="12" t="s">
        <v>32</v>
      </c>
    </row>
    <row r="20" spans="2:26" x14ac:dyDescent="0.25">
      <c r="B20" s="7"/>
      <c r="H20" t="str">
        <f t="shared" si="0"/>
        <v>Cb3</v>
      </c>
      <c r="I20" s="3" t="s">
        <v>79</v>
      </c>
      <c r="J20" t="s">
        <v>103</v>
      </c>
      <c r="K20" t="b">
        <v>0</v>
      </c>
      <c r="L20" t="s">
        <v>84</v>
      </c>
      <c r="O20" t="s">
        <v>112</v>
      </c>
      <c r="P20" t="s">
        <v>5</v>
      </c>
      <c r="Q20" t="s">
        <v>116</v>
      </c>
      <c r="R20" t="s">
        <v>119</v>
      </c>
      <c r="S20" t="s">
        <v>150</v>
      </c>
      <c r="T20" t="s">
        <v>152</v>
      </c>
      <c r="V20" t="s">
        <v>140</v>
      </c>
      <c r="W20" s="22" t="s">
        <v>5</v>
      </c>
      <c r="X20" t="s">
        <v>145</v>
      </c>
      <c r="Y20" t="s">
        <v>147</v>
      </c>
      <c r="Z20" s="12" t="s">
        <v>32</v>
      </c>
    </row>
    <row r="21" spans="2:26" x14ac:dyDescent="0.25">
      <c r="B21" s="7"/>
      <c r="H21" t="str">
        <f t="shared" si="0"/>
        <v>D1</v>
      </c>
      <c r="I21" s="3" t="s">
        <v>77</v>
      </c>
      <c r="J21" t="s">
        <v>40</v>
      </c>
      <c r="K21" t="b">
        <v>1</v>
      </c>
      <c r="L21" t="s">
        <v>83</v>
      </c>
      <c r="M21" s="7" t="s">
        <v>177</v>
      </c>
    </row>
    <row r="22" spans="2:26" x14ac:dyDescent="0.25">
      <c r="B22" s="7"/>
      <c r="H22" t="str">
        <f t="shared" si="0"/>
        <v>D2</v>
      </c>
      <c r="I22" s="3" t="s">
        <v>78</v>
      </c>
      <c r="J22" t="s">
        <v>40</v>
      </c>
      <c r="K22" t="b">
        <v>1</v>
      </c>
      <c r="L22" t="s">
        <v>83</v>
      </c>
      <c r="M22" s="7" t="s">
        <v>177</v>
      </c>
    </row>
    <row r="23" spans="2:26" x14ac:dyDescent="0.25">
      <c r="B23" s="7"/>
      <c r="H23" t="str">
        <f t="shared" si="0"/>
        <v>D3</v>
      </c>
      <c r="I23" s="3" t="s">
        <v>79</v>
      </c>
      <c r="J23" t="s">
        <v>40</v>
      </c>
      <c r="K23" t="b">
        <v>1</v>
      </c>
      <c r="L23" t="s">
        <v>83</v>
      </c>
      <c r="M23" s="7" t="s">
        <v>177</v>
      </c>
    </row>
    <row r="24" spans="2:26" x14ac:dyDescent="0.25">
      <c r="B24" s="7"/>
      <c r="H24" t="str">
        <f t="shared" si="0"/>
        <v>D4</v>
      </c>
      <c r="I24" s="3" t="s">
        <v>80</v>
      </c>
      <c r="J24" t="s">
        <v>40</v>
      </c>
      <c r="K24" t="b">
        <v>1</v>
      </c>
      <c r="L24" t="s">
        <v>83</v>
      </c>
      <c r="M24" s="7" t="s">
        <v>177</v>
      </c>
    </row>
    <row r="25" spans="2:26" x14ac:dyDescent="0.25">
      <c r="B25" s="7"/>
    </row>
    <row r="26" spans="2:26" x14ac:dyDescent="0.25">
      <c r="B26" s="7"/>
    </row>
  </sheetData>
  <mergeCells count="4">
    <mergeCell ref="V1:Z1"/>
    <mergeCell ref="O1:T1"/>
    <mergeCell ref="H1:M1"/>
    <mergeCell ref="A1:F1"/>
  </mergeCells>
  <phoneticPr fontId="1" type="noConversion"/>
  <dataValidations count="6">
    <dataValidation type="list" allowBlank="1" showInputMessage="1" showErrorMessage="1" sqref="P3:P20 W3:W20" xr:uid="{5C8FFCBA-B04A-487C-87A0-3725357CAF62}">
      <formula1>"elasticBeamCol,Timoshenko,rigidLink,UFP,PT"</formula1>
    </dataValidation>
    <dataValidation type="list" allowBlank="1" showInputMessage="1" showErrorMessage="1" sqref="Q3:R1048576 X3:X1048576" xr:uid="{1A1771CC-2B0D-41AD-93D8-D9439FB96547}">
      <formula1>Floor_Plan_Node_Names</formula1>
    </dataValidation>
    <dataValidation type="list" allowBlank="1" showInputMessage="1" showErrorMessage="1" sqref="T3:T1048576 Z3:Z1048576" xr:uid="{56E7D204-0867-4A6B-B60C-0DA18A7246C4}">
      <formula1>Transformations_List</formula1>
    </dataValidation>
    <dataValidation type="list" allowBlank="1" showInputMessage="1" showErrorMessage="1" sqref="L3:L1048576" xr:uid="{CCE5D375-A6D0-4E93-958F-7CC9D731AF79}">
      <formula1>Fixity_List</formula1>
    </dataValidation>
    <dataValidation type="list" allowBlank="1" showInputMessage="1" showErrorMessage="1" sqref="K3:K1048576" xr:uid="{4B21DEF8-5CAA-4281-A855-84E246589E05}">
      <formula1>"TRUE,FALSE"</formula1>
    </dataValidation>
    <dataValidation type="list" allowBlank="1" showInputMessage="1" showErrorMessage="1" sqref="I3:J1048576" xr:uid="{C95DB0E8-CE39-477D-BA30-B4309362654A}">
      <formula1>Grid_List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00EF3-3934-4FD0-BE54-05AC0EE01CB8}">
  <sheetPr codeName="Sheet9"/>
  <dimension ref="A1:P27"/>
  <sheetViews>
    <sheetView workbookViewId="0">
      <selection activeCell="F13" sqref="F13"/>
    </sheetView>
  </sheetViews>
  <sheetFormatPr defaultRowHeight="15" x14ac:dyDescent="0.25"/>
  <cols>
    <col min="1" max="1" width="11" customWidth="1"/>
    <col min="8" max="8" width="2.85546875" style="4" customWidth="1"/>
    <col min="11" max="11" width="2.85546875" style="4" customWidth="1"/>
    <col min="12" max="12" width="13.28515625" customWidth="1"/>
    <col min="13" max="13" width="11" customWidth="1"/>
    <col min="14" max="14" width="12.7109375" customWidth="1"/>
    <col min="15" max="15" width="82.28515625" customWidth="1"/>
    <col min="16" max="16" width="2.85546875" style="4" customWidth="1"/>
  </cols>
  <sheetData>
    <row r="1" spans="1:15" x14ac:dyDescent="0.25">
      <c r="A1" s="27" t="s">
        <v>165</v>
      </c>
      <c r="B1" s="27"/>
      <c r="C1" s="27"/>
      <c r="D1" s="27"/>
      <c r="E1" s="27"/>
      <c r="F1" s="27"/>
      <c r="G1" s="27"/>
      <c r="I1" s="26" t="s">
        <v>47</v>
      </c>
      <c r="J1" s="26"/>
      <c r="L1" s="26" t="s">
        <v>52</v>
      </c>
      <c r="M1" s="26"/>
      <c r="N1" s="26"/>
      <c r="O1" s="26"/>
    </row>
    <row r="2" spans="1:15" x14ac:dyDescent="0.25">
      <c r="A2" t="s">
        <v>1</v>
      </c>
      <c r="B2" t="s">
        <v>18</v>
      </c>
      <c r="C2" t="s">
        <v>19</v>
      </c>
      <c r="D2" t="s">
        <v>20</v>
      </c>
      <c r="E2" t="s">
        <v>22</v>
      </c>
      <c r="F2" t="s">
        <v>23</v>
      </c>
      <c r="G2" t="s">
        <v>24</v>
      </c>
      <c r="L2" s="3" t="s">
        <v>51</v>
      </c>
      <c r="M2" s="14" t="s">
        <v>53</v>
      </c>
      <c r="N2" s="15" t="s">
        <v>44</v>
      </c>
      <c r="O2" s="14" t="s">
        <v>181</v>
      </c>
    </row>
    <row r="3" spans="1:15" x14ac:dyDescent="0.25">
      <c r="A3" t="s">
        <v>25</v>
      </c>
      <c r="B3" s="5" t="s">
        <v>25</v>
      </c>
      <c r="C3" s="5" t="s">
        <v>25</v>
      </c>
      <c r="D3" s="5" t="s">
        <v>25</v>
      </c>
      <c r="E3" s="5" t="s">
        <v>25</v>
      </c>
      <c r="F3" s="5" t="s">
        <v>25</v>
      </c>
      <c r="G3" s="5" t="s">
        <v>25</v>
      </c>
      <c r="I3" s="14" t="s">
        <v>18</v>
      </c>
      <c r="J3" s="14" t="s">
        <v>48</v>
      </c>
      <c r="L3" s="9" t="s">
        <v>77</v>
      </c>
      <c r="M3" s="14">
        <v>0</v>
      </c>
      <c r="N3" s="2" t="s">
        <v>18</v>
      </c>
      <c r="O3" s="14"/>
    </row>
    <row r="4" spans="1:15" x14ac:dyDescent="0.25">
      <c r="A4" t="s">
        <v>83</v>
      </c>
      <c r="B4" s="5" t="s">
        <v>25</v>
      </c>
      <c r="C4" s="5" t="s">
        <v>25</v>
      </c>
      <c r="D4" s="5" t="s">
        <v>25</v>
      </c>
      <c r="E4" s="5" t="s">
        <v>167</v>
      </c>
      <c r="F4" s="5" t="s">
        <v>167</v>
      </c>
      <c r="G4" s="5" t="s">
        <v>167</v>
      </c>
      <c r="I4" s="14" t="s">
        <v>19</v>
      </c>
      <c r="J4" s="14" t="s">
        <v>49</v>
      </c>
      <c r="L4" s="9" t="s">
        <v>78</v>
      </c>
      <c r="M4" s="14">
        <v>126</v>
      </c>
      <c r="N4" s="2" t="s">
        <v>18</v>
      </c>
      <c r="O4" s="14"/>
    </row>
    <row r="5" spans="1:15" x14ac:dyDescent="0.25">
      <c r="A5" t="s">
        <v>166</v>
      </c>
      <c r="B5" t="s">
        <v>167</v>
      </c>
      <c r="C5" s="5" t="s">
        <v>167</v>
      </c>
      <c r="D5" s="5" t="s">
        <v>25</v>
      </c>
      <c r="E5" s="5" t="s">
        <v>25</v>
      </c>
      <c r="F5" s="5" t="s">
        <v>25</v>
      </c>
      <c r="G5" s="5" t="s">
        <v>167</v>
      </c>
      <c r="I5" s="14" t="s">
        <v>20</v>
      </c>
      <c r="J5" s="14" t="s">
        <v>50</v>
      </c>
      <c r="L5" s="9" t="s">
        <v>79</v>
      </c>
      <c r="M5" s="14">
        <v>258</v>
      </c>
      <c r="N5" s="2" t="s">
        <v>18</v>
      </c>
      <c r="O5" s="14"/>
    </row>
    <row r="6" spans="1:15" x14ac:dyDescent="0.25">
      <c r="L6" s="9" t="s">
        <v>80</v>
      </c>
      <c r="M6" s="14">
        <v>384</v>
      </c>
      <c r="N6" s="2" t="s">
        <v>18</v>
      </c>
      <c r="O6" s="14"/>
    </row>
    <row r="7" spans="1:15" x14ac:dyDescent="0.25">
      <c r="L7" s="3" t="s">
        <v>141</v>
      </c>
      <c r="M7" s="14">
        <v>192</v>
      </c>
      <c r="N7" s="2" t="s">
        <v>18</v>
      </c>
      <c r="O7" s="14" t="s">
        <v>182</v>
      </c>
    </row>
    <row r="8" spans="1:15" x14ac:dyDescent="0.25">
      <c r="L8" s="3" t="s">
        <v>8</v>
      </c>
      <c r="M8" s="14">
        <v>0</v>
      </c>
      <c r="N8" s="2" t="s">
        <v>19</v>
      </c>
      <c r="O8" s="14"/>
    </row>
    <row r="9" spans="1:15" x14ac:dyDescent="0.25">
      <c r="L9" s="3" t="s">
        <v>54</v>
      </c>
      <c r="M9" s="14">
        <v>-120</v>
      </c>
      <c r="N9" s="2" t="s">
        <v>19</v>
      </c>
      <c r="O9" s="14"/>
    </row>
    <row r="10" spans="1:15" x14ac:dyDescent="0.25">
      <c r="L10" s="3" t="s">
        <v>55</v>
      </c>
      <c r="M10" s="14">
        <v>-216</v>
      </c>
      <c r="N10" s="2" t="s">
        <v>19</v>
      </c>
      <c r="O10" s="14"/>
    </row>
    <row r="11" spans="1:15" x14ac:dyDescent="0.25">
      <c r="L11" s="3" t="s">
        <v>40</v>
      </c>
      <c r="M11" s="14">
        <v>-270</v>
      </c>
      <c r="N11" s="2" t="s">
        <v>19</v>
      </c>
      <c r="O11" s="14"/>
    </row>
    <row r="12" spans="1:15" x14ac:dyDescent="0.25">
      <c r="L12" s="3" t="s">
        <v>81</v>
      </c>
      <c r="M12" s="14">
        <v>-60</v>
      </c>
      <c r="N12" s="2" t="s">
        <v>19</v>
      </c>
      <c r="O12" s="14" t="s">
        <v>183</v>
      </c>
    </row>
    <row r="13" spans="1:15" x14ac:dyDescent="0.25">
      <c r="L13" s="3" t="s">
        <v>104</v>
      </c>
      <c r="M13" s="14">
        <v>-25.625</v>
      </c>
      <c r="N13" s="2" t="s">
        <v>19</v>
      </c>
      <c r="O13" s="14"/>
    </row>
    <row r="14" spans="1:15" x14ac:dyDescent="0.25">
      <c r="L14" s="3" t="s">
        <v>103</v>
      </c>
      <c r="M14" s="14">
        <v>-241.625</v>
      </c>
      <c r="N14" s="2" t="s">
        <v>19</v>
      </c>
      <c r="O14" s="14"/>
    </row>
    <row r="15" spans="1:15" x14ac:dyDescent="0.25">
      <c r="L15" s="3" t="s">
        <v>56</v>
      </c>
      <c r="M15" s="14">
        <v>0</v>
      </c>
      <c r="N15" s="2" t="s">
        <v>20</v>
      </c>
      <c r="O15" s="14"/>
    </row>
    <row r="16" spans="1:15" x14ac:dyDescent="0.25">
      <c r="L16" s="3" t="s">
        <v>57</v>
      </c>
      <c r="M16" s="14">
        <v>14</v>
      </c>
      <c r="N16" s="2" t="s">
        <v>20</v>
      </c>
      <c r="O16" s="14"/>
    </row>
    <row r="17" spans="12:15" x14ac:dyDescent="0.25">
      <c r="L17" s="3" t="s">
        <v>58</v>
      </c>
      <c r="M17" s="14">
        <v>170</v>
      </c>
      <c r="N17" s="2" t="s">
        <v>20</v>
      </c>
      <c r="O17" s="14"/>
    </row>
    <row r="18" spans="12:15" x14ac:dyDescent="0.25">
      <c r="L18" s="3" t="s">
        <v>59</v>
      </c>
      <c r="M18" s="14">
        <v>302</v>
      </c>
      <c r="N18" s="2" t="s">
        <v>20</v>
      </c>
      <c r="O18" s="14"/>
    </row>
    <row r="19" spans="12:15" x14ac:dyDescent="0.25">
      <c r="L19" s="3" t="s">
        <v>60</v>
      </c>
      <c r="M19" s="14">
        <v>434</v>
      </c>
      <c r="N19" s="2" t="s">
        <v>20</v>
      </c>
      <c r="O19" s="14"/>
    </row>
    <row r="20" spans="12:15" x14ac:dyDescent="0.25">
      <c r="L20" s="3" t="s">
        <v>61</v>
      </c>
      <c r="M20" s="14">
        <v>566</v>
      </c>
      <c r="N20" s="2" t="s">
        <v>20</v>
      </c>
      <c r="O20" s="14"/>
    </row>
    <row r="21" spans="12:15" x14ac:dyDescent="0.25">
      <c r="L21" s="3" t="s">
        <v>62</v>
      </c>
      <c r="M21" s="14">
        <v>698</v>
      </c>
      <c r="N21" s="2" t="s">
        <v>20</v>
      </c>
      <c r="O21" s="14"/>
    </row>
    <row r="22" spans="12:15" x14ac:dyDescent="0.25">
      <c r="L22" s="3" t="s">
        <v>63</v>
      </c>
      <c r="M22" s="14">
        <v>830</v>
      </c>
      <c r="N22" s="2" t="s">
        <v>20</v>
      </c>
      <c r="O22" s="14"/>
    </row>
    <row r="23" spans="12:15" x14ac:dyDescent="0.25">
      <c r="L23" s="3" t="s">
        <v>64</v>
      </c>
      <c r="M23" s="14">
        <v>962</v>
      </c>
      <c r="N23" s="2" t="s">
        <v>20</v>
      </c>
      <c r="O23" s="14"/>
    </row>
    <row r="24" spans="12:15" x14ac:dyDescent="0.25">
      <c r="L24" s="3" t="s">
        <v>65</v>
      </c>
      <c r="M24" s="14">
        <v>1094</v>
      </c>
      <c r="N24" s="2" t="s">
        <v>20</v>
      </c>
      <c r="O24" s="14"/>
    </row>
    <row r="25" spans="12:15" x14ac:dyDescent="0.25">
      <c r="L25" s="3" t="s">
        <v>66</v>
      </c>
      <c r="M25" s="14">
        <v>1226</v>
      </c>
      <c r="N25" s="2" t="s">
        <v>20</v>
      </c>
      <c r="O25" s="14"/>
    </row>
    <row r="26" spans="12:15" x14ac:dyDescent="0.25">
      <c r="L26" s="3" t="s">
        <v>68</v>
      </c>
      <c r="M26" s="14">
        <v>1358</v>
      </c>
      <c r="N26" s="2" t="s">
        <v>20</v>
      </c>
      <c r="O26" s="14"/>
    </row>
    <row r="27" spans="12:15" x14ac:dyDescent="0.25">
      <c r="L27" s="3" t="s">
        <v>67</v>
      </c>
      <c r="M27" s="14">
        <v>1374</v>
      </c>
      <c r="N27" s="2" t="s">
        <v>20</v>
      </c>
      <c r="O27" s="14" t="s">
        <v>184</v>
      </c>
    </row>
  </sheetData>
  <mergeCells count="3">
    <mergeCell ref="A1:G1"/>
    <mergeCell ref="I1:J1"/>
    <mergeCell ref="L1:O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AB555-EF36-41B1-A460-F0DABD39D991}">
  <sheetPr codeName="Sheet32"/>
  <dimension ref="A1:W38"/>
  <sheetViews>
    <sheetView workbookViewId="0">
      <selection activeCell="E20" sqref="E20"/>
    </sheetView>
  </sheetViews>
  <sheetFormatPr defaultRowHeight="15" x14ac:dyDescent="0.25"/>
  <cols>
    <col min="1" max="1" width="17.7109375" customWidth="1"/>
    <col min="2" max="2" width="13.42578125" customWidth="1"/>
    <col min="3" max="3" width="16.7109375" customWidth="1"/>
    <col min="4" max="4" width="17.42578125" customWidth="1"/>
    <col min="5" max="5" width="17.42578125" style="19" customWidth="1"/>
    <col min="6" max="6" width="10.85546875" customWidth="1"/>
    <col min="11" max="11" width="16.140625" customWidth="1"/>
  </cols>
  <sheetData>
    <row r="1" spans="1:23" x14ac:dyDescent="0.25">
      <c r="A1" t="s">
        <v>1</v>
      </c>
      <c r="B1" t="s">
        <v>41</v>
      </c>
      <c r="C1" t="s">
        <v>888</v>
      </c>
      <c r="D1" t="s">
        <v>871</v>
      </c>
      <c r="E1" s="19" t="s">
        <v>886</v>
      </c>
      <c r="F1" t="s">
        <v>882</v>
      </c>
      <c r="G1" t="s">
        <v>887</v>
      </c>
      <c r="P1" s="17"/>
      <c r="Q1" s="17"/>
      <c r="R1" s="17"/>
      <c r="S1" s="17"/>
      <c r="T1" s="17"/>
      <c r="U1" s="17"/>
      <c r="V1" s="17"/>
      <c r="W1" s="17"/>
    </row>
    <row r="2" spans="1:23" x14ac:dyDescent="0.25">
      <c r="A2" t="s">
        <v>842</v>
      </c>
      <c r="B2" t="s">
        <v>175</v>
      </c>
      <c r="C2" t="s">
        <v>845</v>
      </c>
      <c r="D2" t="s">
        <v>883</v>
      </c>
      <c r="F2" t="s">
        <v>889</v>
      </c>
      <c r="G2" s="2" t="s">
        <v>802</v>
      </c>
      <c r="K2" t="s">
        <v>844</v>
      </c>
      <c r="L2" t="s">
        <v>843</v>
      </c>
      <c r="Q2" t="s">
        <v>842</v>
      </c>
      <c r="R2" s="17" t="s">
        <v>872</v>
      </c>
      <c r="S2" s="17" t="s">
        <v>881</v>
      </c>
    </row>
    <row r="3" spans="1:23" x14ac:dyDescent="0.25">
      <c r="A3" s="17" t="s">
        <v>842</v>
      </c>
      <c r="B3" t="s">
        <v>164</v>
      </c>
      <c r="C3" t="s">
        <v>849</v>
      </c>
      <c r="D3" t="s">
        <v>885</v>
      </c>
      <c r="G3" s="2" t="s">
        <v>802</v>
      </c>
      <c r="K3" t="s">
        <v>842</v>
      </c>
      <c r="L3" t="s">
        <v>845</v>
      </c>
    </row>
    <row r="4" spans="1:23" x14ac:dyDescent="0.25">
      <c r="A4" s="17" t="s">
        <v>842</v>
      </c>
      <c r="B4" s="17" t="s">
        <v>175</v>
      </c>
      <c r="C4" s="17" t="s">
        <v>845</v>
      </c>
      <c r="D4" s="17" t="s">
        <v>884</v>
      </c>
      <c r="F4">
        <v>1</v>
      </c>
      <c r="G4" s="2" t="s">
        <v>802</v>
      </c>
      <c r="K4" s="17" t="s">
        <v>842</v>
      </c>
      <c r="L4" t="s">
        <v>846</v>
      </c>
      <c r="Q4" s="17" t="str" cm="1">
        <f t="array" ref="Q4:Q29">_xlfn._xlws.FILTER($L:$L,$K:$K=Q2,"")</f>
        <v>disp</v>
      </c>
      <c r="R4" s="17" t="str" cm="1">
        <f t="array" ref="R4:R11">_xlfn._xlws.FILTER($L:$L,$K:$K=R2,"")</f>
        <v>force</v>
      </c>
      <c r="S4" s="17" t="str" cm="1">
        <f t="array" ref="S4:S5">_xlfn._xlws.FILTER($L:$L,$K:$K=S2,"")</f>
        <v>force</v>
      </c>
      <c r="T4" s="17"/>
      <c r="U4" s="17"/>
    </row>
    <row r="5" spans="1:23" x14ac:dyDescent="0.25">
      <c r="A5" t="s">
        <v>842</v>
      </c>
      <c r="B5" t="s">
        <v>895</v>
      </c>
      <c r="C5" s="20" t="s">
        <v>845</v>
      </c>
      <c r="D5" t="s">
        <v>896</v>
      </c>
      <c r="G5" s="2" t="s">
        <v>802</v>
      </c>
      <c r="K5" s="17" t="s">
        <v>842</v>
      </c>
      <c r="L5" t="s">
        <v>847</v>
      </c>
      <c r="Q5" t="str">
        <v>vel</v>
      </c>
      <c r="R5" t="str">
        <v>localForce</v>
      </c>
      <c r="S5" t="str">
        <v>localForce</v>
      </c>
    </row>
    <row r="6" spans="1:23" x14ac:dyDescent="0.25">
      <c r="K6" s="17" t="s">
        <v>842</v>
      </c>
      <c r="L6" t="s">
        <v>848</v>
      </c>
      <c r="Q6" t="str">
        <v>accel</v>
      </c>
      <c r="R6" t="str">
        <v>vbasicForce</v>
      </c>
    </row>
    <row r="7" spans="1:23" x14ac:dyDescent="0.25">
      <c r="K7" s="17" t="s">
        <v>842</v>
      </c>
      <c r="L7" t="s">
        <v>849</v>
      </c>
      <c r="Q7" t="str">
        <v>incrDisp</v>
      </c>
      <c r="R7" t="str">
        <v>deformations</v>
      </c>
    </row>
    <row r="8" spans="1:23" x14ac:dyDescent="0.25">
      <c r="K8" s="17" t="s">
        <v>842</v>
      </c>
      <c r="L8" t="s">
        <v>893</v>
      </c>
      <c r="Q8" t="str">
        <v>reaction</v>
      </c>
      <c r="R8" t="str">
        <v>chordRotation</v>
      </c>
    </row>
    <row r="9" spans="1:23" x14ac:dyDescent="0.25">
      <c r="K9" s="17" t="s">
        <v>842</v>
      </c>
      <c r="L9" t="s">
        <v>850</v>
      </c>
      <c r="Q9" t="str">
        <v>rayleighForces</v>
      </c>
      <c r="R9" t="str">
        <v>xaxis</v>
      </c>
    </row>
    <row r="10" spans="1:23" x14ac:dyDescent="0.25">
      <c r="K10" s="17" t="s">
        <v>842</v>
      </c>
      <c r="L10" s="17" t="s">
        <v>851</v>
      </c>
      <c r="Q10" t="str">
        <v>eigen 1</v>
      </c>
      <c r="R10" t="str">
        <v>yaxis</v>
      </c>
    </row>
    <row r="11" spans="1:23" x14ac:dyDescent="0.25">
      <c r="K11" s="17" t="s">
        <v>842</v>
      </c>
      <c r="L11" s="17" t="s">
        <v>852</v>
      </c>
      <c r="Q11" t="str">
        <v>eigen 2</v>
      </c>
      <c r="R11" t="str">
        <v>zaxis</v>
      </c>
    </row>
    <row r="12" spans="1:23" x14ac:dyDescent="0.25">
      <c r="K12" s="17" t="s">
        <v>842</v>
      </c>
      <c r="L12" s="17" t="s">
        <v>853</v>
      </c>
      <c r="Q12" t="str">
        <v>eigen 3</v>
      </c>
    </row>
    <row r="13" spans="1:23" x14ac:dyDescent="0.25">
      <c r="K13" s="17" t="s">
        <v>842</v>
      </c>
      <c r="L13" s="17" t="s">
        <v>854</v>
      </c>
      <c r="Q13" t="str">
        <v>eigen 4</v>
      </c>
    </row>
    <row r="14" spans="1:23" x14ac:dyDescent="0.25">
      <c r="K14" s="17" t="s">
        <v>842</v>
      </c>
      <c r="L14" s="17" t="s">
        <v>855</v>
      </c>
      <c r="Q14" t="str">
        <v>eigen 5</v>
      </c>
    </row>
    <row r="15" spans="1:23" x14ac:dyDescent="0.25">
      <c r="K15" s="17" t="s">
        <v>842</v>
      </c>
      <c r="L15" s="17" t="s">
        <v>856</v>
      </c>
      <c r="Q15" t="str">
        <v>eigen 6</v>
      </c>
    </row>
    <row r="16" spans="1:23" x14ac:dyDescent="0.25">
      <c r="K16" s="17" t="s">
        <v>842</v>
      </c>
      <c r="L16" s="17" t="s">
        <v>857</v>
      </c>
      <c r="Q16" t="str">
        <v>eigen 7</v>
      </c>
    </row>
    <row r="17" spans="11:17" x14ac:dyDescent="0.25">
      <c r="K17" s="17" t="s">
        <v>842</v>
      </c>
      <c r="L17" s="17" t="s">
        <v>858</v>
      </c>
      <c r="Q17" t="str">
        <v>eigen 8</v>
      </c>
    </row>
    <row r="18" spans="11:17" x14ac:dyDescent="0.25">
      <c r="K18" s="17" t="s">
        <v>842</v>
      </c>
      <c r="L18" s="17" t="s">
        <v>859</v>
      </c>
      <c r="Q18" t="str">
        <v>eigen 9</v>
      </c>
    </row>
    <row r="19" spans="11:17" x14ac:dyDescent="0.25">
      <c r="K19" s="17" t="s">
        <v>842</v>
      </c>
      <c r="L19" s="17" t="s">
        <v>860</v>
      </c>
      <c r="Q19" t="str">
        <v>eigen 10</v>
      </c>
    </row>
    <row r="20" spans="11:17" x14ac:dyDescent="0.25">
      <c r="K20" s="17" t="s">
        <v>842</v>
      </c>
      <c r="L20" s="17" t="s">
        <v>861</v>
      </c>
      <c r="Q20" t="str">
        <v>eigen 11</v>
      </c>
    </row>
    <row r="21" spans="11:17" x14ac:dyDescent="0.25">
      <c r="K21" s="17" t="s">
        <v>842</v>
      </c>
      <c r="L21" s="17" t="s">
        <v>862</v>
      </c>
      <c r="Q21" t="str">
        <v>eigen 12</v>
      </c>
    </row>
    <row r="22" spans="11:17" x14ac:dyDescent="0.25">
      <c r="K22" s="17" t="s">
        <v>842</v>
      </c>
      <c r="L22" s="17" t="s">
        <v>863</v>
      </c>
      <c r="Q22" t="str">
        <v>eigen 13</v>
      </c>
    </row>
    <row r="23" spans="11:17" x14ac:dyDescent="0.25">
      <c r="K23" s="17" t="s">
        <v>842</v>
      </c>
      <c r="L23" s="17" t="s">
        <v>864</v>
      </c>
      <c r="Q23" t="str">
        <v>eigen 14</v>
      </c>
    </row>
    <row r="24" spans="11:17" x14ac:dyDescent="0.25">
      <c r="K24" s="17" t="s">
        <v>842</v>
      </c>
      <c r="L24" s="17" t="s">
        <v>865</v>
      </c>
      <c r="Q24" t="str">
        <v>eigen 15</v>
      </c>
    </row>
    <row r="25" spans="11:17" x14ac:dyDescent="0.25">
      <c r="K25" s="17" t="s">
        <v>842</v>
      </c>
      <c r="L25" s="17" t="s">
        <v>866</v>
      </c>
      <c r="Q25" t="str">
        <v>eigen 16</v>
      </c>
    </row>
    <row r="26" spans="11:17" x14ac:dyDescent="0.25">
      <c r="K26" s="17" t="s">
        <v>842</v>
      </c>
      <c r="L26" s="17" t="s">
        <v>867</v>
      </c>
      <c r="Q26" t="str">
        <v>eigen 17</v>
      </c>
    </row>
    <row r="27" spans="11:17" x14ac:dyDescent="0.25">
      <c r="K27" s="17" t="s">
        <v>842</v>
      </c>
      <c r="L27" s="17" t="s">
        <v>868</v>
      </c>
      <c r="Q27" t="str">
        <v>eigen 18</v>
      </c>
    </row>
    <row r="28" spans="11:17" x14ac:dyDescent="0.25">
      <c r="K28" s="17" t="s">
        <v>842</v>
      </c>
      <c r="L28" s="17" t="s">
        <v>869</v>
      </c>
      <c r="Q28" t="str">
        <v>eigen 19</v>
      </c>
    </row>
    <row r="29" spans="11:17" x14ac:dyDescent="0.25">
      <c r="K29" s="17" t="s">
        <v>872</v>
      </c>
      <c r="L29" t="s">
        <v>873</v>
      </c>
      <c r="Q29" t="str">
        <v>eigen 20</v>
      </c>
    </row>
    <row r="30" spans="11:17" x14ac:dyDescent="0.25">
      <c r="K30" s="17" t="s">
        <v>872</v>
      </c>
      <c r="L30" t="s">
        <v>874</v>
      </c>
    </row>
    <row r="31" spans="11:17" x14ac:dyDescent="0.25">
      <c r="K31" s="17" t="s">
        <v>872</v>
      </c>
      <c r="L31" t="s">
        <v>875</v>
      </c>
    </row>
    <row r="32" spans="11:17" x14ac:dyDescent="0.25">
      <c r="K32" s="17" t="s">
        <v>872</v>
      </c>
      <c r="L32" t="s">
        <v>876</v>
      </c>
    </row>
    <row r="33" spans="11:12" x14ac:dyDescent="0.25">
      <c r="K33" s="17" t="s">
        <v>872</v>
      </c>
      <c r="L33" t="s">
        <v>877</v>
      </c>
    </row>
    <row r="34" spans="11:12" x14ac:dyDescent="0.25">
      <c r="K34" s="17" t="s">
        <v>872</v>
      </c>
      <c r="L34" t="s">
        <v>878</v>
      </c>
    </row>
    <row r="35" spans="11:12" x14ac:dyDescent="0.25">
      <c r="K35" s="17" t="s">
        <v>872</v>
      </c>
      <c r="L35" t="s">
        <v>879</v>
      </c>
    </row>
    <row r="36" spans="11:12" x14ac:dyDescent="0.25">
      <c r="K36" s="17" t="s">
        <v>872</v>
      </c>
      <c r="L36" t="s">
        <v>880</v>
      </c>
    </row>
    <row r="37" spans="11:12" x14ac:dyDescent="0.25">
      <c r="K37" t="s">
        <v>881</v>
      </c>
      <c r="L37" t="s">
        <v>873</v>
      </c>
    </row>
    <row r="38" spans="11:12" x14ac:dyDescent="0.25">
      <c r="K38" s="17" t="s">
        <v>881</v>
      </c>
      <c r="L38" t="s">
        <v>874</v>
      </c>
    </row>
  </sheetData>
  <phoneticPr fontId="1" type="noConversion"/>
  <conditionalFormatting sqref="G2">
    <cfRule type="cellIs" dxfId="9" priority="5" operator="equal">
      <formula>"N"</formula>
    </cfRule>
    <cfRule type="cellIs" dxfId="8" priority="6" operator="equal">
      <formula>"Y"</formula>
    </cfRule>
  </conditionalFormatting>
  <conditionalFormatting sqref="G3">
    <cfRule type="cellIs" dxfId="7" priority="3" operator="equal">
      <formula>"N"</formula>
    </cfRule>
    <cfRule type="cellIs" dxfId="6" priority="4" operator="equal">
      <formula>"Y"</formula>
    </cfRule>
  </conditionalFormatting>
  <conditionalFormatting sqref="G4:G5">
    <cfRule type="cellIs" dxfId="5" priority="1" operator="equal">
      <formula>"N"</formula>
    </cfRule>
    <cfRule type="cellIs" dxfId="4" priority="2" operator="equal">
      <formula>"Y"</formula>
    </cfRule>
  </conditionalFormatting>
  <dataValidations count="4">
    <dataValidation type="list" allowBlank="1" showInputMessage="1" showErrorMessage="1" sqref="A2:A1048576" xr:uid="{83ECF071-4826-4F7A-A88F-3F8605E3A78F}">
      <formula1>Recorder_Type_List</formula1>
    </dataValidation>
    <dataValidation type="list" allowBlank="1" showInputMessage="1" showErrorMessage="1" sqref="E2:E1048576" xr:uid="{6B84A898-4D54-4FE8-9E45-20EBED24D65F}">
      <formula1>Load_Case_list</formula1>
    </dataValidation>
    <dataValidation type="list" allowBlank="1" showInputMessage="1" showErrorMessage="1" sqref="G6:G1048576" xr:uid="{5B52D890-883E-4EA9-9406-AB5C50419B70}">
      <formula1>"TRUE,FALSE"</formula1>
    </dataValidation>
    <dataValidation type="list" allowBlank="1" showInputMessage="1" showErrorMessage="1" sqref="G2:G5" xr:uid="{C1009F06-08A7-4CC6-83A7-A238F8E59CD3}">
      <formula1>"Y,N"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8BB4B-B9AB-4BEF-AF2E-ED75F45C3553}">
  <sheetPr codeName="Sheet10"/>
  <dimension ref="A1:G36"/>
  <sheetViews>
    <sheetView tabSelected="1" workbookViewId="0">
      <selection activeCell="D9" sqref="D9"/>
    </sheetView>
  </sheetViews>
  <sheetFormatPr defaultColWidth="0" defaultRowHeight="15" x14ac:dyDescent="0.25"/>
  <cols>
    <col min="1" max="1" width="12.5703125" customWidth="1"/>
    <col min="2" max="2" width="6.7109375" style="2" customWidth="1"/>
    <col min="3" max="5" width="9.140625" style="2" customWidth="1"/>
    <col min="6" max="6" width="54.85546875" style="21" customWidth="1"/>
    <col min="7" max="7" width="9.140625" customWidth="1"/>
    <col min="8" max="16384" width="9.140625" hidden="1"/>
  </cols>
  <sheetData>
    <row r="1" spans="1:7" x14ac:dyDescent="0.25">
      <c r="A1" t="s">
        <v>51</v>
      </c>
      <c r="B1" s="2" t="s">
        <v>803</v>
      </c>
      <c r="C1" s="2" t="s">
        <v>1</v>
      </c>
      <c r="D1" s="2" t="s">
        <v>807</v>
      </c>
      <c r="E1" s="2" t="s">
        <v>808</v>
      </c>
      <c r="F1" s="21" t="s">
        <v>894</v>
      </c>
      <c r="G1" s="2" t="s">
        <v>898</v>
      </c>
    </row>
    <row r="2" spans="1:7" x14ac:dyDescent="0.25">
      <c r="A2" t="s">
        <v>800</v>
      </c>
      <c r="B2" s="2" t="s">
        <v>802</v>
      </c>
      <c r="C2" s="18"/>
      <c r="D2" s="2">
        <v>1</v>
      </c>
      <c r="E2" s="2">
        <v>1</v>
      </c>
      <c r="G2" s="2"/>
    </row>
    <row r="3" spans="1:7" x14ac:dyDescent="0.25">
      <c r="A3" t="s">
        <v>890</v>
      </c>
      <c r="B3" s="2" t="s">
        <v>802</v>
      </c>
      <c r="C3" s="2" t="s">
        <v>801</v>
      </c>
      <c r="D3" s="2">
        <v>0.1</v>
      </c>
      <c r="E3" s="2">
        <v>10</v>
      </c>
      <c r="G3" s="2"/>
    </row>
    <row r="4" spans="1:7" x14ac:dyDescent="0.25">
      <c r="A4" t="s">
        <v>891</v>
      </c>
      <c r="B4" s="2" t="s">
        <v>802</v>
      </c>
      <c r="C4" s="2" t="s">
        <v>801</v>
      </c>
      <c r="D4" s="2">
        <v>0.1</v>
      </c>
      <c r="E4" s="2">
        <v>10</v>
      </c>
      <c r="G4" s="2"/>
    </row>
    <row r="5" spans="1:7" x14ac:dyDescent="0.25">
      <c r="A5" t="s">
        <v>892</v>
      </c>
      <c r="B5" s="2" t="s">
        <v>802</v>
      </c>
      <c r="C5" s="2" t="s">
        <v>805</v>
      </c>
      <c r="D5" s="2">
        <v>1</v>
      </c>
      <c r="E5" s="2">
        <v>10</v>
      </c>
      <c r="F5" s="21" t="s">
        <v>412</v>
      </c>
      <c r="G5" s="2" t="s">
        <v>18</v>
      </c>
    </row>
    <row r="6" spans="1:7" x14ac:dyDescent="0.25">
      <c r="A6" t="s">
        <v>806</v>
      </c>
      <c r="B6" s="2" t="s">
        <v>19</v>
      </c>
      <c r="C6" s="2" t="s">
        <v>804</v>
      </c>
      <c r="D6" s="2">
        <v>0.02</v>
      </c>
      <c r="E6" s="2">
        <v>1</v>
      </c>
      <c r="F6" s="21" t="s">
        <v>897</v>
      </c>
      <c r="G6" s="2" t="s">
        <v>18</v>
      </c>
    </row>
    <row r="7" spans="1:7" x14ac:dyDescent="0.25">
      <c r="A7" t="s">
        <v>901</v>
      </c>
      <c r="B7" s="2" t="s">
        <v>802</v>
      </c>
      <c r="C7" s="2" t="s">
        <v>801</v>
      </c>
      <c r="D7" s="2">
        <v>1</v>
      </c>
      <c r="E7" s="2">
        <v>1</v>
      </c>
      <c r="G7" s="2"/>
    </row>
    <row r="8" spans="1:7" x14ac:dyDescent="0.25">
      <c r="G8" s="2"/>
    </row>
    <row r="9" spans="1:7" x14ac:dyDescent="0.25">
      <c r="G9" s="2"/>
    </row>
    <row r="10" spans="1:7" x14ac:dyDescent="0.25">
      <c r="G10" s="2"/>
    </row>
    <row r="11" spans="1:7" x14ac:dyDescent="0.25">
      <c r="G11" s="2"/>
    </row>
    <row r="12" spans="1:7" x14ac:dyDescent="0.25">
      <c r="G12" s="2"/>
    </row>
    <row r="13" spans="1:7" x14ac:dyDescent="0.25">
      <c r="G13" s="2"/>
    </row>
    <row r="14" spans="1:7" x14ac:dyDescent="0.25">
      <c r="G14" s="2"/>
    </row>
    <row r="15" spans="1:7" x14ac:dyDescent="0.25">
      <c r="G15" s="2"/>
    </row>
    <row r="16" spans="1:7" x14ac:dyDescent="0.25">
      <c r="G16" s="2"/>
    </row>
    <row r="17" spans="7:7" x14ac:dyDescent="0.25">
      <c r="G17" s="2"/>
    </row>
    <row r="18" spans="7:7" x14ac:dyDescent="0.25">
      <c r="G18" s="2"/>
    </row>
    <row r="19" spans="7:7" x14ac:dyDescent="0.25">
      <c r="G19" s="2"/>
    </row>
    <row r="20" spans="7:7" x14ac:dyDescent="0.25">
      <c r="G20" s="2"/>
    </row>
    <row r="21" spans="7:7" x14ac:dyDescent="0.25">
      <c r="G21" s="2"/>
    </row>
    <row r="22" spans="7:7" x14ac:dyDescent="0.25">
      <c r="G22" s="2"/>
    </row>
    <row r="23" spans="7:7" x14ac:dyDescent="0.25">
      <c r="G23" s="2"/>
    </row>
    <row r="24" spans="7:7" x14ac:dyDescent="0.25">
      <c r="G24" s="2"/>
    </row>
    <row r="25" spans="7:7" x14ac:dyDescent="0.25">
      <c r="G25" s="2"/>
    </row>
    <row r="26" spans="7:7" x14ac:dyDescent="0.25">
      <c r="G26" s="2"/>
    </row>
    <row r="27" spans="7:7" x14ac:dyDescent="0.25">
      <c r="G27" s="2"/>
    </row>
    <row r="28" spans="7:7" x14ac:dyDescent="0.25">
      <c r="G28" s="2"/>
    </row>
    <row r="29" spans="7:7" x14ac:dyDescent="0.25">
      <c r="G29" s="2"/>
    </row>
    <row r="30" spans="7:7" x14ac:dyDescent="0.25">
      <c r="G30" s="2"/>
    </row>
    <row r="31" spans="7:7" x14ac:dyDescent="0.25">
      <c r="G31" s="2"/>
    </row>
    <row r="32" spans="7:7" x14ac:dyDescent="0.25">
      <c r="G32" s="2"/>
    </row>
    <row r="33" spans="7:7" x14ac:dyDescent="0.25">
      <c r="G33" s="2"/>
    </row>
    <row r="34" spans="7:7" x14ac:dyDescent="0.25">
      <c r="G34" s="2"/>
    </row>
    <row r="35" spans="7:7" x14ac:dyDescent="0.25">
      <c r="G35" s="2"/>
    </row>
    <row r="36" spans="7:7" x14ac:dyDescent="0.25">
      <c r="G36" s="2"/>
    </row>
  </sheetData>
  <conditionalFormatting sqref="B2:B1048576">
    <cfRule type="cellIs" dxfId="3" priority="3" operator="equal">
      <formula>"N"</formula>
    </cfRule>
    <cfRule type="cellIs" dxfId="2" priority="4" operator="equal">
      <formula>"Y"</formula>
    </cfRule>
  </conditionalFormatting>
  <conditionalFormatting sqref="G2:G36">
    <cfRule type="expression" dxfId="0" priority="1">
      <formula>IF(OR($C2="Disp",$C2="EQ"),FALSE,TRUE)</formula>
    </cfRule>
  </conditionalFormatting>
  <dataValidations count="7">
    <dataValidation type="list" allowBlank="1" showInputMessage="1" showErrorMessage="1" sqref="C3:C1048576" xr:uid="{DA432587-2302-42C9-9894-2A9202532466}">
      <formula1>"Const, Static, Disp, EQ"</formula1>
    </dataValidation>
    <dataValidation type="whole" errorStyle="information" allowBlank="1" showInputMessage="1" showErrorMessage="1" error="Must be between 1 and 9999." sqref="E2:E1048576" xr:uid="{D5FB6D5D-B27C-45C2-973B-BAA2D0AD22DB}">
      <formula1>1</formula1>
      <formula2>9999</formula2>
    </dataValidation>
    <dataValidation type="custom" allowBlank="1" showInputMessage="1" showErrorMessage="1" error="Do not change this cell." sqref="A2" xr:uid="{E3619BFF-CA7B-48F0-B1B8-DCC549F6D601}">
      <formula1>"gravity"</formula1>
    </dataValidation>
    <dataValidation type="list" allowBlank="1" showInputMessage="1" showErrorMessage="1" sqref="B2:B1048576" xr:uid="{2DC56FEC-3885-4EDA-83F1-47299C855D94}">
      <formula1>"Y,N"</formula1>
    </dataValidation>
    <dataValidation type="custom" showInputMessage="1" showErrorMessage="1" sqref="C2" xr:uid="{3986D8DB-1C02-4D0D-88BE-9525F95C8FDE}">
      <formula1>""</formula1>
    </dataValidation>
    <dataValidation type="decimal" operator="greaterThan" allowBlank="1" showInputMessage="1" showErrorMessage="1" sqref="D2:D1048576" xr:uid="{7772A663-888B-4BE8-A457-8897C8181ED2}">
      <formula1>0</formula1>
    </dataValidation>
    <dataValidation type="list" allowBlank="1" showInputMessage="1" showErrorMessage="1" sqref="G2:G1048576" xr:uid="{3F459A47-7262-4FD1-AA3C-E71B72290A4D}">
      <formula1>"X,Y,Z,RX,RY,RZ"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7CFC6-1052-4365-BCB2-B81690429AA8}">
  <sheetPr codeName="Sheet7"/>
  <dimension ref="A1:D61"/>
  <sheetViews>
    <sheetView topLeftCell="A27" workbookViewId="0">
      <selection activeCell="D41" sqref="D41"/>
    </sheetView>
  </sheetViews>
  <sheetFormatPr defaultColWidth="0" defaultRowHeight="15" x14ac:dyDescent="0.25"/>
  <cols>
    <col min="1" max="1" width="14.85546875" customWidth="1"/>
    <col min="2" max="2" width="9.140625" customWidth="1"/>
    <col min="3" max="3" width="9.140625" style="2" customWidth="1"/>
    <col min="4" max="4" width="33.7109375" customWidth="1"/>
    <col min="5" max="16384" width="9.140625" hidden="1"/>
  </cols>
  <sheetData>
    <row r="1" spans="1:4" x14ac:dyDescent="0.25">
      <c r="A1" t="s">
        <v>43</v>
      </c>
      <c r="B1" t="s">
        <v>46</v>
      </c>
      <c r="C1" s="13" t="s">
        <v>44</v>
      </c>
      <c r="D1" t="s">
        <v>45</v>
      </c>
    </row>
    <row r="2" spans="1:4" x14ac:dyDescent="0.25">
      <c r="A2" t="s">
        <v>412</v>
      </c>
      <c r="B2">
        <v>10</v>
      </c>
      <c r="C2" s="2" t="s">
        <v>18</v>
      </c>
      <c r="D2" s="20" t="s">
        <v>892</v>
      </c>
    </row>
    <row r="3" spans="1:4" x14ac:dyDescent="0.25">
      <c r="A3" t="s">
        <v>389</v>
      </c>
      <c r="B3">
        <v>9</v>
      </c>
      <c r="C3" s="2" t="s">
        <v>18</v>
      </c>
      <c r="D3" s="20" t="s">
        <v>892</v>
      </c>
    </row>
    <row r="4" spans="1:4" x14ac:dyDescent="0.25">
      <c r="A4" t="s">
        <v>366</v>
      </c>
      <c r="B4">
        <v>8</v>
      </c>
      <c r="C4" s="2" t="s">
        <v>18</v>
      </c>
      <c r="D4" s="20" t="s">
        <v>892</v>
      </c>
    </row>
    <row r="5" spans="1:4" x14ac:dyDescent="0.25">
      <c r="A5" t="s">
        <v>343</v>
      </c>
      <c r="B5" s="16">
        <v>7</v>
      </c>
      <c r="C5" s="2" t="s">
        <v>18</v>
      </c>
      <c r="D5" s="20" t="s">
        <v>892</v>
      </c>
    </row>
    <row r="6" spans="1:4" x14ac:dyDescent="0.25">
      <c r="A6" t="s">
        <v>320</v>
      </c>
      <c r="B6" s="16">
        <v>6</v>
      </c>
      <c r="C6" s="2" t="s">
        <v>18</v>
      </c>
      <c r="D6" s="20" t="s">
        <v>892</v>
      </c>
    </row>
    <row r="7" spans="1:4" x14ac:dyDescent="0.25">
      <c r="A7" t="s">
        <v>297</v>
      </c>
      <c r="B7" s="16">
        <v>5</v>
      </c>
      <c r="C7" s="2" t="s">
        <v>18</v>
      </c>
      <c r="D7" s="20" t="s">
        <v>892</v>
      </c>
    </row>
    <row r="8" spans="1:4" x14ac:dyDescent="0.25">
      <c r="A8" t="s">
        <v>274</v>
      </c>
      <c r="B8" s="16">
        <v>4</v>
      </c>
      <c r="C8" s="2" t="s">
        <v>18</v>
      </c>
      <c r="D8" s="20" t="s">
        <v>892</v>
      </c>
    </row>
    <row r="9" spans="1:4" x14ac:dyDescent="0.25">
      <c r="A9" t="s">
        <v>251</v>
      </c>
      <c r="B9" s="16">
        <v>3</v>
      </c>
      <c r="C9" s="2" t="s">
        <v>18</v>
      </c>
      <c r="D9" s="20" t="s">
        <v>892</v>
      </c>
    </row>
    <row r="10" spans="1:4" x14ac:dyDescent="0.25">
      <c r="A10" t="s">
        <v>228</v>
      </c>
      <c r="B10" s="16">
        <v>2</v>
      </c>
      <c r="C10" s="2" t="s">
        <v>18</v>
      </c>
      <c r="D10" s="20" t="s">
        <v>892</v>
      </c>
    </row>
    <row r="11" spans="1:4" x14ac:dyDescent="0.25">
      <c r="A11" t="s">
        <v>205</v>
      </c>
      <c r="B11" s="16">
        <v>1</v>
      </c>
      <c r="C11" s="2" t="s">
        <v>18</v>
      </c>
      <c r="D11" s="19" t="s">
        <v>892</v>
      </c>
    </row>
    <row r="12" spans="1:4" x14ac:dyDescent="0.25">
      <c r="A12" s="16" t="s">
        <v>412</v>
      </c>
      <c r="B12" s="19">
        <v>-10</v>
      </c>
      <c r="C12" s="2" t="s">
        <v>19</v>
      </c>
      <c r="D12" s="19" t="s">
        <v>891</v>
      </c>
    </row>
    <row r="13" spans="1:4" x14ac:dyDescent="0.25">
      <c r="A13" s="16" t="s">
        <v>389</v>
      </c>
      <c r="B13" s="16">
        <v>-9</v>
      </c>
      <c r="C13" s="2" t="s">
        <v>19</v>
      </c>
      <c r="D13" s="20" t="s">
        <v>891</v>
      </c>
    </row>
    <row r="14" spans="1:4" x14ac:dyDescent="0.25">
      <c r="A14" s="16" t="s">
        <v>366</v>
      </c>
      <c r="B14" s="20">
        <v>-8</v>
      </c>
      <c r="C14" s="2" t="s">
        <v>19</v>
      </c>
      <c r="D14" s="20" t="s">
        <v>891</v>
      </c>
    </row>
    <row r="15" spans="1:4" x14ac:dyDescent="0.25">
      <c r="A15" s="16" t="s">
        <v>343</v>
      </c>
      <c r="B15" s="20">
        <v>-7</v>
      </c>
      <c r="C15" s="2" t="s">
        <v>19</v>
      </c>
      <c r="D15" s="20" t="s">
        <v>891</v>
      </c>
    </row>
    <row r="16" spans="1:4" x14ac:dyDescent="0.25">
      <c r="A16" s="16" t="s">
        <v>320</v>
      </c>
      <c r="B16" s="20">
        <v>-6</v>
      </c>
      <c r="C16" s="2" t="s">
        <v>19</v>
      </c>
      <c r="D16" s="20" t="s">
        <v>891</v>
      </c>
    </row>
    <row r="17" spans="1:4" x14ac:dyDescent="0.25">
      <c r="A17" s="16" t="s">
        <v>297</v>
      </c>
      <c r="B17" s="20">
        <v>-5</v>
      </c>
      <c r="C17" s="2" t="s">
        <v>19</v>
      </c>
      <c r="D17" s="20" t="s">
        <v>891</v>
      </c>
    </row>
    <row r="18" spans="1:4" x14ac:dyDescent="0.25">
      <c r="A18" s="16" t="s">
        <v>274</v>
      </c>
      <c r="B18" s="20">
        <v>-4</v>
      </c>
      <c r="C18" s="2" t="s">
        <v>19</v>
      </c>
      <c r="D18" s="20" t="s">
        <v>891</v>
      </c>
    </row>
    <row r="19" spans="1:4" x14ac:dyDescent="0.25">
      <c r="A19" s="16" t="s">
        <v>251</v>
      </c>
      <c r="B19" s="20">
        <v>-3</v>
      </c>
      <c r="C19" s="2" t="s">
        <v>19</v>
      </c>
      <c r="D19" s="20" t="s">
        <v>891</v>
      </c>
    </row>
    <row r="20" spans="1:4" x14ac:dyDescent="0.25">
      <c r="A20" s="16" t="s">
        <v>228</v>
      </c>
      <c r="B20" s="20">
        <v>-2</v>
      </c>
      <c r="C20" s="2" t="s">
        <v>19</v>
      </c>
      <c r="D20" s="20" t="s">
        <v>891</v>
      </c>
    </row>
    <row r="21" spans="1:4" x14ac:dyDescent="0.25">
      <c r="A21" s="16" t="s">
        <v>205</v>
      </c>
      <c r="B21" s="20">
        <v>-1</v>
      </c>
      <c r="C21" s="2" t="s">
        <v>19</v>
      </c>
      <c r="D21" s="20" t="s">
        <v>891</v>
      </c>
    </row>
    <row r="22" spans="1:4" x14ac:dyDescent="0.25">
      <c r="A22" s="20" t="s">
        <v>412</v>
      </c>
      <c r="B22" s="20">
        <v>10</v>
      </c>
      <c r="C22" s="2" t="s">
        <v>18</v>
      </c>
      <c r="D22" t="s">
        <v>890</v>
      </c>
    </row>
    <row r="23" spans="1:4" x14ac:dyDescent="0.25">
      <c r="A23" s="20" t="s">
        <v>389</v>
      </c>
      <c r="B23" s="20">
        <v>9</v>
      </c>
      <c r="C23" s="2" t="s">
        <v>18</v>
      </c>
      <c r="D23" s="20" t="s">
        <v>890</v>
      </c>
    </row>
    <row r="24" spans="1:4" x14ac:dyDescent="0.25">
      <c r="A24" s="20" t="s">
        <v>366</v>
      </c>
      <c r="B24" s="20">
        <v>8</v>
      </c>
      <c r="C24" s="2" t="s">
        <v>18</v>
      </c>
      <c r="D24" s="20" t="s">
        <v>890</v>
      </c>
    </row>
    <row r="25" spans="1:4" x14ac:dyDescent="0.25">
      <c r="A25" s="20" t="s">
        <v>343</v>
      </c>
      <c r="B25" s="20">
        <v>7</v>
      </c>
      <c r="C25" s="2" t="s">
        <v>18</v>
      </c>
      <c r="D25" s="20" t="s">
        <v>890</v>
      </c>
    </row>
    <row r="26" spans="1:4" x14ac:dyDescent="0.25">
      <c r="A26" s="20" t="s">
        <v>320</v>
      </c>
      <c r="B26" s="20">
        <v>6</v>
      </c>
      <c r="C26" s="2" t="s">
        <v>18</v>
      </c>
      <c r="D26" s="20" t="s">
        <v>890</v>
      </c>
    </row>
    <row r="27" spans="1:4" x14ac:dyDescent="0.25">
      <c r="A27" s="20" t="s">
        <v>297</v>
      </c>
      <c r="B27" s="20">
        <v>5</v>
      </c>
      <c r="C27" s="2" t="s">
        <v>18</v>
      </c>
      <c r="D27" s="20" t="s">
        <v>890</v>
      </c>
    </row>
    <row r="28" spans="1:4" x14ac:dyDescent="0.25">
      <c r="A28" s="20" t="s">
        <v>274</v>
      </c>
      <c r="B28" s="20">
        <v>4</v>
      </c>
      <c r="C28" s="2" t="s">
        <v>18</v>
      </c>
      <c r="D28" s="20" t="s">
        <v>890</v>
      </c>
    </row>
    <row r="29" spans="1:4" x14ac:dyDescent="0.25">
      <c r="A29" s="20" t="s">
        <v>251</v>
      </c>
      <c r="B29" s="20">
        <v>3</v>
      </c>
      <c r="C29" s="2" t="s">
        <v>18</v>
      </c>
      <c r="D29" s="20" t="s">
        <v>890</v>
      </c>
    </row>
    <row r="30" spans="1:4" x14ac:dyDescent="0.25">
      <c r="A30" s="20" t="s">
        <v>228</v>
      </c>
      <c r="B30" s="20">
        <v>2</v>
      </c>
      <c r="C30" s="2" t="s">
        <v>18</v>
      </c>
      <c r="D30" s="20" t="s">
        <v>890</v>
      </c>
    </row>
    <row r="31" spans="1:4" x14ac:dyDescent="0.25">
      <c r="A31" s="20" t="s">
        <v>205</v>
      </c>
      <c r="B31" s="20">
        <v>1</v>
      </c>
      <c r="C31" s="2" t="s">
        <v>18</v>
      </c>
      <c r="D31" s="20" t="s">
        <v>890</v>
      </c>
    </row>
    <row r="32" spans="1:4" x14ac:dyDescent="0.25">
      <c r="A32" s="24" t="s">
        <v>205</v>
      </c>
      <c r="B32" s="24">
        <v>71.7</v>
      </c>
      <c r="C32" s="2" t="s">
        <v>18</v>
      </c>
      <c r="D32" t="s">
        <v>901</v>
      </c>
    </row>
    <row r="33" spans="1:4" x14ac:dyDescent="0.25">
      <c r="A33" s="24" t="s">
        <v>228</v>
      </c>
      <c r="B33" s="24">
        <v>67.599999999999994</v>
      </c>
      <c r="C33" s="2" t="s">
        <v>18</v>
      </c>
      <c r="D33" s="24" t="s">
        <v>901</v>
      </c>
    </row>
    <row r="34" spans="1:4" x14ac:dyDescent="0.25">
      <c r="A34" s="24" t="s">
        <v>251</v>
      </c>
      <c r="B34" s="24">
        <v>58.8</v>
      </c>
      <c r="C34" s="2" t="s">
        <v>18</v>
      </c>
      <c r="D34" s="24" t="s">
        <v>901</v>
      </c>
    </row>
    <row r="35" spans="1:4" x14ac:dyDescent="0.25">
      <c r="A35" s="24" t="s">
        <v>274</v>
      </c>
      <c r="B35" s="24">
        <v>56.099999999999994</v>
      </c>
      <c r="C35" s="2" t="s">
        <v>18</v>
      </c>
      <c r="D35" s="24" t="s">
        <v>901</v>
      </c>
    </row>
    <row r="36" spans="1:4" x14ac:dyDescent="0.25">
      <c r="A36" s="24" t="s">
        <v>297</v>
      </c>
      <c r="B36" s="24">
        <v>61.499999999999993</v>
      </c>
      <c r="C36" s="2" t="s">
        <v>18</v>
      </c>
      <c r="D36" s="24" t="s">
        <v>901</v>
      </c>
    </row>
    <row r="37" spans="1:4" x14ac:dyDescent="0.25">
      <c r="A37" s="24" t="s">
        <v>320</v>
      </c>
      <c r="B37" s="24">
        <v>55.6</v>
      </c>
      <c r="C37" s="2" t="s">
        <v>18</v>
      </c>
      <c r="D37" s="24" t="s">
        <v>901</v>
      </c>
    </row>
    <row r="38" spans="1:4" x14ac:dyDescent="0.25">
      <c r="A38" s="24" t="s">
        <v>343</v>
      </c>
      <c r="B38" s="24">
        <v>59.2</v>
      </c>
      <c r="C38" s="2" t="s">
        <v>18</v>
      </c>
      <c r="D38" s="24" t="s">
        <v>901</v>
      </c>
    </row>
    <row r="39" spans="1:4" x14ac:dyDescent="0.25">
      <c r="A39" s="24" t="s">
        <v>366</v>
      </c>
      <c r="B39" s="24">
        <v>57.70000000000001</v>
      </c>
      <c r="C39" s="2" t="s">
        <v>18</v>
      </c>
      <c r="D39" s="24" t="s">
        <v>901</v>
      </c>
    </row>
    <row r="40" spans="1:4" x14ac:dyDescent="0.25">
      <c r="A40" s="24" t="s">
        <v>389</v>
      </c>
      <c r="B40" s="24">
        <v>55.5</v>
      </c>
      <c r="C40" s="2" t="s">
        <v>18</v>
      </c>
      <c r="D40" s="24" t="s">
        <v>901</v>
      </c>
    </row>
    <row r="41" spans="1:4" x14ac:dyDescent="0.25">
      <c r="A41" s="24" t="s">
        <v>412</v>
      </c>
      <c r="B41" s="24">
        <v>44.3</v>
      </c>
      <c r="C41" s="2" t="s">
        <v>18</v>
      </c>
      <c r="D41" s="24" t="s">
        <v>901</v>
      </c>
    </row>
    <row r="46" spans="1:4" x14ac:dyDescent="0.25">
      <c r="B46" s="24"/>
    </row>
    <row r="47" spans="1:4" x14ac:dyDescent="0.25">
      <c r="B47" s="24"/>
    </row>
    <row r="48" spans="1:4" x14ac:dyDescent="0.25">
      <c r="B48" s="24"/>
    </row>
    <row r="49" spans="2:2" x14ac:dyDescent="0.25">
      <c r="B49" s="24"/>
    </row>
    <row r="50" spans="2:2" x14ac:dyDescent="0.25">
      <c r="B50" s="24"/>
    </row>
    <row r="51" spans="2:2" x14ac:dyDescent="0.25">
      <c r="B51" s="24"/>
    </row>
    <row r="52" spans="2:2" x14ac:dyDescent="0.25">
      <c r="B52" s="24"/>
    </row>
    <row r="53" spans="2:2" x14ac:dyDescent="0.25">
      <c r="B53" s="24"/>
    </row>
    <row r="54" spans="2:2" x14ac:dyDescent="0.25">
      <c r="B54" s="24"/>
    </row>
    <row r="55" spans="2:2" x14ac:dyDescent="0.25">
      <c r="B55" s="24"/>
    </row>
    <row r="56" spans="2:2" x14ac:dyDescent="0.25">
      <c r="B56" s="24"/>
    </row>
    <row r="57" spans="2:2" x14ac:dyDescent="0.25">
      <c r="B57" s="24"/>
    </row>
    <row r="58" spans="2:2" x14ac:dyDescent="0.25">
      <c r="B58" s="24"/>
    </row>
    <row r="59" spans="2:2" x14ac:dyDescent="0.25">
      <c r="B59" s="24"/>
    </row>
    <row r="60" spans="2:2" x14ac:dyDescent="0.25">
      <c r="B60" s="24"/>
    </row>
    <row r="61" spans="2:2" x14ac:dyDescent="0.25">
      <c r="B61" s="24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E9FD1-280C-45F4-8B39-58240F70F533}">
  <sheetPr codeName="Sheet6"/>
  <dimension ref="A1:Q21"/>
  <sheetViews>
    <sheetView workbookViewId="0">
      <selection activeCell="F8" sqref="F8"/>
    </sheetView>
  </sheetViews>
  <sheetFormatPr defaultRowHeight="15" x14ac:dyDescent="0.25"/>
  <cols>
    <col min="1" max="1" width="14.5703125" customWidth="1"/>
  </cols>
  <sheetData>
    <row r="1" spans="1:17" x14ac:dyDescent="0.25">
      <c r="A1" t="s">
        <v>10</v>
      </c>
      <c r="B1" t="s">
        <v>6</v>
      </c>
      <c r="C1" t="s">
        <v>7</v>
      </c>
      <c r="D1" t="s">
        <v>8</v>
      </c>
      <c r="E1" t="s">
        <v>9</v>
      </c>
      <c r="F1" t="s">
        <v>13</v>
      </c>
      <c r="G1" t="s">
        <v>14</v>
      </c>
      <c r="H1" t="s">
        <v>15</v>
      </c>
      <c r="I1" t="s">
        <v>16</v>
      </c>
      <c r="J1" t="s">
        <v>36</v>
      </c>
      <c r="K1" t="s">
        <v>37</v>
      </c>
      <c r="L1" t="s">
        <v>39</v>
      </c>
      <c r="M1" t="s">
        <v>38</v>
      </c>
      <c r="N1" t="s">
        <v>40</v>
      </c>
      <c r="O1" t="s">
        <v>6</v>
      </c>
      <c r="P1" t="s">
        <v>42</v>
      </c>
      <c r="Q1" t="s">
        <v>870</v>
      </c>
    </row>
    <row r="2" spans="1:17" x14ac:dyDescent="0.25">
      <c r="A2" s="22" t="s">
        <v>11</v>
      </c>
      <c r="B2" s="1">
        <v>12</v>
      </c>
      <c r="C2" s="1">
        <v>12</v>
      </c>
      <c r="D2" s="1">
        <f>B2*C2</f>
        <v>144</v>
      </c>
      <c r="E2" s="1">
        <v>1238</v>
      </c>
      <c r="F2" s="1">
        <v>87</v>
      </c>
      <c r="G2" s="1">
        <f>B2*C2*(B2^2+C2^2)/12</f>
        <v>3456</v>
      </c>
      <c r="H2" s="1">
        <f>C2*B2^3/12</f>
        <v>1728</v>
      </c>
      <c r="I2" s="1">
        <f>B2*C2^3/12</f>
        <v>1728</v>
      </c>
    </row>
    <row r="3" spans="1:17" x14ac:dyDescent="0.25">
      <c r="A3" s="22" t="s">
        <v>12</v>
      </c>
      <c r="B3" s="1">
        <v>6</v>
      </c>
      <c r="C3" s="1">
        <v>120</v>
      </c>
      <c r="D3" s="1">
        <f>B3*C3</f>
        <v>720</v>
      </c>
      <c r="E3" s="1">
        <v>1238</v>
      </c>
      <c r="F3" s="1">
        <v>87</v>
      </c>
      <c r="G3" s="1">
        <f>B3*C3*(B3^2+C3^2)/12</f>
        <v>866160</v>
      </c>
      <c r="H3" s="1">
        <f>C3*B3^3/12</f>
        <v>2160</v>
      </c>
      <c r="I3" s="1">
        <f>B3*C3^3/12</f>
        <v>864000</v>
      </c>
    </row>
    <row r="4" spans="1:17" x14ac:dyDescent="0.25">
      <c r="A4" s="22" t="s">
        <v>34</v>
      </c>
      <c r="D4">
        <v>0.34399999999999997</v>
      </c>
      <c r="E4">
        <v>29000</v>
      </c>
      <c r="J4">
        <v>0.01</v>
      </c>
      <c r="K4">
        <v>92</v>
      </c>
      <c r="L4">
        <v>2.5000000000000001E-2</v>
      </c>
      <c r="M4">
        <v>1E-3</v>
      </c>
    </row>
    <row r="5" spans="1:17" x14ac:dyDescent="0.25">
      <c r="A5" s="22" t="s">
        <v>35</v>
      </c>
      <c r="B5">
        <v>10</v>
      </c>
      <c r="C5">
        <v>0.5</v>
      </c>
      <c r="E5">
        <v>29000</v>
      </c>
      <c r="J5">
        <v>9.0399999999999994E-3</v>
      </c>
      <c r="K5">
        <v>50</v>
      </c>
      <c r="N5">
        <v>6.25</v>
      </c>
      <c r="O5">
        <v>10</v>
      </c>
      <c r="P5">
        <v>0.5</v>
      </c>
    </row>
    <row r="6" spans="1:17" x14ac:dyDescent="0.25">
      <c r="A6" s="22" t="s">
        <v>150</v>
      </c>
      <c r="B6" s="1">
        <v>12</v>
      </c>
      <c r="C6" s="1">
        <v>12</v>
      </c>
      <c r="D6" s="1">
        <f>B6*C6</f>
        <v>144</v>
      </c>
      <c r="E6" s="1">
        <v>1238</v>
      </c>
      <c r="F6" s="1">
        <v>87</v>
      </c>
      <c r="G6" s="1">
        <f>B6*C6*(B6^2+C6^2)/12</f>
        <v>3456</v>
      </c>
      <c r="H6" s="1">
        <f>C6*B6^3/12</f>
        <v>1728</v>
      </c>
      <c r="I6" s="1">
        <f>B6*C6^3/12</f>
        <v>1728</v>
      </c>
    </row>
    <row r="7" spans="1:17" x14ac:dyDescent="0.25">
      <c r="A7" s="22" t="s">
        <v>148</v>
      </c>
      <c r="B7" s="1">
        <v>12</v>
      </c>
      <c r="C7" s="1">
        <v>12</v>
      </c>
      <c r="D7" s="1">
        <f>B7*C7</f>
        <v>144</v>
      </c>
      <c r="E7" s="1">
        <v>1238</v>
      </c>
      <c r="F7" s="1">
        <v>87</v>
      </c>
      <c r="G7" s="1">
        <f>B7*C7*(B7^2+C7^2)/12</f>
        <v>3456</v>
      </c>
      <c r="H7" s="1">
        <f>C7*B7^3/12</f>
        <v>1728</v>
      </c>
      <c r="I7" s="1">
        <f>B7*C7^3/12</f>
        <v>1728</v>
      </c>
    </row>
    <row r="8" spans="1:17" x14ac:dyDescent="0.25">
      <c r="A8" s="22" t="s">
        <v>149</v>
      </c>
      <c r="B8" s="1">
        <v>12</v>
      </c>
      <c r="C8" s="1">
        <v>12</v>
      </c>
      <c r="D8" s="1">
        <f>B8*C8</f>
        <v>144</v>
      </c>
      <c r="E8" s="1">
        <v>1238</v>
      </c>
      <c r="F8" s="1">
        <v>87</v>
      </c>
      <c r="G8" s="1">
        <f>B8*C8*(B8^2+C8^2)/12</f>
        <v>3456</v>
      </c>
      <c r="H8" s="1">
        <f>C8*B8^3/12</f>
        <v>1728</v>
      </c>
      <c r="I8" s="1">
        <f>B8*C8^3/12</f>
        <v>1728</v>
      </c>
    </row>
    <row r="9" spans="1:17" x14ac:dyDescent="0.25">
      <c r="A9" s="22" t="s">
        <v>146</v>
      </c>
      <c r="B9" s="1">
        <v>6</v>
      </c>
      <c r="C9" s="1">
        <v>120</v>
      </c>
      <c r="D9" s="1">
        <f>B9*C9</f>
        <v>720</v>
      </c>
      <c r="E9" s="1">
        <v>1238</v>
      </c>
      <c r="F9" s="1">
        <v>87</v>
      </c>
      <c r="G9" s="1">
        <f>B9*C9*(B9^2+C9^2)/12</f>
        <v>866160</v>
      </c>
      <c r="H9" s="1">
        <f>C9*B9^3/12</f>
        <v>2160</v>
      </c>
      <c r="I9" s="1">
        <f>B9*C9^3/12</f>
        <v>864000</v>
      </c>
    </row>
    <row r="10" spans="1:17" x14ac:dyDescent="0.25">
      <c r="A10" s="22" t="s">
        <v>147</v>
      </c>
      <c r="B10" s="1">
        <v>6</v>
      </c>
      <c r="C10" s="1">
        <v>120</v>
      </c>
      <c r="D10" s="1">
        <f>B10*C10</f>
        <v>720</v>
      </c>
      <c r="E10" s="1">
        <v>1238</v>
      </c>
      <c r="F10" s="1">
        <v>87</v>
      </c>
      <c r="G10" s="1">
        <f>B10*C10*(B10^2+C10^2)/12</f>
        <v>866160</v>
      </c>
      <c r="H10" s="1">
        <f>C10*B10^3/12</f>
        <v>2160</v>
      </c>
      <c r="I10" s="1">
        <f>B10*C10^3/12</f>
        <v>864000</v>
      </c>
    </row>
    <row r="13" spans="1:17" x14ac:dyDescent="0.25">
      <c r="J13" s="22"/>
    </row>
    <row r="14" spans="1:17" x14ac:dyDescent="0.25">
      <c r="J14" s="22"/>
    </row>
    <row r="15" spans="1:17" x14ac:dyDescent="0.25">
      <c r="J15" s="22"/>
    </row>
    <row r="16" spans="1:17" x14ac:dyDescent="0.25">
      <c r="J16" s="22"/>
    </row>
    <row r="17" spans="10:10" x14ac:dyDescent="0.25">
      <c r="J17" s="22"/>
    </row>
    <row r="18" spans="10:10" x14ac:dyDescent="0.25">
      <c r="J18" s="22"/>
    </row>
    <row r="19" spans="10:10" x14ac:dyDescent="0.25">
      <c r="J19" s="22"/>
    </row>
    <row r="20" spans="10:10" x14ac:dyDescent="0.25">
      <c r="J20" s="22"/>
    </row>
    <row r="21" spans="10:10" x14ac:dyDescent="0.25">
      <c r="J21" s="2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B9F8B-2487-460B-ABA2-5209A7BDB312}">
  <sheetPr codeName="Sheet5"/>
  <dimension ref="A1:M10"/>
  <sheetViews>
    <sheetView workbookViewId="0">
      <pane ySplit="1" topLeftCell="A2" activePane="bottomLeft" state="frozen"/>
      <selection pane="bottomLeft" activeCell="H10" sqref="H10"/>
    </sheetView>
  </sheetViews>
  <sheetFormatPr defaultColWidth="0" defaultRowHeight="15" x14ac:dyDescent="0.25"/>
  <cols>
    <col min="1" max="1" width="16.5703125" customWidth="1"/>
    <col min="2" max="2" width="7.42578125" style="12" customWidth="1"/>
    <col min="3" max="13" width="9.140625" customWidth="1"/>
    <col min="14" max="14" width="0" hidden="1" customWidth="1"/>
  </cols>
  <sheetData>
    <row r="1" spans="1:13" x14ac:dyDescent="0.25">
      <c r="A1" t="s">
        <v>27</v>
      </c>
      <c r="B1" s="12" t="s">
        <v>4</v>
      </c>
      <c r="C1" t="s">
        <v>1</v>
      </c>
      <c r="D1" t="s">
        <v>28</v>
      </c>
      <c r="E1" t="s">
        <v>29</v>
      </c>
      <c r="F1" t="s">
        <v>30</v>
      </c>
      <c r="G1" t="s">
        <v>151</v>
      </c>
      <c r="H1" t="s">
        <v>158</v>
      </c>
      <c r="I1" t="s">
        <v>159</v>
      </c>
      <c r="J1" t="s">
        <v>160</v>
      </c>
      <c r="K1" t="s">
        <v>161</v>
      </c>
      <c r="L1" t="s">
        <v>162</v>
      </c>
      <c r="M1" t="s">
        <v>163</v>
      </c>
    </row>
    <row r="2" spans="1:13" x14ac:dyDescent="0.25">
      <c r="A2" t="s">
        <v>31</v>
      </c>
      <c r="B2" s="12">
        <v>1</v>
      </c>
      <c r="C2" t="s">
        <v>33</v>
      </c>
      <c r="D2">
        <v>-1</v>
      </c>
      <c r="E2">
        <v>0</v>
      </c>
      <c r="F2">
        <v>0</v>
      </c>
      <c r="G2" t="b">
        <v>0</v>
      </c>
    </row>
    <row r="3" spans="1:13" x14ac:dyDescent="0.25">
      <c r="A3" t="s">
        <v>32</v>
      </c>
      <c r="B3" s="12">
        <v>2</v>
      </c>
      <c r="C3" t="s">
        <v>33</v>
      </c>
      <c r="D3">
        <v>0</v>
      </c>
      <c r="E3">
        <v>-1</v>
      </c>
      <c r="F3">
        <v>0</v>
      </c>
      <c r="G3" t="b">
        <v>0</v>
      </c>
    </row>
    <row r="4" spans="1:13" x14ac:dyDescent="0.25">
      <c r="A4" t="s">
        <v>152</v>
      </c>
      <c r="B4" s="12">
        <v>3</v>
      </c>
      <c r="C4" t="s">
        <v>33</v>
      </c>
      <c r="D4">
        <v>1</v>
      </c>
      <c r="E4">
        <v>-1</v>
      </c>
      <c r="F4">
        <v>0</v>
      </c>
      <c r="G4" t="b">
        <v>0</v>
      </c>
    </row>
    <row r="5" spans="1:13" x14ac:dyDescent="0.25">
      <c r="A5" t="s">
        <v>615</v>
      </c>
      <c r="B5" s="12">
        <v>4</v>
      </c>
      <c r="C5" s="8" t="s">
        <v>33</v>
      </c>
      <c r="D5" s="8">
        <v>1</v>
      </c>
      <c r="E5" s="8">
        <v>-1</v>
      </c>
      <c r="F5" s="8">
        <v>0</v>
      </c>
      <c r="G5" t="b">
        <v>1</v>
      </c>
      <c r="H5">
        <v>9</v>
      </c>
      <c r="I5">
        <v>0</v>
      </c>
      <c r="J5">
        <v>0</v>
      </c>
      <c r="K5">
        <v>-6.125</v>
      </c>
      <c r="L5">
        <v>0</v>
      </c>
      <c r="M5">
        <v>0</v>
      </c>
    </row>
    <row r="6" spans="1:13" x14ac:dyDescent="0.25">
      <c r="A6" t="s">
        <v>616</v>
      </c>
      <c r="B6" s="12">
        <v>5</v>
      </c>
      <c r="C6" s="8" t="s">
        <v>33</v>
      </c>
      <c r="D6" s="8">
        <v>1</v>
      </c>
      <c r="E6" s="8">
        <v>-1</v>
      </c>
      <c r="F6" s="8">
        <v>0</v>
      </c>
      <c r="G6" s="8" t="b">
        <v>1</v>
      </c>
      <c r="H6" s="8">
        <v>6.125</v>
      </c>
      <c r="I6" s="8">
        <v>0</v>
      </c>
      <c r="J6">
        <v>0</v>
      </c>
      <c r="K6">
        <v>-9</v>
      </c>
      <c r="L6">
        <v>0</v>
      </c>
      <c r="M6">
        <v>0</v>
      </c>
    </row>
    <row r="7" spans="1:13" x14ac:dyDescent="0.25">
      <c r="A7" t="s">
        <v>617</v>
      </c>
      <c r="B7" s="12">
        <v>6</v>
      </c>
      <c r="C7" s="8" t="s">
        <v>33</v>
      </c>
      <c r="D7" s="8">
        <v>1</v>
      </c>
      <c r="E7" s="8">
        <v>-1</v>
      </c>
      <c r="F7" s="8">
        <v>0</v>
      </c>
      <c r="G7" s="8" t="b">
        <v>1</v>
      </c>
      <c r="H7">
        <v>0</v>
      </c>
      <c r="I7">
        <v>5.9375</v>
      </c>
      <c r="J7">
        <v>0</v>
      </c>
      <c r="K7">
        <v>0</v>
      </c>
      <c r="L7">
        <v>-8.75</v>
      </c>
      <c r="M7">
        <v>0</v>
      </c>
    </row>
    <row r="8" spans="1:13" x14ac:dyDescent="0.25">
      <c r="A8" t="s">
        <v>618</v>
      </c>
      <c r="B8" s="12">
        <v>7</v>
      </c>
      <c r="C8" s="8" t="s">
        <v>33</v>
      </c>
      <c r="D8" s="8">
        <v>1</v>
      </c>
      <c r="E8" s="8">
        <v>-1</v>
      </c>
      <c r="F8" s="8">
        <v>0</v>
      </c>
      <c r="G8" s="8" t="b">
        <v>1</v>
      </c>
      <c r="H8">
        <v>8.75</v>
      </c>
      <c r="I8">
        <v>0</v>
      </c>
      <c r="J8">
        <v>0</v>
      </c>
      <c r="K8" s="8">
        <v>-6.125</v>
      </c>
      <c r="L8" s="8">
        <v>0</v>
      </c>
      <c r="M8">
        <v>0</v>
      </c>
    </row>
    <row r="9" spans="1:13" x14ac:dyDescent="0.25">
      <c r="A9" t="s">
        <v>619</v>
      </c>
      <c r="B9" s="12">
        <v>8</v>
      </c>
      <c r="C9" s="8" t="s">
        <v>33</v>
      </c>
      <c r="D9" s="8">
        <v>1</v>
      </c>
      <c r="E9" s="8">
        <v>-1</v>
      </c>
      <c r="F9" s="8">
        <v>0</v>
      </c>
      <c r="G9" s="8" t="b">
        <v>1</v>
      </c>
      <c r="H9" s="8">
        <v>6.125</v>
      </c>
      <c r="I9" s="8">
        <v>0</v>
      </c>
      <c r="J9">
        <v>0</v>
      </c>
      <c r="K9">
        <v>0</v>
      </c>
      <c r="L9">
        <v>-8.75</v>
      </c>
      <c r="M9">
        <v>0</v>
      </c>
    </row>
    <row r="10" spans="1:13" x14ac:dyDescent="0.25">
      <c r="A10" t="s">
        <v>620</v>
      </c>
      <c r="B10" s="12">
        <v>9</v>
      </c>
      <c r="C10" s="8" t="s">
        <v>33</v>
      </c>
      <c r="D10" s="8">
        <v>1</v>
      </c>
      <c r="E10" s="8">
        <v>-1</v>
      </c>
      <c r="F10" s="8">
        <v>0</v>
      </c>
      <c r="G10" s="8" t="b">
        <v>1</v>
      </c>
      <c r="H10" s="8">
        <v>6.125</v>
      </c>
      <c r="I10" s="8">
        <v>0</v>
      </c>
      <c r="J10">
        <v>0</v>
      </c>
      <c r="K10" s="8">
        <v>-6.125</v>
      </c>
      <c r="L10" s="8">
        <v>0</v>
      </c>
      <c r="M10">
        <v>0</v>
      </c>
    </row>
  </sheetData>
  <conditionalFormatting sqref="H2:M1258">
    <cfRule type="expression" dxfId="1" priority="1">
      <formula>IF(NOT($G2),TRUE,FALSE)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817C2-9599-4A0D-802F-2F995A85291A}">
  <dimension ref="A1:F249"/>
  <sheetViews>
    <sheetView workbookViewId="0">
      <selection activeCell="G1" sqref="G1:XFD1048576"/>
    </sheetView>
  </sheetViews>
  <sheetFormatPr defaultColWidth="0" defaultRowHeight="15" x14ac:dyDescent="0.25"/>
  <cols>
    <col min="1" max="5" width="9.140625" customWidth="1"/>
    <col min="6" max="6" width="29.7109375" bestFit="1" customWidth="1"/>
    <col min="7" max="16384" width="9.140625" hidden="1"/>
  </cols>
  <sheetData>
    <row r="1" spans="1:6" x14ac:dyDescent="0.25">
      <c r="A1" t="s">
        <v>17</v>
      </c>
      <c r="B1" t="s">
        <v>4</v>
      </c>
      <c r="C1" t="s">
        <v>18</v>
      </c>
      <c r="D1" t="s">
        <v>19</v>
      </c>
      <c r="E1" t="s">
        <v>20</v>
      </c>
      <c r="F1" t="s">
        <v>41</v>
      </c>
    </row>
    <row r="2" spans="1:6" x14ac:dyDescent="0.25">
      <c r="A2" t="s">
        <v>187</v>
      </c>
      <c r="B2">
        <v>1</v>
      </c>
      <c r="C2">
        <v>0</v>
      </c>
      <c r="D2">
        <v>0</v>
      </c>
      <c r="E2">
        <v>14</v>
      </c>
      <c r="F2" t="s">
        <v>820</v>
      </c>
    </row>
    <row r="3" spans="1:6" x14ac:dyDescent="0.25">
      <c r="A3" t="s">
        <v>188</v>
      </c>
      <c r="B3">
        <v>2</v>
      </c>
      <c r="C3">
        <v>126</v>
      </c>
      <c r="D3">
        <v>0</v>
      </c>
      <c r="E3">
        <v>14</v>
      </c>
      <c r="F3" t="s">
        <v>820</v>
      </c>
    </row>
    <row r="4" spans="1:6" x14ac:dyDescent="0.25">
      <c r="A4" t="s">
        <v>189</v>
      </c>
      <c r="B4">
        <v>3</v>
      </c>
      <c r="C4">
        <v>258</v>
      </c>
      <c r="D4">
        <v>0</v>
      </c>
      <c r="E4">
        <v>14</v>
      </c>
      <c r="F4" t="s">
        <v>820</v>
      </c>
    </row>
    <row r="5" spans="1:6" x14ac:dyDescent="0.25">
      <c r="A5" t="s">
        <v>190</v>
      </c>
      <c r="B5">
        <v>4</v>
      </c>
      <c r="C5">
        <v>384</v>
      </c>
      <c r="D5">
        <v>0</v>
      </c>
      <c r="E5">
        <v>14</v>
      </c>
      <c r="F5" t="s">
        <v>820</v>
      </c>
    </row>
    <row r="6" spans="1:6" x14ac:dyDescent="0.25">
      <c r="A6" t="s">
        <v>191</v>
      </c>
      <c r="B6">
        <v>5</v>
      </c>
      <c r="C6">
        <v>192</v>
      </c>
      <c r="D6">
        <v>0</v>
      </c>
      <c r="E6">
        <v>14</v>
      </c>
      <c r="F6" t="s">
        <v>821</v>
      </c>
    </row>
    <row r="7" spans="1:6" x14ac:dyDescent="0.25">
      <c r="A7" t="s">
        <v>192</v>
      </c>
      <c r="B7">
        <v>6</v>
      </c>
      <c r="C7">
        <v>0</v>
      </c>
      <c r="D7">
        <v>-60</v>
      </c>
      <c r="E7">
        <v>14</v>
      </c>
      <c r="F7" t="s">
        <v>821</v>
      </c>
    </row>
    <row r="8" spans="1:6" x14ac:dyDescent="0.25">
      <c r="A8" t="s">
        <v>193</v>
      </c>
      <c r="B8">
        <v>7</v>
      </c>
      <c r="C8">
        <v>384</v>
      </c>
      <c r="D8">
        <v>-60</v>
      </c>
      <c r="E8">
        <v>14</v>
      </c>
      <c r="F8" t="s">
        <v>821</v>
      </c>
    </row>
    <row r="9" spans="1:6" x14ac:dyDescent="0.25">
      <c r="A9" t="s">
        <v>194</v>
      </c>
      <c r="B9">
        <v>8</v>
      </c>
      <c r="C9">
        <v>0</v>
      </c>
      <c r="D9">
        <v>-120</v>
      </c>
      <c r="E9">
        <v>14</v>
      </c>
      <c r="F9" t="s">
        <v>820</v>
      </c>
    </row>
    <row r="10" spans="1:6" x14ac:dyDescent="0.25">
      <c r="A10" t="s">
        <v>195</v>
      </c>
      <c r="B10">
        <v>9</v>
      </c>
      <c r="C10">
        <v>126</v>
      </c>
      <c r="D10">
        <v>-120</v>
      </c>
      <c r="E10">
        <v>14</v>
      </c>
      <c r="F10" t="s">
        <v>820</v>
      </c>
    </row>
    <row r="11" spans="1:6" x14ac:dyDescent="0.25">
      <c r="A11" t="s">
        <v>196</v>
      </c>
      <c r="B11">
        <v>10</v>
      </c>
      <c r="C11">
        <v>258</v>
      </c>
      <c r="D11">
        <v>-120</v>
      </c>
      <c r="E11">
        <v>14</v>
      </c>
      <c r="F11" t="s">
        <v>820</v>
      </c>
    </row>
    <row r="12" spans="1:6" x14ac:dyDescent="0.25">
      <c r="A12" t="s">
        <v>197</v>
      </c>
      <c r="B12">
        <v>11</v>
      </c>
      <c r="C12">
        <v>384</v>
      </c>
      <c r="D12">
        <v>-120</v>
      </c>
      <c r="E12">
        <v>14</v>
      </c>
      <c r="F12" t="s">
        <v>820</v>
      </c>
    </row>
    <row r="13" spans="1:6" x14ac:dyDescent="0.25">
      <c r="A13" t="s">
        <v>198</v>
      </c>
      <c r="B13">
        <v>12</v>
      </c>
      <c r="C13">
        <v>126</v>
      </c>
      <c r="D13">
        <v>-216</v>
      </c>
      <c r="E13">
        <v>14</v>
      </c>
      <c r="F13" t="s">
        <v>820</v>
      </c>
    </row>
    <row r="14" spans="1:6" x14ac:dyDescent="0.25">
      <c r="A14" t="s">
        <v>199</v>
      </c>
      <c r="B14">
        <v>13</v>
      </c>
      <c r="C14">
        <v>258</v>
      </c>
      <c r="D14">
        <v>-216</v>
      </c>
      <c r="E14">
        <v>14</v>
      </c>
      <c r="F14" t="s">
        <v>820</v>
      </c>
    </row>
    <row r="15" spans="1:6" x14ac:dyDescent="0.25">
      <c r="A15" t="s">
        <v>200</v>
      </c>
      <c r="B15">
        <v>14</v>
      </c>
      <c r="C15">
        <v>192</v>
      </c>
      <c r="D15">
        <v>-216</v>
      </c>
      <c r="E15">
        <v>14</v>
      </c>
      <c r="F15" t="s">
        <v>821</v>
      </c>
    </row>
    <row r="16" spans="1:6" x14ac:dyDescent="0.25">
      <c r="A16" t="s">
        <v>201</v>
      </c>
      <c r="B16">
        <v>15</v>
      </c>
      <c r="C16">
        <v>0</v>
      </c>
      <c r="D16">
        <v>-270</v>
      </c>
      <c r="E16">
        <v>14</v>
      </c>
      <c r="F16" t="s">
        <v>820</v>
      </c>
    </row>
    <row r="17" spans="1:6" x14ac:dyDescent="0.25">
      <c r="A17" t="s">
        <v>202</v>
      </c>
      <c r="B17">
        <v>16</v>
      </c>
      <c r="C17">
        <v>126</v>
      </c>
      <c r="D17">
        <v>-270</v>
      </c>
      <c r="E17">
        <v>14</v>
      </c>
      <c r="F17" t="s">
        <v>820</v>
      </c>
    </row>
    <row r="18" spans="1:6" x14ac:dyDescent="0.25">
      <c r="A18" t="s">
        <v>203</v>
      </c>
      <c r="B18">
        <v>17</v>
      </c>
      <c r="C18">
        <v>258</v>
      </c>
      <c r="D18">
        <v>-270</v>
      </c>
      <c r="E18">
        <v>14</v>
      </c>
      <c r="F18" t="s">
        <v>820</v>
      </c>
    </row>
    <row r="19" spans="1:6" x14ac:dyDescent="0.25">
      <c r="A19" t="s">
        <v>204</v>
      </c>
      <c r="B19">
        <v>18</v>
      </c>
      <c r="C19">
        <v>384</v>
      </c>
      <c r="D19">
        <v>-270</v>
      </c>
      <c r="E19">
        <v>14</v>
      </c>
      <c r="F19" t="s">
        <v>820</v>
      </c>
    </row>
    <row r="20" spans="1:6" x14ac:dyDescent="0.25">
      <c r="A20" t="s">
        <v>205</v>
      </c>
      <c r="B20">
        <v>19</v>
      </c>
      <c r="C20">
        <v>189.7</v>
      </c>
      <c r="D20">
        <v>-115.9</v>
      </c>
      <c r="E20">
        <v>170</v>
      </c>
      <c r="F20" t="s">
        <v>809</v>
      </c>
    </row>
    <row r="21" spans="1:6" x14ac:dyDescent="0.25">
      <c r="A21" t="s">
        <v>206</v>
      </c>
      <c r="B21">
        <v>20</v>
      </c>
      <c r="C21">
        <v>0</v>
      </c>
      <c r="D21">
        <v>0</v>
      </c>
      <c r="E21">
        <v>170</v>
      </c>
      <c r="F21" t="s">
        <v>822</v>
      </c>
    </row>
    <row r="22" spans="1:6" x14ac:dyDescent="0.25">
      <c r="A22" t="s">
        <v>207</v>
      </c>
      <c r="B22">
        <v>21</v>
      </c>
      <c r="C22">
        <v>126</v>
      </c>
      <c r="D22">
        <v>0</v>
      </c>
      <c r="E22">
        <v>170</v>
      </c>
      <c r="F22" t="s">
        <v>822</v>
      </c>
    </row>
    <row r="23" spans="1:6" x14ac:dyDescent="0.25">
      <c r="A23" t="s">
        <v>208</v>
      </c>
      <c r="B23">
        <v>22</v>
      </c>
      <c r="C23">
        <v>258</v>
      </c>
      <c r="D23">
        <v>0</v>
      </c>
      <c r="E23">
        <v>170</v>
      </c>
      <c r="F23" t="s">
        <v>822</v>
      </c>
    </row>
    <row r="24" spans="1:6" x14ac:dyDescent="0.25">
      <c r="A24" t="s">
        <v>209</v>
      </c>
      <c r="B24">
        <v>23</v>
      </c>
      <c r="C24">
        <v>384</v>
      </c>
      <c r="D24">
        <v>0</v>
      </c>
      <c r="E24">
        <v>170</v>
      </c>
      <c r="F24" t="s">
        <v>822</v>
      </c>
    </row>
    <row r="25" spans="1:6" x14ac:dyDescent="0.25">
      <c r="A25" t="s">
        <v>210</v>
      </c>
      <c r="B25">
        <v>24</v>
      </c>
      <c r="C25">
        <v>192</v>
      </c>
      <c r="D25">
        <v>0</v>
      </c>
      <c r="E25">
        <v>170</v>
      </c>
      <c r="F25" t="s">
        <v>823</v>
      </c>
    </row>
    <row r="26" spans="1:6" x14ac:dyDescent="0.25">
      <c r="A26" t="s">
        <v>211</v>
      </c>
      <c r="B26">
        <v>25</v>
      </c>
      <c r="C26">
        <v>126</v>
      </c>
      <c r="D26">
        <v>-25.625</v>
      </c>
      <c r="E26">
        <v>170</v>
      </c>
      <c r="F26" t="s">
        <v>810</v>
      </c>
    </row>
    <row r="27" spans="1:6" x14ac:dyDescent="0.25">
      <c r="A27" t="s">
        <v>212</v>
      </c>
      <c r="B27">
        <v>26</v>
      </c>
      <c r="C27">
        <v>258</v>
      </c>
      <c r="D27">
        <v>-25.625</v>
      </c>
      <c r="E27">
        <v>170</v>
      </c>
      <c r="F27" t="s">
        <v>810</v>
      </c>
    </row>
    <row r="28" spans="1:6" x14ac:dyDescent="0.25">
      <c r="A28" t="s">
        <v>213</v>
      </c>
      <c r="B28">
        <v>27</v>
      </c>
      <c r="C28">
        <v>0</v>
      </c>
      <c r="D28">
        <v>-60</v>
      </c>
      <c r="E28">
        <v>170</v>
      </c>
      <c r="F28" t="s">
        <v>823</v>
      </c>
    </row>
    <row r="29" spans="1:6" x14ac:dyDescent="0.25">
      <c r="A29" t="s">
        <v>214</v>
      </c>
      <c r="B29">
        <v>28</v>
      </c>
      <c r="C29">
        <v>384</v>
      </c>
      <c r="D29">
        <v>-60</v>
      </c>
      <c r="E29">
        <v>170</v>
      </c>
      <c r="F29" t="s">
        <v>823</v>
      </c>
    </row>
    <row r="30" spans="1:6" x14ac:dyDescent="0.25">
      <c r="A30" t="s">
        <v>215</v>
      </c>
      <c r="B30">
        <v>29</v>
      </c>
      <c r="C30">
        <v>0</v>
      </c>
      <c r="D30">
        <v>-120</v>
      </c>
      <c r="E30">
        <v>170</v>
      </c>
      <c r="F30" t="s">
        <v>822</v>
      </c>
    </row>
    <row r="31" spans="1:6" x14ac:dyDescent="0.25">
      <c r="A31" t="s">
        <v>216</v>
      </c>
      <c r="B31">
        <v>30</v>
      </c>
      <c r="C31">
        <v>126</v>
      </c>
      <c r="D31">
        <v>-120</v>
      </c>
      <c r="E31">
        <v>170</v>
      </c>
      <c r="F31" t="s">
        <v>822</v>
      </c>
    </row>
    <row r="32" spans="1:6" x14ac:dyDescent="0.25">
      <c r="A32" t="s">
        <v>217</v>
      </c>
      <c r="B32">
        <v>31</v>
      </c>
      <c r="C32">
        <v>258</v>
      </c>
      <c r="D32">
        <v>-120</v>
      </c>
      <c r="E32">
        <v>170</v>
      </c>
      <c r="F32" t="s">
        <v>822</v>
      </c>
    </row>
    <row r="33" spans="1:6" x14ac:dyDescent="0.25">
      <c r="A33" t="s">
        <v>218</v>
      </c>
      <c r="B33">
        <v>32</v>
      </c>
      <c r="C33">
        <v>384</v>
      </c>
      <c r="D33">
        <v>-120</v>
      </c>
      <c r="E33">
        <v>170</v>
      </c>
      <c r="F33" t="s">
        <v>822</v>
      </c>
    </row>
    <row r="34" spans="1:6" x14ac:dyDescent="0.25">
      <c r="A34" t="s">
        <v>219</v>
      </c>
      <c r="B34">
        <v>33</v>
      </c>
      <c r="C34">
        <v>126</v>
      </c>
      <c r="D34">
        <v>-216</v>
      </c>
      <c r="E34">
        <v>170</v>
      </c>
      <c r="F34" t="s">
        <v>822</v>
      </c>
    </row>
    <row r="35" spans="1:6" x14ac:dyDescent="0.25">
      <c r="A35" t="s">
        <v>220</v>
      </c>
      <c r="B35">
        <v>34</v>
      </c>
      <c r="C35">
        <v>258</v>
      </c>
      <c r="D35">
        <v>-216</v>
      </c>
      <c r="E35">
        <v>170</v>
      </c>
      <c r="F35" t="s">
        <v>822</v>
      </c>
    </row>
    <row r="36" spans="1:6" x14ac:dyDescent="0.25">
      <c r="A36" t="s">
        <v>221</v>
      </c>
      <c r="B36">
        <v>35</v>
      </c>
      <c r="C36">
        <v>192</v>
      </c>
      <c r="D36">
        <v>-216</v>
      </c>
      <c r="E36">
        <v>170</v>
      </c>
      <c r="F36" t="s">
        <v>823</v>
      </c>
    </row>
    <row r="37" spans="1:6" x14ac:dyDescent="0.25">
      <c r="A37" t="s">
        <v>222</v>
      </c>
      <c r="B37">
        <v>36</v>
      </c>
      <c r="C37">
        <v>126</v>
      </c>
      <c r="D37">
        <v>-241.625</v>
      </c>
      <c r="E37">
        <v>170</v>
      </c>
      <c r="F37" t="s">
        <v>810</v>
      </c>
    </row>
    <row r="38" spans="1:6" x14ac:dyDescent="0.25">
      <c r="A38" t="s">
        <v>223</v>
      </c>
      <c r="B38">
        <v>37</v>
      </c>
      <c r="C38">
        <v>258</v>
      </c>
      <c r="D38">
        <v>-241.625</v>
      </c>
      <c r="E38">
        <v>170</v>
      </c>
      <c r="F38" t="s">
        <v>810</v>
      </c>
    </row>
    <row r="39" spans="1:6" x14ac:dyDescent="0.25">
      <c r="A39" t="s">
        <v>224</v>
      </c>
      <c r="B39">
        <v>38</v>
      </c>
      <c r="C39">
        <v>0</v>
      </c>
      <c r="D39">
        <v>-270</v>
      </c>
      <c r="E39">
        <v>170</v>
      </c>
      <c r="F39" t="s">
        <v>822</v>
      </c>
    </row>
    <row r="40" spans="1:6" x14ac:dyDescent="0.25">
      <c r="A40" t="s">
        <v>225</v>
      </c>
      <c r="B40">
        <v>39</v>
      </c>
      <c r="C40">
        <v>126</v>
      </c>
      <c r="D40">
        <v>-270</v>
      </c>
      <c r="E40">
        <v>170</v>
      </c>
      <c r="F40" t="s">
        <v>822</v>
      </c>
    </row>
    <row r="41" spans="1:6" x14ac:dyDescent="0.25">
      <c r="A41" t="s">
        <v>226</v>
      </c>
      <c r="B41">
        <v>40</v>
      </c>
      <c r="C41">
        <v>258</v>
      </c>
      <c r="D41">
        <v>-270</v>
      </c>
      <c r="E41">
        <v>170</v>
      </c>
      <c r="F41" t="s">
        <v>822</v>
      </c>
    </row>
    <row r="42" spans="1:6" x14ac:dyDescent="0.25">
      <c r="A42" t="s">
        <v>227</v>
      </c>
      <c r="B42">
        <v>41</v>
      </c>
      <c r="C42">
        <v>384</v>
      </c>
      <c r="D42">
        <v>-270</v>
      </c>
      <c r="E42">
        <v>170</v>
      </c>
      <c r="F42" t="s">
        <v>822</v>
      </c>
    </row>
    <row r="43" spans="1:6" x14ac:dyDescent="0.25">
      <c r="A43" t="s">
        <v>228</v>
      </c>
      <c r="B43">
        <v>42</v>
      </c>
      <c r="C43">
        <v>194.3</v>
      </c>
      <c r="D43">
        <v>-123.9</v>
      </c>
      <c r="E43">
        <v>302</v>
      </c>
      <c r="F43" t="s">
        <v>809</v>
      </c>
    </row>
    <row r="44" spans="1:6" x14ac:dyDescent="0.25">
      <c r="A44" t="s">
        <v>229</v>
      </c>
      <c r="B44">
        <v>43</v>
      </c>
      <c r="C44">
        <v>0</v>
      </c>
      <c r="D44">
        <v>0</v>
      </c>
      <c r="E44">
        <v>302</v>
      </c>
      <c r="F44" t="s">
        <v>824</v>
      </c>
    </row>
    <row r="45" spans="1:6" x14ac:dyDescent="0.25">
      <c r="A45" t="s">
        <v>230</v>
      </c>
      <c r="B45">
        <v>44</v>
      </c>
      <c r="C45">
        <v>126</v>
      </c>
      <c r="D45">
        <v>0</v>
      </c>
      <c r="E45">
        <v>302</v>
      </c>
      <c r="F45" t="s">
        <v>824</v>
      </c>
    </row>
    <row r="46" spans="1:6" x14ac:dyDescent="0.25">
      <c r="A46" t="s">
        <v>231</v>
      </c>
      <c r="B46">
        <v>45</v>
      </c>
      <c r="C46">
        <v>258</v>
      </c>
      <c r="D46">
        <v>0</v>
      </c>
      <c r="E46">
        <v>302</v>
      </c>
      <c r="F46" t="s">
        <v>824</v>
      </c>
    </row>
    <row r="47" spans="1:6" x14ac:dyDescent="0.25">
      <c r="A47" t="s">
        <v>232</v>
      </c>
      <c r="B47">
        <v>46</v>
      </c>
      <c r="C47">
        <v>384</v>
      </c>
      <c r="D47">
        <v>0</v>
      </c>
      <c r="E47">
        <v>302</v>
      </c>
      <c r="F47" t="s">
        <v>824</v>
      </c>
    </row>
    <row r="48" spans="1:6" x14ac:dyDescent="0.25">
      <c r="A48" t="s">
        <v>233</v>
      </c>
      <c r="B48">
        <v>47</v>
      </c>
      <c r="C48">
        <v>192</v>
      </c>
      <c r="D48">
        <v>0</v>
      </c>
      <c r="E48">
        <v>302</v>
      </c>
      <c r="F48" t="s">
        <v>825</v>
      </c>
    </row>
    <row r="49" spans="1:6" x14ac:dyDescent="0.25">
      <c r="A49" t="s">
        <v>234</v>
      </c>
      <c r="B49">
        <v>48</v>
      </c>
      <c r="C49">
        <v>126</v>
      </c>
      <c r="D49">
        <v>-25.625</v>
      </c>
      <c r="E49">
        <v>302</v>
      </c>
      <c r="F49" t="s">
        <v>811</v>
      </c>
    </row>
    <row r="50" spans="1:6" x14ac:dyDescent="0.25">
      <c r="A50" t="s">
        <v>235</v>
      </c>
      <c r="B50">
        <v>49</v>
      </c>
      <c r="C50">
        <v>258</v>
      </c>
      <c r="D50">
        <v>-25.625</v>
      </c>
      <c r="E50">
        <v>302</v>
      </c>
      <c r="F50" t="s">
        <v>811</v>
      </c>
    </row>
    <row r="51" spans="1:6" x14ac:dyDescent="0.25">
      <c r="A51" t="s">
        <v>236</v>
      </c>
      <c r="B51">
        <v>50</v>
      </c>
      <c r="C51">
        <v>0</v>
      </c>
      <c r="D51">
        <v>-60</v>
      </c>
      <c r="E51">
        <v>302</v>
      </c>
      <c r="F51" t="s">
        <v>825</v>
      </c>
    </row>
    <row r="52" spans="1:6" x14ac:dyDescent="0.25">
      <c r="A52" t="s">
        <v>237</v>
      </c>
      <c r="B52">
        <v>51</v>
      </c>
      <c r="C52">
        <v>384</v>
      </c>
      <c r="D52">
        <v>-60</v>
      </c>
      <c r="E52">
        <v>302</v>
      </c>
      <c r="F52" t="s">
        <v>825</v>
      </c>
    </row>
    <row r="53" spans="1:6" x14ac:dyDescent="0.25">
      <c r="A53" t="s">
        <v>238</v>
      </c>
      <c r="B53">
        <v>52</v>
      </c>
      <c r="C53">
        <v>0</v>
      </c>
      <c r="D53">
        <v>-120</v>
      </c>
      <c r="E53">
        <v>302</v>
      </c>
      <c r="F53" t="s">
        <v>824</v>
      </c>
    </row>
    <row r="54" spans="1:6" x14ac:dyDescent="0.25">
      <c r="A54" t="s">
        <v>239</v>
      </c>
      <c r="B54">
        <v>53</v>
      </c>
      <c r="C54">
        <v>126</v>
      </c>
      <c r="D54">
        <v>-120</v>
      </c>
      <c r="E54">
        <v>302</v>
      </c>
      <c r="F54" t="s">
        <v>824</v>
      </c>
    </row>
    <row r="55" spans="1:6" x14ac:dyDescent="0.25">
      <c r="A55" t="s">
        <v>240</v>
      </c>
      <c r="B55">
        <v>54</v>
      </c>
      <c r="C55">
        <v>258</v>
      </c>
      <c r="D55">
        <v>-120</v>
      </c>
      <c r="E55">
        <v>302</v>
      </c>
      <c r="F55" t="s">
        <v>824</v>
      </c>
    </row>
    <row r="56" spans="1:6" x14ac:dyDescent="0.25">
      <c r="A56" t="s">
        <v>241</v>
      </c>
      <c r="B56">
        <v>55</v>
      </c>
      <c r="C56">
        <v>384</v>
      </c>
      <c r="D56">
        <v>-120</v>
      </c>
      <c r="E56">
        <v>302</v>
      </c>
      <c r="F56" t="s">
        <v>824</v>
      </c>
    </row>
    <row r="57" spans="1:6" x14ac:dyDescent="0.25">
      <c r="A57" t="s">
        <v>242</v>
      </c>
      <c r="B57">
        <v>56</v>
      </c>
      <c r="C57">
        <v>126</v>
      </c>
      <c r="D57">
        <v>-216</v>
      </c>
      <c r="E57">
        <v>302</v>
      </c>
      <c r="F57" t="s">
        <v>824</v>
      </c>
    </row>
    <row r="58" spans="1:6" x14ac:dyDescent="0.25">
      <c r="A58" t="s">
        <v>243</v>
      </c>
      <c r="B58">
        <v>57</v>
      </c>
      <c r="C58">
        <v>258</v>
      </c>
      <c r="D58">
        <v>-216</v>
      </c>
      <c r="E58">
        <v>302</v>
      </c>
      <c r="F58" t="s">
        <v>824</v>
      </c>
    </row>
    <row r="59" spans="1:6" x14ac:dyDescent="0.25">
      <c r="A59" t="s">
        <v>244</v>
      </c>
      <c r="B59">
        <v>58</v>
      </c>
      <c r="C59">
        <v>192</v>
      </c>
      <c r="D59">
        <v>-216</v>
      </c>
      <c r="E59">
        <v>302</v>
      </c>
      <c r="F59" t="s">
        <v>825</v>
      </c>
    </row>
    <row r="60" spans="1:6" x14ac:dyDescent="0.25">
      <c r="A60" t="s">
        <v>245</v>
      </c>
      <c r="B60">
        <v>59</v>
      </c>
      <c r="C60">
        <v>126</v>
      </c>
      <c r="D60">
        <v>-241.625</v>
      </c>
      <c r="E60">
        <v>302</v>
      </c>
      <c r="F60" t="s">
        <v>811</v>
      </c>
    </row>
    <row r="61" spans="1:6" x14ac:dyDescent="0.25">
      <c r="A61" t="s">
        <v>246</v>
      </c>
      <c r="B61">
        <v>60</v>
      </c>
      <c r="C61">
        <v>258</v>
      </c>
      <c r="D61">
        <v>-241.625</v>
      </c>
      <c r="E61">
        <v>302</v>
      </c>
      <c r="F61" t="s">
        <v>811</v>
      </c>
    </row>
    <row r="62" spans="1:6" x14ac:dyDescent="0.25">
      <c r="A62" t="s">
        <v>247</v>
      </c>
      <c r="B62">
        <v>61</v>
      </c>
      <c r="C62">
        <v>0</v>
      </c>
      <c r="D62">
        <v>-270</v>
      </c>
      <c r="E62">
        <v>302</v>
      </c>
      <c r="F62" t="s">
        <v>824</v>
      </c>
    </row>
    <row r="63" spans="1:6" x14ac:dyDescent="0.25">
      <c r="A63" t="s">
        <v>248</v>
      </c>
      <c r="B63">
        <v>62</v>
      </c>
      <c r="C63">
        <v>126</v>
      </c>
      <c r="D63">
        <v>-270</v>
      </c>
      <c r="E63">
        <v>302</v>
      </c>
      <c r="F63" t="s">
        <v>824</v>
      </c>
    </row>
    <row r="64" spans="1:6" x14ac:dyDescent="0.25">
      <c r="A64" t="s">
        <v>249</v>
      </c>
      <c r="B64">
        <v>63</v>
      </c>
      <c r="C64">
        <v>258</v>
      </c>
      <c r="D64">
        <v>-270</v>
      </c>
      <c r="E64">
        <v>302</v>
      </c>
      <c r="F64" t="s">
        <v>824</v>
      </c>
    </row>
    <row r="65" spans="1:6" x14ac:dyDescent="0.25">
      <c r="A65" t="s">
        <v>250</v>
      </c>
      <c r="B65">
        <v>64</v>
      </c>
      <c r="C65">
        <v>384</v>
      </c>
      <c r="D65">
        <v>-270</v>
      </c>
      <c r="E65">
        <v>302</v>
      </c>
      <c r="F65" t="s">
        <v>824</v>
      </c>
    </row>
    <row r="66" spans="1:6" x14ac:dyDescent="0.25">
      <c r="A66" t="s">
        <v>251</v>
      </c>
      <c r="B66">
        <v>65</v>
      </c>
      <c r="C66">
        <v>197.3</v>
      </c>
      <c r="D66">
        <v>-128.1</v>
      </c>
      <c r="E66">
        <v>434</v>
      </c>
      <c r="F66" t="s">
        <v>809</v>
      </c>
    </row>
    <row r="67" spans="1:6" x14ac:dyDescent="0.25">
      <c r="A67" t="s">
        <v>252</v>
      </c>
      <c r="B67">
        <v>66</v>
      </c>
      <c r="C67">
        <v>0</v>
      </c>
      <c r="D67">
        <v>0</v>
      </c>
      <c r="E67">
        <v>434</v>
      </c>
      <c r="F67" t="s">
        <v>826</v>
      </c>
    </row>
    <row r="68" spans="1:6" x14ac:dyDescent="0.25">
      <c r="A68" t="s">
        <v>253</v>
      </c>
      <c r="B68">
        <v>67</v>
      </c>
      <c r="C68">
        <v>126</v>
      </c>
      <c r="D68">
        <v>0</v>
      </c>
      <c r="E68">
        <v>434</v>
      </c>
      <c r="F68" t="s">
        <v>826</v>
      </c>
    </row>
    <row r="69" spans="1:6" x14ac:dyDescent="0.25">
      <c r="A69" t="s">
        <v>254</v>
      </c>
      <c r="B69">
        <v>68</v>
      </c>
      <c r="C69">
        <v>258</v>
      </c>
      <c r="D69">
        <v>0</v>
      </c>
      <c r="E69">
        <v>434</v>
      </c>
      <c r="F69" t="s">
        <v>826</v>
      </c>
    </row>
    <row r="70" spans="1:6" x14ac:dyDescent="0.25">
      <c r="A70" t="s">
        <v>255</v>
      </c>
      <c r="B70">
        <v>69</v>
      </c>
      <c r="C70">
        <v>384</v>
      </c>
      <c r="D70">
        <v>0</v>
      </c>
      <c r="E70">
        <v>434</v>
      </c>
      <c r="F70" t="s">
        <v>826</v>
      </c>
    </row>
    <row r="71" spans="1:6" x14ac:dyDescent="0.25">
      <c r="A71" t="s">
        <v>256</v>
      </c>
      <c r="B71">
        <v>70</v>
      </c>
      <c r="C71">
        <v>192</v>
      </c>
      <c r="D71">
        <v>0</v>
      </c>
      <c r="E71">
        <v>434</v>
      </c>
      <c r="F71" t="s">
        <v>827</v>
      </c>
    </row>
    <row r="72" spans="1:6" x14ac:dyDescent="0.25">
      <c r="A72" t="s">
        <v>257</v>
      </c>
      <c r="B72">
        <v>71</v>
      </c>
      <c r="C72">
        <v>126</v>
      </c>
      <c r="D72">
        <v>-25.625</v>
      </c>
      <c r="E72">
        <v>434</v>
      </c>
      <c r="F72" t="s">
        <v>812</v>
      </c>
    </row>
    <row r="73" spans="1:6" x14ac:dyDescent="0.25">
      <c r="A73" t="s">
        <v>258</v>
      </c>
      <c r="B73">
        <v>72</v>
      </c>
      <c r="C73">
        <v>258</v>
      </c>
      <c r="D73">
        <v>-25.625</v>
      </c>
      <c r="E73">
        <v>434</v>
      </c>
      <c r="F73" t="s">
        <v>812</v>
      </c>
    </row>
    <row r="74" spans="1:6" x14ac:dyDescent="0.25">
      <c r="A74" t="s">
        <v>259</v>
      </c>
      <c r="B74">
        <v>73</v>
      </c>
      <c r="C74">
        <v>0</v>
      </c>
      <c r="D74">
        <v>-60</v>
      </c>
      <c r="E74">
        <v>434</v>
      </c>
      <c r="F74" t="s">
        <v>827</v>
      </c>
    </row>
    <row r="75" spans="1:6" x14ac:dyDescent="0.25">
      <c r="A75" t="s">
        <v>260</v>
      </c>
      <c r="B75">
        <v>74</v>
      </c>
      <c r="C75">
        <v>384</v>
      </c>
      <c r="D75">
        <v>-60</v>
      </c>
      <c r="E75">
        <v>434</v>
      </c>
      <c r="F75" t="s">
        <v>827</v>
      </c>
    </row>
    <row r="76" spans="1:6" x14ac:dyDescent="0.25">
      <c r="A76" t="s">
        <v>261</v>
      </c>
      <c r="B76">
        <v>75</v>
      </c>
      <c r="C76">
        <v>0</v>
      </c>
      <c r="D76">
        <v>-120</v>
      </c>
      <c r="E76">
        <v>434</v>
      </c>
      <c r="F76" t="s">
        <v>826</v>
      </c>
    </row>
    <row r="77" spans="1:6" x14ac:dyDescent="0.25">
      <c r="A77" t="s">
        <v>262</v>
      </c>
      <c r="B77">
        <v>76</v>
      </c>
      <c r="C77">
        <v>126</v>
      </c>
      <c r="D77">
        <v>-120</v>
      </c>
      <c r="E77">
        <v>434</v>
      </c>
      <c r="F77" t="s">
        <v>826</v>
      </c>
    </row>
    <row r="78" spans="1:6" x14ac:dyDescent="0.25">
      <c r="A78" t="s">
        <v>263</v>
      </c>
      <c r="B78">
        <v>77</v>
      </c>
      <c r="C78">
        <v>258</v>
      </c>
      <c r="D78">
        <v>-120</v>
      </c>
      <c r="E78">
        <v>434</v>
      </c>
      <c r="F78" t="s">
        <v>826</v>
      </c>
    </row>
    <row r="79" spans="1:6" x14ac:dyDescent="0.25">
      <c r="A79" t="s">
        <v>264</v>
      </c>
      <c r="B79">
        <v>78</v>
      </c>
      <c r="C79">
        <v>384</v>
      </c>
      <c r="D79">
        <v>-120</v>
      </c>
      <c r="E79">
        <v>434</v>
      </c>
      <c r="F79" t="s">
        <v>826</v>
      </c>
    </row>
    <row r="80" spans="1:6" x14ac:dyDescent="0.25">
      <c r="A80" t="s">
        <v>265</v>
      </c>
      <c r="B80">
        <v>79</v>
      </c>
      <c r="C80">
        <v>126</v>
      </c>
      <c r="D80">
        <v>-216</v>
      </c>
      <c r="E80">
        <v>434</v>
      </c>
      <c r="F80" t="s">
        <v>826</v>
      </c>
    </row>
    <row r="81" spans="1:6" x14ac:dyDescent="0.25">
      <c r="A81" t="s">
        <v>266</v>
      </c>
      <c r="B81">
        <v>80</v>
      </c>
      <c r="C81">
        <v>258</v>
      </c>
      <c r="D81">
        <v>-216</v>
      </c>
      <c r="E81">
        <v>434</v>
      </c>
      <c r="F81" t="s">
        <v>826</v>
      </c>
    </row>
    <row r="82" spans="1:6" x14ac:dyDescent="0.25">
      <c r="A82" t="s">
        <v>267</v>
      </c>
      <c r="B82">
        <v>81</v>
      </c>
      <c r="C82">
        <v>192</v>
      </c>
      <c r="D82">
        <v>-216</v>
      </c>
      <c r="E82">
        <v>434</v>
      </c>
      <c r="F82" t="s">
        <v>827</v>
      </c>
    </row>
    <row r="83" spans="1:6" x14ac:dyDescent="0.25">
      <c r="A83" t="s">
        <v>268</v>
      </c>
      <c r="B83">
        <v>82</v>
      </c>
      <c r="C83">
        <v>126</v>
      </c>
      <c r="D83">
        <v>-241.625</v>
      </c>
      <c r="E83">
        <v>434</v>
      </c>
      <c r="F83" t="s">
        <v>812</v>
      </c>
    </row>
    <row r="84" spans="1:6" x14ac:dyDescent="0.25">
      <c r="A84" t="s">
        <v>269</v>
      </c>
      <c r="B84">
        <v>83</v>
      </c>
      <c r="C84">
        <v>258</v>
      </c>
      <c r="D84">
        <v>-241.625</v>
      </c>
      <c r="E84">
        <v>434</v>
      </c>
      <c r="F84" t="s">
        <v>812</v>
      </c>
    </row>
    <row r="85" spans="1:6" x14ac:dyDescent="0.25">
      <c r="A85" t="s">
        <v>270</v>
      </c>
      <c r="B85">
        <v>84</v>
      </c>
      <c r="C85">
        <v>0</v>
      </c>
      <c r="D85">
        <v>-270</v>
      </c>
      <c r="E85">
        <v>434</v>
      </c>
      <c r="F85" t="s">
        <v>826</v>
      </c>
    </row>
    <row r="86" spans="1:6" x14ac:dyDescent="0.25">
      <c r="A86" t="s">
        <v>271</v>
      </c>
      <c r="B86">
        <v>85</v>
      </c>
      <c r="C86">
        <v>126</v>
      </c>
      <c r="D86">
        <v>-270</v>
      </c>
      <c r="E86">
        <v>434</v>
      </c>
      <c r="F86" t="s">
        <v>826</v>
      </c>
    </row>
    <row r="87" spans="1:6" x14ac:dyDescent="0.25">
      <c r="A87" t="s">
        <v>272</v>
      </c>
      <c r="B87">
        <v>86</v>
      </c>
      <c r="C87">
        <v>258</v>
      </c>
      <c r="D87">
        <v>-270</v>
      </c>
      <c r="E87">
        <v>434</v>
      </c>
      <c r="F87" t="s">
        <v>826</v>
      </c>
    </row>
    <row r="88" spans="1:6" x14ac:dyDescent="0.25">
      <c r="A88" t="s">
        <v>273</v>
      </c>
      <c r="B88">
        <v>87</v>
      </c>
      <c r="C88">
        <v>384</v>
      </c>
      <c r="D88">
        <v>-270</v>
      </c>
      <c r="E88">
        <v>434</v>
      </c>
      <c r="F88" t="s">
        <v>826</v>
      </c>
    </row>
    <row r="89" spans="1:6" x14ac:dyDescent="0.25">
      <c r="A89" t="s">
        <v>274</v>
      </c>
      <c r="B89">
        <v>88</v>
      </c>
      <c r="C89">
        <v>191.7</v>
      </c>
      <c r="D89">
        <v>-124.3</v>
      </c>
      <c r="E89">
        <v>566</v>
      </c>
      <c r="F89" t="s">
        <v>809</v>
      </c>
    </row>
    <row r="90" spans="1:6" x14ac:dyDescent="0.25">
      <c r="A90" t="s">
        <v>275</v>
      </c>
      <c r="B90">
        <v>89</v>
      </c>
      <c r="C90">
        <v>0</v>
      </c>
      <c r="D90">
        <v>0</v>
      </c>
      <c r="E90">
        <v>566</v>
      </c>
      <c r="F90" t="s">
        <v>828</v>
      </c>
    </row>
    <row r="91" spans="1:6" x14ac:dyDescent="0.25">
      <c r="A91" t="s">
        <v>276</v>
      </c>
      <c r="B91">
        <v>90</v>
      </c>
      <c r="C91">
        <v>126</v>
      </c>
      <c r="D91">
        <v>0</v>
      </c>
      <c r="E91">
        <v>566</v>
      </c>
      <c r="F91" t="s">
        <v>828</v>
      </c>
    </row>
    <row r="92" spans="1:6" x14ac:dyDescent="0.25">
      <c r="A92" t="s">
        <v>277</v>
      </c>
      <c r="B92">
        <v>91</v>
      </c>
      <c r="C92">
        <v>258</v>
      </c>
      <c r="D92">
        <v>0</v>
      </c>
      <c r="E92">
        <v>566</v>
      </c>
      <c r="F92" t="s">
        <v>828</v>
      </c>
    </row>
    <row r="93" spans="1:6" x14ac:dyDescent="0.25">
      <c r="A93" t="s">
        <v>278</v>
      </c>
      <c r="B93">
        <v>92</v>
      </c>
      <c r="C93">
        <v>384</v>
      </c>
      <c r="D93">
        <v>0</v>
      </c>
      <c r="E93">
        <v>566</v>
      </c>
      <c r="F93" t="s">
        <v>828</v>
      </c>
    </row>
    <row r="94" spans="1:6" x14ac:dyDescent="0.25">
      <c r="A94" t="s">
        <v>279</v>
      </c>
      <c r="B94">
        <v>93</v>
      </c>
      <c r="C94">
        <v>192</v>
      </c>
      <c r="D94">
        <v>0</v>
      </c>
      <c r="E94">
        <v>566</v>
      </c>
      <c r="F94" t="s">
        <v>829</v>
      </c>
    </row>
    <row r="95" spans="1:6" x14ac:dyDescent="0.25">
      <c r="A95" t="s">
        <v>280</v>
      </c>
      <c r="B95">
        <v>94</v>
      </c>
      <c r="C95">
        <v>126</v>
      </c>
      <c r="D95">
        <v>-25.625</v>
      </c>
      <c r="E95">
        <v>566</v>
      </c>
      <c r="F95" t="s">
        <v>813</v>
      </c>
    </row>
    <row r="96" spans="1:6" x14ac:dyDescent="0.25">
      <c r="A96" t="s">
        <v>281</v>
      </c>
      <c r="B96">
        <v>95</v>
      </c>
      <c r="C96">
        <v>258</v>
      </c>
      <c r="D96">
        <v>-25.625</v>
      </c>
      <c r="E96">
        <v>566</v>
      </c>
      <c r="F96" t="s">
        <v>813</v>
      </c>
    </row>
    <row r="97" spans="1:6" x14ac:dyDescent="0.25">
      <c r="A97" t="s">
        <v>282</v>
      </c>
      <c r="B97">
        <v>96</v>
      </c>
      <c r="C97">
        <v>0</v>
      </c>
      <c r="D97">
        <v>-60</v>
      </c>
      <c r="E97">
        <v>566</v>
      </c>
      <c r="F97" t="s">
        <v>829</v>
      </c>
    </row>
    <row r="98" spans="1:6" x14ac:dyDescent="0.25">
      <c r="A98" t="s">
        <v>283</v>
      </c>
      <c r="B98">
        <v>97</v>
      </c>
      <c r="C98">
        <v>384</v>
      </c>
      <c r="D98">
        <v>-60</v>
      </c>
      <c r="E98">
        <v>566</v>
      </c>
      <c r="F98" t="s">
        <v>829</v>
      </c>
    </row>
    <row r="99" spans="1:6" x14ac:dyDescent="0.25">
      <c r="A99" t="s">
        <v>284</v>
      </c>
      <c r="B99">
        <v>98</v>
      </c>
      <c r="C99">
        <v>0</v>
      </c>
      <c r="D99">
        <v>-120</v>
      </c>
      <c r="E99">
        <v>566</v>
      </c>
      <c r="F99" t="s">
        <v>828</v>
      </c>
    </row>
    <row r="100" spans="1:6" x14ac:dyDescent="0.25">
      <c r="A100" t="s">
        <v>285</v>
      </c>
      <c r="B100">
        <v>99</v>
      </c>
      <c r="C100">
        <v>126</v>
      </c>
      <c r="D100">
        <v>-120</v>
      </c>
      <c r="E100">
        <v>566</v>
      </c>
      <c r="F100" t="s">
        <v>828</v>
      </c>
    </row>
    <row r="101" spans="1:6" x14ac:dyDescent="0.25">
      <c r="A101" t="s">
        <v>286</v>
      </c>
      <c r="B101">
        <v>100</v>
      </c>
      <c r="C101">
        <v>258</v>
      </c>
      <c r="D101">
        <v>-120</v>
      </c>
      <c r="E101">
        <v>566</v>
      </c>
      <c r="F101" t="s">
        <v>828</v>
      </c>
    </row>
    <row r="102" spans="1:6" x14ac:dyDescent="0.25">
      <c r="A102" t="s">
        <v>287</v>
      </c>
      <c r="B102">
        <v>101</v>
      </c>
      <c r="C102">
        <v>384</v>
      </c>
      <c r="D102">
        <v>-120</v>
      </c>
      <c r="E102">
        <v>566</v>
      </c>
      <c r="F102" t="s">
        <v>828</v>
      </c>
    </row>
    <row r="103" spans="1:6" x14ac:dyDescent="0.25">
      <c r="A103" t="s">
        <v>288</v>
      </c>
      <c r="B103">
        <v>102</v>
      </c>
      <c r="C103">
        <v>126</v>
      </c>
      <c r="D103">
        <v>-216</v>
      </c>
      <c r="E103">
        <v>566</v>
      </c>
      <c r="F103" t="s">
        <v>828</v>
      </c>
    </row>
    <row r="104" spans="1:6" x14ac:dyDescent="0.25">
      <c r="A104" t="s">
        <v>289</v>
      </c>
      <c r="B104">
        <v>103</v>
      </c>
      <c r="C104">
        <v>258</v>
      </c>
      <c r="D104">
        <v>-216</v>
      </c>
      <c r="E104">
        <v>566</v>
      </c>
      <c r="F104" t="s">
        <v>828</v>
      </c>
    </row>
    <row r="105" spans="1:6" x14ac:dyDescent="0.25">
      <c r="A105" t="s">
        <v>290</v>
      </c>
      <c r="B105">
        <v>104</v>
      </c>
      <c r="C105">
        <v>192</v>
      </c>
      <c r="D105">
        <v>-216</v>
      </c>
      <c r="E105">
        <v>566</v>
      </c>
      <c r="F105" t="s">
        <v>829</v>
      </c>
    </row>
    <row r="106" spans="1:6" x14ac:dyDescent="0.25">
      <c r="A106" t="s">
        <v>291</v>
      </c>
      <c r="B106">
        <v>105</v>
      </c>
      <c r="C106">
        <v>126</v>
      </c>
      <c r="D106">
        <v>-241.625</v>
      </c>
      <c r="E106">
        <v>566</v>
      </c>
      <c r="F106" t="s">
        <v>813</v>
      </c>
    </row>
    <row r="107" spans="1:6" x14ac:dyDescent="0.25">
      <c r="A107" t="s">
        <v>292</v>
      </c>
      <c r="B107">
        <v>106</v>
      </c>
      <c r="C107">
        <v>258</v>
      </c>
      <c r="D107">
        <v>-241.625</v>
      </c>
      <c r="E107">
        <v>566</v>
      </c>
      <c r="F107" t="s">
        <v>813</v>
      </c>
    </row>
    <row r="108" spans="1:6" x14ac:dyDescent="0.25">
      <c r="A108" t="s">
        <v>293</v>
      </c>
      <c r="B108">
        <v>107</v>
      </c>
      <c r="C108">
        <v>0</v>
      </c>
      <c r="D108">
        <v>-270</v>
      </c>
      <c r="E108">
        <v>566</v>
      </c>
      <c r="F108" t="s">
        <v>828</v>
      </c>
    </row>
    <row r="109" spans="1:6" x14ac:dyDescent="0.25">
      <c r="A109" t="s">
        <v>294</v>
      </c>
      <c r="B109">
        <v>108</v>
      </c>
      <c r="C109">
        <v>126</v>
      </c>
      <c r="D109">
        <v>-270</v>
      </c>
      <c r="E109">
        <v>566</v>
      </c>
      <c r="F109" t="s">
        <v>828</v>
      </c>
    </row>
    <row r="110" spans="1:6" x14ac:dyDescent="0.25">
      <c r="A110" t="s">
        <v>295</v>
      </c>
      <c r="B110">
        <v>109</v>
      </c>
      <c r="C110">
        <v>258</v>
      </c>
      <c r="D110">
        <v>-270</v>
      </c>
      <c r="E110">
        <v>566</v>
      </c>
      <c r="F110" t="s">
        <v>828</v>
      </c>
    </row>
    <row r="111" spans="1:6" x14ac:dyDescent="0.25">
      <c r="A111" t="s">
        <v>296</v>
      </c>
      <c r="B111">
        <v>110</v>
      </c>
      <c r="C111">
        <v>384</v>
      </c>
      <c r="D111">
        <v>-270</v>
      </c>
      <c r="E111">
        <v>566</v>
      </c>
      <c r="F111" t="s">
        <v>828</v>
      </c>
    </row>
    <row r="112" spans="1:6" x14ac:dyDescent="0.25">
      <c r="A112" t="s">
        <v>297</v>
      </c>
      <c r="B112">
        <v>111</v>
      </c>
      <c r="C112">
        <v>191.8</v>
      </c>
      <c r="D112">
        <v>-129.1</v>
      </c>
      <c r="E112">
        <v>698</v>
      </c>
      <c r="F112" t="s">
        <v>809</v>
      </c>
    </row>
    <row r="113" spans="1:6" x14ac:dyDescent="0.25">
      <c r="A113" t="s">
        <v>298</v>
      </c>
      <c r="B113">
        <v>112</v>
      </c>
      <c r="C113">
        <v>0</v>
      </c>
      <c r="D113">
        <v>0</v>
      </c>
      <c r="E113">
        <v>698</v>
      </c>
      <c r="F113" t="s">
        <v>830</v>
      </c>
    </row>
    <row r="114" spans="1:6" x14ac:dyDescent="0.25">
      <c r="A114" t="s">
        <v>299</v>
      </c>
      <c r="B114">
        <v>113</v>
      </c>
      <c r="C114">
        <v>126</v>
      </c>
      <c r="D114">
        <v>0</v>
      </c>
      <c r="E114">
        <v>698</v>
      </c>
      <c r="F114" t="s">
        <v>830</v>
      </c>
    </row>
    <row r="115" spans="1:6" x14ac:dyDescent="0.25">
      <c r="A115" t="s">
        <v>300</v>
      </c>
      <c r="B115">
        <v>114</v>
      </c>
      <c r="C115">
        <v>258</v>
      </c>
      <c r="D115">
        <v>0</v>
      </c>
      <c r="E115">
        <v>698</v>
      </c>
      <c r="F115" t="s">
        <v>830</v>
      </c>
    </row>
    <row r="116" spans="1:6" x14ac:dyDescent="0.25">
      <c r="A116" t="s">
        <v>301</v>
      </c>
      <c r="B116">
        <v>115</v>
      </c>
      <c r="C116">
        <v>384</v>
      </c>
      <c r="D116">
        <v>0</v>
      </c>
      <c r="E116">
        <v>698</v>
      </c>
      <c r="F116" t="s">
        <v>830</v>
      </c>
    </row>
    <row r="117" spans="1:6" x14ac:dyDescent="0.25">
      <c r="A117" t="s">
        <v>302</v>
      </c>
      <c r="B117">
        <v>116</v>
      </c>
      <c r="C117">
        <v>192</v>
      </c>
      <c r="D117">
        <v>0</v>
      </c>
      <c r="E117">
        <v>698</v>
      </c>
      <c r="F117" t="s">
        <v>831</v>
      </c>
    </row>
    <row r="118" spans="1:6" x14ac:dyDescent="0.25">
      <c r="A118" t="s">
        <v>303</v>
      </c>
      <c r="B118">
        <v>117</v>
      </c>
      <c r="C118">
        <v>126</v>
      </c>
      <c r="D118">
        <v>-25.625</v>
      </c>
      <c r="E118">
        <v>698</v>
      </c>
      <c r="F118" t="s">
        <v>814</v>
      </c>
    </row>
    <row r="119" spans="1:6" x14ac:dyDescent="0.25">
      <c r="A119" t="s">
        <v>304</v>
      </c>
      <c r="B119">
        <v>118</v>
      </c>
      <c r="C119">
        <v>258</v>
      </c>
      <c r="D119">
        <v>-25.625</v>
      </c>
      <c r="E119">
        <v>698</v>
      </c>
      <c r="F119" t="s">
        <v>814</v>
      </c>
    </row>
    <row r="120" spans="1:6" x14ac:dyDescent="0.25">
      <c r="A120" t="s">
        <v>305</v>
      </c>
      <c r="B120">
        <v>119</v>
      </c>
      <c r="C120">
        <v>0</v>
      </c>
      <c r="D120">
        <v>-60</v>
      </c>
      <c r="E120">
        <v>698</v>
      </c>
      <c r="F120" t="s">
        <v>831</v>
      </c>
    </row>
    <row r="121" spans="1:6" x14ac:dyDescent="0.25">
      <c r="A121" t="s">
        <v>306</v>
      </c>
      <c r="B121">
        <v>120</v>
      </c>
      <c r="C121">
        <v>384</v>
      </c>
      <c r="D121">
        <v>-60</v>
      </c>
      <c r="E121">
        <v>698</v>
      </c>
      <c r="F121" t="s">
        <v>831</v>
      </c>
    </row>
    <row r="122" spans="1:6" x14ac:dyDescent="0.25">
      <c r="A122" t="s">
        <v>307</v>
      </c>
      <c r="B122">
        <v>121</v>
      </c>
      <c r="C122">
        <v>0</v>
      </c>
      <c r="D122">
        <v>-120</v>
      </c>
      <c r="E122">
        <v>698</v>
      </c>
      <c r="F122" t="s">
        <v>830</v>
      </c>
    </row>
    <row r="123" spans="1:6" x14ac:dyDescent="0.25">
      <c r="A123" t="s">
        <v>308</v>
      </c>
      <c r="B123">
        <v>122</v>
      </c>
      <c r="C123">
        <v>126</v>
      </c>
      <c r="D123">
        <v>-120</v>
      </c>
      <c r="E123">
        <v>698</v>
      </c>
      <c r="F123" t="s">
        <v>830</v>
      </c>
    </row>
    <row r="124" spans="1:6" x14ac:dyDescent="0.25">
      <c r="A124" t="s">
        <v>309</v>
      </c>
      <c r="B124">
        <v>123</v>
      </c>
      <c r="C124">
        <v>258</v>
      </c>
      <c r="D124">
        <v>-120</v>
      </c>
      <c r="E124">
        <v>698</v>
      </c>
      <c r="F124" t="s">
        <v>830</v>
      </c>
    </row>
    <row r="125" spans="1:6" x14ac:dyDescent="0.25">
      <c r="A125" t="s">
        <v>310</v>
      </c>
      <c r="B125">
        <v>124</v>
      </c>
      <c r="C125">
        <v>384</v>
      </c>
      <c r="D125">
        <v>-120</v>
      </c>
      <c r="E125">
        <v>698</v>
      </c>
      <c r="F125" t="s">
        <v>830</v>
      </c>
    </row>
    <row r="126" spans="1:6" x14ac:dyDescent="0.25">
      <c r="A126" t="s">
        <v>311</v>
      </c>
      <c r="B126">
        <v>125</v>
      </c>
      <c r="C126">
        <v>126</v>
      </c>
      <c r="D126">
        <v>-216</v>
      </c>
      <c r="E126">
        <v>698</v>
      </c>
      <c r="F126" t="s">
        <v>830</v>
      </c>
    </row>
    <row r="127" spans="1:6" x14ac:dyDescent="0.25">
      <c r="A127" t="s">
        <v>312</v>
      </c>
      <c r="B127">
        <v>126</v>
      </c>
      <c r="C127">
        <v>258</v>
      </c>
      <c r="D127">
        <v>-216</v>
      </c>
      <c r="E127">
        <v>698</v>
      </c>
      <c r="F127" t="s">
        <v>830</v>
      </c>
    </row>
    <row r="128" spans="1:6" x14ac:dyDescent="0.25">
      <c r="A128" t="s">
        <v>313</v>
      </c>
      <c r="B128">
        <v>127</v>
      </c>
      <c r="C128">
        <v>192</v>
      </c>
      <c r="D128">
        <v>-216</v>
      </c>
      <c r="E128">
        <v>698</v>
      </c>
      <c r="F128" t="s">
        <v>831</v>
      </c>
    </row>
    <row r="129" spans="1:6" x14ac:dyDescent="0.25">
      <c r="A129" t="s">
        <v>314</v>
      </c>
      <c r="B129">
        <v>128</v>
      </c>
      <c r="C129">
        <v>126</v>
      </c>
      <c r="D129">
        <v>-241.625</v>
      </c>
      <c r="E129">
        <v>698</v>
      </c>
      <c r="F129" t="s">
        <v>814</v>
      </c>
    </row>
    <row r="130" spans="1:6" x14ac:dyDescent="0.25">
      <c r="A130" t="s">
        <v>315</v>
      </c>
      <c r="B130">
        <v>129</v>
      </c>
      <c r="C130">
        <v>258</v>
      </c>
      <c r="D130">
        <v>-241.625</v>
      </c>
      <c r="E130">
        <v>698</v>
      </c>
      <c r="F130" t="s">
        <v>814</v>
      </c>
    </row>
    <row r="131" spans="1:6" x14ac:dyDescent="0.25">
      <c r="A131" t="s">
        <v>316</v>
      </c>
      <c r="B131">
        <v>130</v>
      </c>
      <c r="C131">
        <v>0</v>
      </c>
      <c r="D131">
        <v>-270</v>
      </c>
      <c r="E131">
        <v>698</v>
      </c>
      <c r="F131" t="s">
        <v>830</v>
      </c>
    </row>
    <row r="132" spans="1:6" x14ac:dyDescent="0.25">
      <c r="A132" t="s">
        <v>317</v>
      </c>
      <c r="B132">
        <v>131</v>
      </c>
      <c r="C132">
        <v>126</v>
      </c>
      <c r="D132">
        <v>-270</v>
      </c>
      <c r="E132">
        <v>698</v>
      </c>
      <c r="F132" t="s">
        <v>830</v>
      </c>
    </row>
    <row r="133" spans="1:6" x14ac:dyDescent="0.25">
      <c r="A133" t="s">
        <v>318</v>
      </c>
      <c r="B133">
        <v>132</v>
      </c>
      <c r="C133">
        <v>258</v>
      </c>
      <c r="D133">
        <v>-270</v>
      </c>
      <c r="E133">
        <v>698</v>
      </c>
      <c r="F133" t="s">
        <v>830</v>
      </c>
    </row>
    <row r="134" spans="1:6" x14ac:dyDescent="0.25">
      <c r="A134" t="s">
        <v>319</v>
      </c>
      <c r="B134">
        <v>133</v>
      </c>
      <c r="C134">
        <v>384</v>
      </c>
      <c r="D134">
        <v>-270</v>
      </c>
      <c r="E134">
        <v>698</v>
      </c>
      <c r="F134" t="s">
        <v>830</v>
      </c>
    </row>
    <row r="135" spans="1:6" x14ac:dyDescent="0.25">
      <c r="A135" t="s">
        <v>320</v>
      </c>
      <c r="B135">
        <v>134</v>
      </c>
      <c r="C135">
        <v>191.6</v>
      </c>
      <c r="D135">
        <v>-120.9</v>
      </c>
      <c r="E135">
        <v>830</v>
      </c>
      <c r="F135" t="s">
        <v>809</v>
      </c>
    </row>
    <row r="136" spans="1:6" x14ac:dyDescent="0.25">
      <c r="A136" t="s">
        <v>321</v>
      </c>
      <c r="B136">
        <v>135</v>
      </c>
      <c r="C136">
        <v>0</v>
      </c>
      <c r="D136">
        <v>0</v>
      </c>
      <c r="E136">
        <v>830</v>
      </c>
      <c r="F136" t="s">
        <v>832</v>
      </c>
    </row>
    <row r="137" spans="1:6" x14ac:dyDescent="0.25">
      <c r="A137" t="s">
        <v>322</v>
      </c>
      <c r="B137">
        <v>136</v>
      </c>
      <c r="C137">
        <v>126</v>
      </c>
      <c r="D137">
        <v>0</v>
      </c>
      <c r="E137">
        <v>830</v>
      </c>
      <c r="F137" t="s">
        <v>832</v>
      </c>
    </row>
    <row r="138" spans="1:6" x14ac:dyDescent="0.25">
      <c r="A138" t="s">
        <v>323</v>
      </c>
      <c r="B138">
        <v>137</v>
      </c>
      <c r="C138">
        <v>258</v>
      </c>
      <c r="D138">
        <v>0</v>
      </c>
      <c r="E138">
        <v>830</v>
      </c>
      <c r="F138" t="s">
        <v>832</v>
      </c>
    </row>
    <row r="139" spans="1:6" x14ac:dyDescent="0.25">
      <c r="A139" t="s">
        <v>324</v>
      </c>
      <c r="B139">
        <v>138</v>
      </c>
      <c r="C139">
        <v>384</v>
      </c>
      <c r="D139">
        <v>0</v>
      </c>
      <c r="E139">
        <v>830</v>
      </c>
      <c r="F139" t="s">
        <v>832</v>
      </c>
    </row>
    <row r="140" spans="1:6" x14ac:dyDescent="0.25">
      <c r="A140" t="s">
        <v>325</v>
      </c>
      <c r="B140">
        <v>139</v>
      </c>
      <c r="C140">
        <v>192</v>
      </c>
      <c r="D140">
        <v>0</v>
      </c>
      <c r="E140">
        <v>830</v>
      </c>
      <c r="F140" t="s">
        <v>833</v>
      </c>
    </row>
    <row r="141" spans="1:6" x14ac:dyDescent="0.25">
      <c r="A141" t="s">
        <v>326</v>
      </c>
      <c r="B141">
        <v>140</v>
      </c>
      <c r="C141">
        <v>126</v>
      </c>
      <c r="D141">
        <v>-25.625</v>
      </c>
      <c r="E141">
        <v>830</v>
      </c>
      <c r="F141" t="s">
        <v>815</v>
      </c>
    </row>
    <row r="142" spans="1:6" x14ac:dyDescent="0.25">
      <c r="A142" t="s">
        <v>327</v>
      </c>
      <c r="B142">
        <v>141</v>
      </c>
      <c r="C142">
        <v>258</v>
      </c>
      <c r="D142">
        <v>-25.625</v>
      </c>
      <c r="E142">
        <v>830</v>
      </c>
      <c r="F142" t="s">
        <v>815</v>
      </c>
    </row>
    <row r="143" spans="1:6" x14ac:dyDescent="0.25">
      <c r="A143" t="s">
        <v>328</v>
      </c>
      <c r="B143">
        <v>142</v>
      </c>
      <c r="C143">
        <v>0</v>
      </c>
      <c r="D143">
        <v>-60</v>
      </c>
      <c r="E143">
        <v>830</v>
      </c>
      <c r="F143" t="s">
        <v>833</v>
      </c>
    </row>
    <row r="144" spans="1:6" x14ac:dyDescent="0.25">
      <c r="A144" t="s">
        <v>329</v>
      </c>
      <c r="B144">
        <v>143</v>
      </c>
      <c r="C144">
        <v>384</v>
      </c>
      <c r="D144">
        <v>-60</v>
      </c>
      <c r="E144">
        <v>830</v>
      </c>
      <c r="F144" t="s">
        <v>833</v>
      </c>
    </row>
    <row r="145" spans="1:6" x14ac:dyDescent="0.25">
      <c r="A145" t="s">
        <v>330</v>
      </c>
      <c r="B145">
        <v>144</v>
      </c>
      <c r="C145">
        <v>0</v>
      </c>
      <c r="D145">
        <v>-120</v>
      </c>
      <c r="E145">
        <v>830</v>
      </c>
      <c r="F145" t="s">
        <v>832</v>
      </c>
    </row>
    <row r="146" spans="1:6" x14ac:dyDescent="0.25">
      <c r="A146" t="s">
        <v>331</v>
      </c>
      <c r="B146">
        <v>145</v>
      </c>
      <c r="C146">
        <v>126</v>
      </c>
      <c r="D146">
        <v>-120</v>
      </c>
      <c r="E146">
        <v>830</v>
      </c>
      <c r="F146" t="s">
        <v>832</v>
      </c>
    </row>
    <row r="147" spans="1:6" x14ac:dyDescent="0.25">
      <c r="A147" t="s">
        <v>332</v>
      </c>
      <c r="B147">
        <v>146</v>
      </c>
      <c r="C147">
        <v>258</v>
      </c>
      <c r="D147">
        <v>-120</v>
      </c>
      <c r="E147">
        <v>830</v>
      </c>
      <c r="F147" t="s">
        <v>832</v>
      </c>
    </row>
    <row r="148" spans="1:6" x14ac:dyDescent="0.25">
      <c r="A148" t="s">
        <v>333</v>
      </c>
      <c r="B148">
        <v>147</v>
      </c>
      <c r="C148">
        <v>384</v>
      </c>
      <c r="D148">
        <v>-120</v>
      </c>
      <c r="E148">
        <v>830</v>
      </c>
      <c r="F148" t="s">
        <v>832</v>
      </c>
    </row>
    <row r="149" spans="1:6" x14ac:dyDescent="0.25">
      <c r="A149" t="s">
        <v>334</v>
      </c>
      <c r="B149">
        <v>148</v>
      </c>
      <c r="C149">
        <v>126</v>
      </c>
      <c r="D149">
        <v>-216</v>
      </c>
      <c r="E149">
        <v>830</v>
      </c>
      <c r="F149" t="s">
        <v>832</v>
      </c>
    </row>
    <row r="150" spans="1:6" x14ac:dyDescent="0.25">
      <c r="A150" t="s">
        <v>335</v>
      </c>
      <c r="B150">
        <v>149</v>
      </c>
      <c r="C150">
        <v>258</v>
      </c>
      <c r="D150">
        <v>-216</v>
      </c>
      <c r="E150">
        <v>830</v>
      </c>
      <c r="F150" t="s">
        <v>832</v>
      </c>
    </row>
    <row r="151" spans="1:6" x14ac:dyDescent="0.25">
      <c r="A151" t="s">
        <v>336</v>
      </c>
      <c r="B151">
        <v>150</v>
      </c>
      <c r="C151">
        <v>192</v>
      </c>
      <c r="D151">
        <v>-216</v>
      </c>
      <c r="E151">
        <v>830</v>
      </c>
      <c r="F151" t="s">
        <v>833</v>
      </c>
    </row>
    <row r="152" spans="1:6" x14ac:dyDescent="0.25">
      <c r="A152" t="s">
        <v>337</v>
      </c>
      <c r="B152">
        <v>151</v>
      </c>
      <c r="C152">
        <v>126</v>
      </c>
      <c r="D152">
        <v>-241.625</v>
      </c>
      <c r="E152">
        <v>830</v>
      </c>
      <c r="F152" t="s">
        <v>815</v>
      </c>
    </row>
    <row r="153" spans="1:6" x14ac:dyDescent="0.25">
      <c r="A153" t="s">
        <v>338</v>
      </c>
      <c r="B153">
        <v>152</v>
      </c>
      <c r="C153">
        <v>258</v>
      </c>
      <c r="D153">
        <v>-241.625</v>
      </c>
      <c r="E153">
        <v>830</v>
      </c>
      <c r="F153" t="s">
        <v>815</v>
      </c>
    </row>
    <row r="154" spans="1:6" x14ac:dyDescent="0.25">
      <c r="A154" t="s">
        <v>339</v>
      </c>
      <c r="B154">
        <v>153</v>
      </c>
      <c r="C154">
        <v>0</v>
      </c>
      <c r="D154">
        <v>-270</v>
      </c>
      <c r="E154">
        <v>830</v>
      </c>
      <c r="F154" t="s">
        <v>832</v>
      </c>
    </row>
    <row r="155" spans="1:6" x14ac:dyDescent="0.25">
      <c r="A155" t="s">
        <v>340</v>
      </c>
      <c r="B155">
        <v>154</v>
      </c>
      <c r="C155">
        <v>126</v>
      </c>
      <c r="D155">
        <v>-270</v>
      </c>
      <c r="E155">
        <v>830</v>
      </c>
      <c r="F155" t="s">
        <v>832</v>
      </c>
    </row>
    <row r="156" spans="1:6" x14ac:dyDescent="0.25">
      <c r="A156" t="s">
        <v>341</v>
      </c>
      <c r="B156">
        <v>155</v>
      </c>
      <c r="C156">
        <v>258</v>
      </c>
      <c r="D156">
        <v>-270</v>
      </c>
      <c r="E156">
        <v>830</v>
      </c>
      <c r="F156" t="s">
        <v>832</v>
      </c>
    </row>
    <row r="157" spans="1:6" x14ac:dyDescent="0.25">
      <c r="A157" t="s">
        <v>342</v>
      </c>
      <c r="B157">
        <v>156</v>
      </c>
      <c r="C157">
        <v>384</v>
      </c>
      <c r="D157">
        <v>-270</v>
      </c>
      <c r="E157">
        <v>830</v>
      </c>
      <c r="F157" t="s">
        <v>832</v>
      </c>
    </row>
    <row r="158" spans="1:6" x14ac:dyDescent="0.25">
      <c r="A158" t="s">
        <v>343</v>
      </c>
      <c r="B158">
        <v>157</v>
      </c>
      <c r="C158">
        <v>192.3</v>
      </c>
      <c r="D158">
        <v>-122.1</v>
      </c>
      <c r="E158">
        <v>962</v>
      </c>
      <c r="F158" t="s">
        <v>809</v>
      </c>
    </row>
    <row r="159" spans="1:6" x14ac:dyDescent="0.25">
      <c r="A159" t="s">
        <v>344</v>
      </c>
      <c r="B159">
        <v>158</v>
      </c>
      <c r="C159">
        <v>0</v>
      </c>
      <c r="D159">
        <v>0</v>
      </c>
      <c r="E159">
        <v>962</v>
      </c>
      <c r="F159" t="s">
        <v>834</v>
      </c>
    </row>
    <row r="160" spans="1:6" x14ac:dyDescent="0.25">
      <c r="A160" t="s">
        <v>345</v>
      </c>
      <c r="B160">
        <v>159</v>
      </c>
      <c r="C160">
        <v>126</v>
      </c>
      <c r="D160">
        <v>0</v>
      </c>
      <c r="E160">
        <v>962</v>
      </c>
      <c r="F160" t="s">
        <v>834</v>
      </c>
    </row>
    <row r="161" spans="1:6" x14ac:dyDescent="0.25">
      <c r="A161" t="s">
        <v>346</v>
      </c>
      <c r="B161">
        <v>160</v>
      </c>
      <c r="C161">
        <v>258</v>
      </c>
      <c r="D161">
        <v>0</v>
      </c>
      <c r="E161">
        <v>962</v>
      </c>
      <c r="F161" t="s">
        <v>834</v>
      </c>
    </row>
    <row r="162" spans="1:6" x14ac:dyDescent="0.25">
      <c r="A162" t="s">
        <v>347</v>
      </c>
      <c r="B162">
        <v>161</v>
      </c>
      <c r="C162">
        <v>384</v>
      </c>
      <c r="D162">
        <v>0</v>
      </c>
      <c r="E162">
        <v>962</v>
      </c>
      <c r="F162" t="s">
        <v>834</v>
      </c>
    </row>
    <row r="163" spans="1:6" x14ac:dyDescent="0.25">
      <c r="A163" t="s">
        <v>348</v>
      </c>
      <c r="B163">
        <v>162</v>
      </c>
      <c r="C163">
        <v>192</v>
      </c>
      <c r="D163">
        <v>0</v>
      </c>
      <c r="E163">
        <v>962</v>
      </c>
      <c r="F163" t="s">
        <v>835</v>
      </c>
    </row>
    <row r="164" spans="1:6" x14ac:dyDescent="0.25">
      <c r="A164" t="s">
        <v>349</v>
      </c>
      <c r="B164">
        <v>163</v>
      </c>
      <c r="C164">
        <v>126</v>
      </c>
      <c r="D164">
        <v>-25.625</v>
      </c>
      <c r="E164">
        <v>962</v>
      </c>
      <c r="F164" t="s">
        <v>816</v>
      </c>
    </row>
    <row r="165" spans="1:6" x14ac:dyDescent="0.25">
      <c r="A165" t="s">
        <v>350</v>
      </c>
      <c r="B165">
        <v>164</v>
      </c>
      <c r="C165">
        <v>258</v>
      </c>
      <c r="D165">
        <v>-25.625</v>
      </c>
      <c r="E165">
        <v>962</v>
      </c>
      <c r="F165" t="s">
        <v>816</v>
      </c>
    </row>
    <row r="166" spans="1:6" x14ac:dyDescent="0.25">
      <c r="A166" t="s">
        <v>351</v>
      </c>
      <c r="B166">
        <v>165</v>
      </c>
      <c r="C166">
        <v>0</v>
      </c>
      <c r="D166">
        <v>-60</v>
      </c>
      <c r="E166">
        <v>962</v>
      </c>
      <c r="F166" t="s">
        <v>835</v>
      </c>
    </row>
    <row r="167" spans="1:6" x14ac:dyDescent="0.25">
      <c r="A167" t="s">
        <v>352</v>
      </c>
      <c r="B167">
        <v>166</v>
      </c>
      <c r="C167">
        <v>384</v>
      </c>
      <c r="D167">
        <v>-60</v>
      </c>
      <c r="E167">
        <v>962</v>
      </c>
      <c r="F167" t="s">
        <v>835</v>
      </c>
    </row>
    <row r="168" spans="1:6" x14ac:dyDescent="0.25">
      <c r="A168" t="s">
        <v>353</v>
      </c>
      <c r="B168">
        <v>167</v>
      </c>
      <c r="C168">
        <v>0</v>
      </c>
      <c r="D168">
        <v>-120</v>
      </c>
      <c r="E168">
        <v>962</v>
      </c>
      <c r="F168" t="s">
        <v>834</v>
      </c>
    </row>
    <row r="169" spans="1:6" x14ac:dyDescent="0.25">
      <c r="A169" t="s">
        <v>354</v>
      </c>
      <c r="B169">
        <v>168</v>
      </c>
      <c r="C169">
        <v>126</v>
      </c>
      <c r="D169">
        <v>-120</v>
      </c>
      <c r="E169">
        <v>962</v>
      </c>
      <c r="F169" t="s">
        <v>834</v>
      </c>
    </row>
    <row r="170" spans="1:6" x14ac:dyDescent="0.25">
      <c r="A170" t="s">
        <v>355</v>
      </c>
      <c r="B170">
        <v>169</v>
      </c>
      <c r="C170">
        <v>258</v>
      </c>
      <c r="D170">
        <v>-120</v>
      </c>
      <c r="E170">
        <v>962</v>
      </c>
      <c r="F170" t="s">
        <v>834</v>
      </c>
    </row>
    <row r="171" spans="1:6" x14ac:dyDescent="0.25">
      <c r="A171" t="s">
        <v>356</v>
      </c>
      <c r="B171">
        <v>170</v>
      </c>
      <c r="C171">
        <v>384</v>
      </c>
      <c r="D171">
        <v>-120</v>
      </c>
      <c r="E171">
        <v>962</v>
      </c>
      <c r="F171" t="s">
        <v>834</v>
      </c>
    </row>
    <row r="172" spans="1:6" x14ac:dyDescent="0.25">
      <c r="A172" t="s">
        <v>357</v>
      </c>
      <c r="B172">
        <v>171</v>
      </c>
      <c r="C172">
        <v>126</v>
      </c>
      <c r="D172">
        <v>-216</v>
      </c>
      <c r="E172">
        <v>962</v>
      </c>
      <c r="F172" t="s">
        <v>834</v>
      </c>
    </row>
    <row r="173" spans="1:6" x14ac:dyDescent="0.25">
      <c r="A173" t="s">
        <v>358</v>
      </c>
      <c r="B173">
        <v>172</v>
      </c>
      <c r="C173">
        <v>258</v>
      </c>
      <c r="D173">
        <v>-216</v>
      </c>
      <c r="E173">
        <v>962</v>
      </c>
      <c r="F173" t="s">
        <v>834</v>
      </c>
    </row>
    <row r="174" spans="1:6" x14ac:dyDescent="0.25">
      <c r="A174" t="s">
        <v>359</v>
      </c>
      <c r="B174">
        <v>173</v>
      </c>
      <c r="C174">
        <v>192</v>
      </c>
      <c r="D174">
        <v>-216</v>
      </c>
      <c r="E174">
        <v>962</v>
      </c>
      <c r="F174" t="s">
        <v>835</v>
      </c>
    </row>
    <row r="175" spans="1:6" x14ac:dyDescent="0.25">
      <c r="A175" t="s">
        <v>360</v>
      </c>
      <c r="B175">
        <v>174</v>
      </c>
      <c r="C175">
        <v>126</v>
      </c>
      <c r="D175">
        <v>-241.625</v>
      </c>
      <c r="E175">
        <v>962</v>
      </c>
      <c r="F175" t="s">
        <v>816</v>
      </c>
    </row>
    <row r="176" spans="1:6" x14ac:dyDescent="0.25">
      <c r="A176" t="s">
        <v>361</v>
      </c>
      <c r="B176">
        <v>175</v>
      </c>
      <c r="C176">
        <v>258</v>
      </c>
      <c r="D176">
        <v>-241.625</v>
      </c>
      <c r="E176">
        <v>962</v>
      </c>
      <c r="F176" t="s">
        <v>816</v>
      </c>
    </row>
    <row r="177" spans="1:6" x14ac:dyDescent="0.25">
      <c r="A177" t="s">
        <v>362</v>
      </c>
      <c r="B177">
        <v>176</v>
      </c>
      <c r="C177">
        <v>0</v>
      </c>
      <c r="D177">
        <v>-270</v>
      </c>
      <c r="E177">
        <v>962</v>
      </c>
      <c r="F177" t="s">
        <v>834</v>
      </c>
    </row>
    <row r="178" spans="1:6" x14ac:dyDescent="0.25">
      <c r="A178" t="s">
        <v>363</v>
      </c>
      <c r="B178">
        <v>177</v>
      </c>
      <c r="C178">
        <v>126</v>
      </c>
      <c r="D178">
        <v>-270</v>
      </c>
      <c r="E178">
        <v>962</v>
      </c>
      <c r="F178" t="s">
        <v>834</v>
      </c>
    </row>
    <row r="179" spans="1:6" x14ac:dyDescent="0.25">
      <c r="A179" t="s">
        <v>364</v>
      </c>
      <c r="B179">
        <v>178</v>
      </c>
      <c r="C179">
        <v>258</v>
      </c>
      <c r="D179">
        <v>-270</v>
      </c>
      <c r="E179">
        <v>962</v>
      </c>
      <c r="F179" t="s">
        <v>834</v>
      </c>
    </row>
    <row r="180" spans="1:6" x14ac:dyDescent="0.25">
      <c r="A180" t="s">
        <v>365</v>
      </c>
      <c r="B180">
        <v>179</v>
      </c>
      <c r="C180">
        <v>384</v>
      </c>
      <c r="D180">
        <v>-270</v>
      </c>
      <c r="E180">
        <v>962</v>
      </c>
      <c r="F180" t="s">
        <v>834</v>
      </c>
    </row>
    <row r="181" spans="1:6" x14ac:dyDescent="0.25">
      <c r="A181" t="s">
        <v>366</v>
      </c>
      <c r="B181">
        <v>180</v>
      </c>
      <c r="C181">
        <v>192.3</v>
      </c>
      <c r="D181">
        <v>-120.9</v>
      </c>
      <c r="E181">
        <v>1094</v>
      </c>
      <c r="F181" t="s">
        <v>809</v>
      </c>
    </row>
    <row r="182" spans="1:6" x14ac:dyDescent="0.25">
      <c r="A182" t="s">
        <v>367</v>
      </c>
      <c r="B182">
        <v>181</v>
      </c>
      <c r="C182">
        <v>0</v>
      </c>
      <c r="D182">
        <v>0</v>
      </c>
      <c r="E182">
        <v>1094</v>
      </c>
      <c r="F182" t="s">
        <v>836</v>
      </c>
    </row>
    <row r="183" spans="1:6" x14ac:dyDescent="0.25">
      <c r="A183" t="s">
        <v>368</v>
      </c>
      <c r="B183">
        <v>182</v>
      </c>
      <c r="C183">
        <v>126</v>
      </c>
      <c r="D183">
        <v>0</v>
      </c>
      <c r="E183">
        <v>1094</v>
      </c>
      <c r="F183" t="s">
        <v>836</v>
      </c>
    </row>
    <row r="184" spans="1:6" x14ac:dyDescent="0.25">
      <c r="A184" t="s">
        <v>369</v>
      </c>
      <c r="B184">
        <v>183</v>
      </c>
      <c r="C184">
        <v>258</v>
      </c>
      <c r="D184">
        <v>0</v>
      </c>
      <c r="E184">
        <v>1094</v>
      </c>
      <c r="F184" t="s">
        <v>836</v>
      </c>
    </row>
    <row r="185" spans="1:6" x14ac:dyDescent="0.25">
      <c r="A185" t="s">
        <v>370</v>
      </c>
      <c r="B185">
        <v>184</v>
      </c>
      <c r="C185">
        <v>384</v>
      </c>
      <c r="D185">
        <v>0</v>
      </c>
      <c r="E185">
        <v>1094</v>
      </c>
      <c r="F185" t="s">
        <v>836</v>
      </c>
    </row>
    <row r="186" spans="1:6" x14ac:dyDescent="0.25">
      <c r="A186" t="s">
        <v>371</v>
      </c>
      <c r="B186">
        <v>185</v>
      </c>
      <c r="C186">
        <v>192</v>
      </c>
      <c r="D186">
        <v>0</v>
      </c>
      <c r="E186">
        <v>1094</v>
      </c>
      <c r="F186" t="s">
        <v>837</v>
      </c>
    </row>
    <row r="187" spans="1:6" x14ac:dyDescent="0.25">
      <c r="A187" t="s">
        <v>372</v>
      </c>
      <c r="B187">
        <v>186</v>
      </c>
      <c r="C187">
        <v>126</v>
      </c>
      <c r="D187">
        <v>-25.625</v>
      </c>
      <c r="E187">
        <v>1094</v>
      </c>
      <c r="F187" t="s">
        <v>817</v>
      </c>
    </row>
    <row r="188" spans="1:6" x14ac:dyDescent="0.25">
      <c r="A188" t="s">
        <v>373</v>
      </c>
      <c r="B188">
        <v>187</v>
      </c>
      <c r="C188">
        <v>258</v>
      </c>
      <c r="D188">
        <v>-25.625</v>
      </c>
      <c r="E188">
        <v>1094</v>
      </c>
      <c r="F188" t="s">
        <v>817</v>
      </c>
    </row>
    <row r="189" spans="1:6" x14ac:dyDescent="0.25">
      <c r="A189" t="s">
        <v>374</v>
      </c>
      <c r="B189">
        <v>188</v>
      </c>
      <c r="C189">
        <v>0</v>
      </c>
      <c r="D189">
        <v>-60</v>
      </c>
      <c r="E189">
        <v>1094</v>
      </c>
      <c r="F189" t="s">
        <v>837</v>
      </c>
    </row>
    <row r="190" spans="1:6" x14ac:dyDescent="0.25">
      <c r="A190" t="s">
        <v>375</v>
      </c>
      <c r="B190">
        <v>189</v>
      </c>
      <c r="C190">
        <v>384</v>
      </c>
      <c r="D190">
        <v>-60</v>
      </c>
      <c r="E190">
        <v>1094</v>
      </c>
      <c r="F190" t="s">
        <v>837</v>
      </c>
    </row>
    <row r="191" spans="1:6" x14ac:dyDescent="0.25">
      <c r="A191" t="s">
        <v>376</v>
      </c>
      <c r="B191">
        <v>190</v>
      </c>
      <c r="C191">
        <v>0</v>
      </c>
      <c r="D191">
        <v>-120</v>
      </c>
      <c r="E191">
        <v>1094</v>
      </c>
      <c r="F191" t="s">
        <v>836</v>
      </c>
    </row>
    <row r="192" spans="1:6" x14ac:dyDescent="0.25">
      <c r="A192" t="s">
        <v>377</v>
      </c>
      <c r="B192">
        <v>191</v>
      </c>
      <c r="C192">
        <v>126</v>
      </c>
      <c r="D192">
        <v>-120</v>
      </c>
      <c r="E192">
        <v>1094</v>
      </c>
      <c r="F192" t="s">
        <v>836</v>
      </c>
    </row>
    <row r="193" spans="1:6" x14ac:dyDescent="0.25">
      <c r="A193" t="s">
        <v>378</v>
      </c>
      <c r="B193">
        <v>192</v>
      </c>
      <c r="C193">
        <v>258</v>
      </c>
      <c r="D193">
        <v>-120</v>
      </c>
      <c r="E193">
        <v>1094</v>
      </c>
      <c r="F193" t="s">
        <v>836</v>
      </c>
    </row>
    <row r="194" spans="1:6" x14ac:dyDescent="0.25">
      <c r="A194" t="s">
        <v>379</v>
      </c>
      <c r="B194">
        <v>193</v>
      </c>
      <c r="C194">
        <v>384</v>
      </c>
      <c r="D194">
        <v>-120</v>
      </c>
      <c r="E194">
        <v>1094</v>
      </c>
      <c r="F194" t="s">
        <v>836</v>
      </c>
    </row>
    <row r="195" spans="1:6" x14ac:dyDescent="0.25">
      <c r="A195" t="s">
        <v>380</v>
      </c>
      <c r="B195">
        <v>194</v>
      </c>
      <c r="C195">
        <v>126</v>
      </c>
      <c r="D195">
        <v>-216</v>
      </c>
      <c r="E195">
        <v>1094</v>
      </c>
      <c r="F195" t="s">
        <v>836</v>
      </c>
    </row>
    <row r="196" spans="1:6" x14ac:dyDescent="0.25">
      <c r="A196" t="s">
        <v>381</v>
      </c>
      <c r="B196">
        <v>195</v>
      </c>
      <c r="C196">
        <v>258</v>
      </c>
      <c r="D196">
        <v>-216</v>
      </c>
      <c r="E196">
        <v>1094</v>
      </c>
      <c r="F196" t="s">
        <v>836</v>
      </c>
    </row>
    <row r="197" spans="1:6" x14ac:dyDescent="0.25">
      <c r="A197" t="s">
        <v>382</v>
      </c>
      <c r="B197">
        <v>196</v>
      </c>
      <c r="C197">
        <v>192</v>
      </c>
      <c r="D197">
        <v>-216</v>
      </c>
      <c r="E197">
        <v>1094</v>
      </c>
      <c r="F197" t="s">
        <v>837</v>
      </c>
    </row>
    <row r="198" spans="1:6" x14ac:dyDescent="0.25">
      <c r="A198" t="s">
        <v>383</v>
      </c>
      <c r="B198">
        <v>197</v>
      </c>
      <c r="C198">
        <v>126</v>
      </c>
      <c r="D198">
        <v>-241.625</v>
      </c>
      <c r="E198">
        <v>1094</v>
      </c>
      <c r="F198" t="s">
        <v>817</v>
      </c>
    </row>
    <row r="199" spans="1:6" x14ac:dyDescent="0.25">
      <c r="A199" t="s">
        <v>384</v>
      </c>
      <c r="B199">
        <v>198</v>
      </c>
      <c r="C199">
        <v>258</v>
      </c>
      <c r="D199">
        <v>-241.625</v>
      </c>
      <c r="E199">
        <v>1094</v>
      </c>
      <c r="F199" t="s">
        <v>817</v>
      </c>
    </row>
    <row r="200" spans="1:6" x14ac:dyDescent="0.25">
      <c r="A200" t="s">
        <v>385</v>
      </c>
      <c r="B200">
        <v>199</v>
      </c>
      <c r="C200">
        <v>0</v>
      </c>
      <c r="D200">
        <v>-270</v>
      </c>
      <c r="E200">
        <v>1094</v>
      </c>
      <c r="F200" t="s">
        <v>836</v>
      </c>
    </row>
    <row r="201" spans="1:6" x14ac:dyDescent="0.25">
      <c r="A201" t="s">
        <v>386</v>
      </c>
      <c r="B201">
        <v>200</v>
      </c>
      <c r="C201">
        <v>126</v>
      </c>
      <c r="D201">
        <v>-270</v>
      </c>
      <c r="E201">
        <v>1094</v>
      </c>
      <c r="F201" t="s">
        <v>836</v>
      </c>
    </row>
    <row r="202" spans="1:6" x14ac:dyDescent="0.25">
      <c r="A202" t="s">
        <v>387</v>
      </c>
      <c r="B202">
        <v>201</v>
      </c>
      <c r="C202">
        <v>258</v>
      </c>
      <c r="D202">
        <v>-270</v>
      </c>
      <c r="E202">
        <v>1094</v>
      </c>
      <c r="F202" t="s">
        <v>836</v>
      </c>
    </row>
    <row r="203" spans="1:6" x14ac:dyDescent="0.25">
      <c r="A203" t="s">
        <v>388</v>
      </c>
      <c r="B203">
        <v>202</v>
      </c>
      <c r="C203">
        <v>384</v>
      </c>
      <c r="D203">
        <v>-270</v>
      </c>
      <c r="E203">
        <v>1094</v>
      </c>
      <c r="F203" t="s">
        <v>836</v>
      </c>
    </row>
    <row r="204" spans="1:6" x14ac:dyDescent="0.25">
      <c r="A204" t="s">
        <v>389</v>
      </c>
      <c r="B204">
        <v>203</v>
      </c>
      <c r="C204">
        <v>192.3</v>
      </c>
      <c r="D204">
        <v>-122.3</v>
      </c>
      <c r="E204">
        <v>1226</v>
      </c>
      <c r="F204" t="s">
        <v>809</v>
      </c>
    </row>
    <row r="205" spans="1:6" x14ac:dyDescent="0.25">
      <c r="A205" t="s">
        <v>390</v>
      </c>
      <c r="B205">
        <v>204</v>
      </c>
      <c r="C205">
        <v>0</v>
      </c>
      <c r="D205">
        <v>0</v>
      </c>
      <c r="E205">
        <v>1226</v>
      </c>
      <c r="F205" t="s">
        <v>838</v>
      </c>
    </row>
    <row r="206" spans="1:6" x14ac:dyDescent="0.25">
      <c r="A206" t="s">
        <v>391</v>
      </c>
      <c r="B206">
        <v>205</v>
      </c>
      <c r="C206">
        <v>126</v>
      </c>
      <c r="D206">
        <v>0</v>
      </c>
      <c r="E206">
        <v>1226</v>
      </c>
      <c r="F206" t="s">
        <v>838</v>
      </c>
    </row>
    <row r="207" spans="1:6" x14ac:dyDescent="0.25">
      <c r="A207" t="s">
        <v>392</v>
      </c>
      <c r="B207">
        <v>206</v>
      </c>
      <c r="C207">
        <v>258</v>
      </c>
      <c r="D207">
        <v>0</v>
      </c>
      <c r="E207">
        <v>1226</v>
      </c>
      <c r="F207" t="s">
        <v>838</v>
      </c>
    </row>
    <row r="208" spans="1:6" x14ac:dyDescent="0.25">
      <c r="A208" t="s">
        <v>393</v>
      </c>
      <c r="B208">
        <v>207</v>
      </c>
      <c r="C208">
        <v>384</v>
      </c>
      <c r="D208">
        <v>0</v>
      </c>
      <c r="E208">
        <v>1226</v>
      </c>
      <c r="F208" t="s">
        <v>838</v>
      </c>
    </row>
    <row r="209" spans="1:6" x14ac:dyDescent="0.25">
      <c r="A209" t="s">
        <v>394</v>
      </c>
      <c r="B209">
        <v>208</v>
      </c>
      <c r="C209">
        <v>192</v>
      </c>
      <c r="D209">
        <v>0</v>
      </c>
      <c r="E209">
        <v>1226</v>
      </c>
      <c r="F209" t="s">
        <v>839</v>
      </c>
    </row>
    <row r="210" spans="1:6" x14ac:dyDescent="0.25">
      <c r="A210" t="s">
        <v>395</v>
      </c>
      <c r="B210">
        <v>209</v>
      </c>
      <c r="C210">
        <v>126</v>
      </c>
      <c r="D210">
        <v>-25.625</v>
      </c>
      <c r="E210">
        <v>1226</v>
      </c>
      <c r="F210" t="s">
        <v>818</v>
      </c>
    </row>
    <row r="211" spans="1:6" x14ac:dyDescent="0.25">
      <c r="A211" t="s">
        <v>396</v>
      </c>
      <c r="B211">
        <v>210</v>
      </c>
      <c r="C211">
        <v>258</v>
      </c>
      <c r="D211">
        <v>-25.625</v>
      </c>
      <c r="E211">
        <v>1226</v>
      </c>
      <c r="F211" t="s">
        <v>818</v>
      </c>
    </row>
    <row r="212" spans="1:6" x14ac:dyDescent="0.25">
      <c r="A212" t="s">
        <v>397</v>
      </c>
      <c r="B212">
        <v>211</v>
      </c>
      <c r="C212">
        <v>0</v>
      </c>
      <c r="D212">
        <v>-60</v>
      </c>
      <c r="E212">
        <v>1226</v>
      </c>
      <c r="F212" t="s">
        <v>839</v>
      </c>
    </row>
    <row r="213" spans="1:6" x14ac:dyDescent="0.25">
      <c r="A213" t="s">
        <v>398</v>
      </c>
      <c r="B213">
        <v>212</v>
      </c>
      <c r="C213">
        <v>384</v>
      </c>
      <c r="D213">
        <v>-60</v>
      </c>
      <c r="E213">
        <v>1226</v>
      </c>
      <c r="F213" t="s">
        <v>839</v>
      </c>
    </row>
    <row r="214" spans="1:6" x14ac:dyDescent="0.25">
      <c r="A214" t="s">
        <v>399</v>
      </c>
      <c r="B214">
        <v>213</v>
      </c>
      <c r="C214">
        <v>0</v>
      </c>
      <c r="D214">
        <v>-120</v>
      </c>
      <c r="E214">
        <v>1226</v>
      </c>
      <c r="F214" t="s">
        <v>838</v>
      </c>
    </row>
    <row r="215" spans="1:6" x14ac:dyDescent="0.25">
      <c r="A215" t="s">
        <v>400</v>
      </c>
      <c r="B215">
        <v>214</v>
      </c>
      <c r="C215">
        <v>126</v>
      </c>
      <c r="D215">
        <v>-120</v>
      </c>
      <c r="E215">
        <v>1226</v>
      </c>
      <c r="F215" t="s">
        <v>838</v>
      </c>
    </row>
    <row r="216" spans="1:6" x14ac:dyDescent="0.25">
      <c r="A216" t="s">
        <v>401</v>
      </c>
      <c r="B216">
        <v>215</v>
      </c>
      <c r="C216">
        <v>258</v>
      </c>
      <c r="D216">
        <v>-120</v>
      </c>
      <c r="E216">
        <v>1226</v>
      </c>
      <c r="F216" t="s">
        <v>838</v>
      </c>
    </row>
    <row r="217" spans="1:6" x14ac:dyDescent="0.25">
      <c r="A217" t="s">
        <v>402</v>
      </c>
      <c r="B217">
        <v>216</v>
      </c>
      <c r="C217">
        <v>384</v>
      </c>
      <c r="D217">
        <v>-120</v>
      </c>
      <c r="E217">
        <v>1226</v>
      </c>
      <c r="F217" t="s">
        <v>838</v>
      </c>
    </row>
    <row r="218" spans="1:6" x14ac:dyDescent="0.25">
      <c r="A218" t="s">
        <v>403</v>
      </c>
      <c r="B218">
        <v>217</v>
      </c>
      <c r="C218">
        <v>126</v>
      </c>
      <c r="D218">
        <v>-216</v>
      </c>
      <c r="E218">
        <v>1226</v>
      </c>
      <c r="F218" t="s">
        <v>838</v>
      </c>
    </row>
    <row r="219" spans="1:6" x14ac:dyDescent="0.25">
      <c r="A219" t="s">
        <v>404</v>
      </c>
      <c r="B219">
        <v>218</v>
      </c>
      <c r="C219">
        <v>258</v>
      </c>
      <c r="D219">
        <v>-216</v>
      </c>
      <c r="E219">
        <v>1226</v>
      </c>
      <c r="F219" t="s">
        <v>838</v>
      </c>
    </row>
    <row r="220" spans="1:6" x14ac:dyDescent="0.25">
      <c r="A220" t="s">
        <v>405</v>
      </c>
      <c r="B220">
        <v>219</v>
      </c>
      <c r="C220">
        <v>192</v>
      </c>
      <c r="D220">
        <v>-216</v>
      </c>
      <c r="E220">
        <v>1226</v>
      </c>
      <c r="F220" t="s">
        <v>839</v>
      </c>
    </row>
    <row r="221" spans="1:6" x14ac:dyDescent="0.25">
      <c r="A221" t="s">
        <v>406</v>
      </c>
      <c r="B221">
        <v>220</v>
      </c>
      <c r="C221">
        <v>126</v>
      </c>
      <c r="D221">
        <v>-241.625</v>
      </c>
      <c r="E221">
        <v>1226</v>
      </c>
      <c r="F221" t="s">
        <v>818</v>
      </c>
    </row>
    <row r="222" spans="1:6" x14ac:dyDescent="0.25">
      <c r="A222" t="s">
        <v>407</v>
      </c>
      <c r="B222">
        <v>221</v>
      </c>
      <c r="C222">
        <v>258</v>
      </c>
      <c r="D222">
        <v>-241.625</v>
      </c>
      <c r="E222">
        <v>1226</v>
      </c>
      <c r="F222" t="s">
        <v>818</v>
      </c>
    </row>
    <row r="223" spans="1:6" x14ac:dyDescent="0.25">
      <c r="A223" t="s">
        <v>408</v>
      </c>
      <c r="B223">
        <v>222</v>
      </c>
      <c r="C223">
        <v>0</v>
      </c>
      <c r="D223">
        <v>-270</v>
      </c>
      <c r="E223">
        <v>1226</v>
      </c>
      <c r="F223" t="s">
        <v>838</v>
      </c>
    </row>
    <row r="224" spans="1:6" x14ac:dyDescent="0.25">
      <c r="A224" t="s">
        <v>409</v>
      </c>
      <c r="B224">
        <v>223</v>
      </c>
      <c r="C224">
        <v>126</v>
      </c>
      <c r="D224">
        <v>-270</v>
      </c>
      <c r="E224">
        <v>1226</v>
      </c>
      <c r="F224" t="s">
        <v>838</v>
      </c>
    </row>
    <row r="225" spans="1:6" x14ac:dyDescent="0.25">
      <c r="A225" t="s">
        <v>410</v>
      </c>
      <c r="B225">
        <v>224</v>
      </c>
      <c r="C225">
        <v>258</v>
      </c>
      <c r="D225">
        <v>-270</v>
      </c>
      <c r="E225">
        <v>1226</v>
      </c>
      <c r="F225" t="s">
        <v>838</v>
      </c>
    </row>
    <row r="226" spans="1:6" x14ac:dyDescent="0.25">
      <c r="A226" t="s">
        <v>411</v>
      </c>
      <c r="B226">
        <v>225</v>
      </c>
      <c r="C226">
        <v>384</v>
      </c>
      <c r="D226">
        <v>-270</v>
      </c>
      <c r="E226">
        <v>1226</v>
      </c>
      <c r="F226" t="s">
        <v>838</v>
      </c>
    </row>
    <row r="227" spans="1:6" x14ac:dyDescent="0.25">
      <c r="A227" t="s">
        <v>412</v>
      </c>
      <c r="B227">
        <v>226</v>
      </c>
      <c r="C227">
        <v>192.2</v>
      </c>
      <c r="D227">
        <v>-123.4</v>
      </c>
      <c r="E227">
        <v>1358</v>
      </c>
      <c r="F227" t="s">
        <v>809</v>
      </c>
    </row>
    <row r="228" spans="1:6" x14ac:dyDescent="0.25">
      <c r="A228" t="s">
        <v>413</v>
      </c>
      <c r="B228">
        <v>227</v>
      </c>
      <c r="C228">
        <v>0</v>
      </c>
      <c r="D228">
        <v>0</v>
      </c>
      <c r="E228">
        <v>1358</v>
      </c>
      <c r="F228" t="s">
        <v>840</v>
      </c>
    </row>
    <row r="229" spans="1:6" x14ac:dyDescent="0.25">
      <c r="A229" t="s">
        <v>414</v>
      </c>
      <c r="B229">
        <v>228</v>
      </c>
      <c r="C229">
        <v>126</v>
      </c>
      <c r="D229">
        <v>0</v>
      </c>
      <c r="E229">
        <v>1358</v>
      </c>
      <c r="F229" t="s">
        <v>840</v>
      </c>
    </row>
    <row r="230" spans="1:6" x14ac:dyDescent="0.25">
      <c r="A230" t="s">
        <v>415</v>
      </c>
      <c r="B230">
        <v>229</v>
      </c>
      <c r="C230">
        <v>258</v>
      </c>
      <c r="D230">
        <v>0</v>
      </c>
      <c r="E230">
        <v>1358</v>
      </c>
      <c r="F230" t="s">
        <v>840</v>
      </c>
    </row>
    <row r="231" spans="1:6" x14ac:dyDescent="0.25">
      <c r="A231" t="s">
        <v>416</v>
      </c>
      <c r="B231">
        <v>230</v>
      </c>
      <c r="C231">
        <v>384</v>
      </c>
      <c r="D231">
        <v>0</v>
      </c>
      <c r="E231">
        <v>1358</v>
      </c>
      <c r="F231" t="s">
        <v>840</v>
      </c>
    </row>
    <row r="232" spans="1:6" x14ac:dyDescent="0.25">
      <c r="A232" t="s">
        <v>417</v>
      </c>
      <c r="B232">
        <v>231</v>
      </c>
      <c r="C232">
        <v>192</v>
      </c>
      <c r="D232">
        <v>0</v>
      </c>
      <c r="E232">
        <v>1358</v>
      </c>
      <c r="F232" t="s">
        <v>841</v>
      </c>
    </row>
    <row r="233" spans="1:6" x14ac:dyDescent="0.25">
      <c r="A233" t="s">
        <v>418</v>
      </c>
      <c r="B233">
        <v>232</v>
      </c>
      <c r="C233">
        <v>126</v>
      </c>
      <c r="D233">
        <v>-25.625</v>
      </c>
      <c r="E233">
        <v>1358</v>
      </c>
      <c r="F233" t="s">
        <v>819</v>
      </c>
    </row>
    <row r="234" spans="1:6" x14ac:dyDescent="0.25">
      <c r="A234" t="s">
        <v>419</v>
      </c>
      <c r="B234">
        <v>233</v>
      </c>
      <c r="C234">
        <v>258</v>
      </c>
      <c r="D234">
        <v>-25.625</v>
      </c>
      <c r="E234">
        <v>1358</v>
      </c>
      <c r="F234" t="s">
        <v>819</v>
      </c>
    </row>
    <row r="235" spans="1:6" x14ac:dyDescent="0.25">
      <c r="A235" t="s">
        <v>420</v>
      </c>
      <c r="B235">
        <v>234</v>
      </c>
      <c r="C235">
        <v>0</v>
      </c>
      <c r="D235">
        <v>-60</v>
      </c>
      <c r="E235">
        <v>1358</v>
      </c>
      <c r="F235" t="s">
        <v>841</v>
      </c>
    </row>
    <row r="236" spans="1:6" x14ac:dyDescent="0.25">
      <c r="A236" t="s">
        <v>421</v>
      </c>
      <c r="B236">
        <v>235</v>
      </c>
      <c r="C236">
        <v>384</v>
      </c>
      <c r="D236">
        <v>-60</v>
      </c>
      <c r="E236">
        <v>1358</v>
      </c>
      <c r="F236" t="s">
        <v>841</v>
      </c>
    </row>
    <row r="237" spans="1:6" x14ac:dyDescent="0.25">
      <c r="A237" t="s">
        <v>422</v>
      </c>
      <c r="B237">
        <v>236</v>
      </c>
      <c r="C237">
        <v>0</v>
      </c>
      <c r="D237">
        <v>-120</v>
      </c>
      <c r="E237">
        <v>1358</v>
      </c>
      <c r="F237" t="s">
        <v>840</v>
      </c>
    </row>
    <row r="238" spans="1:6" x14ac:dyDescent="0.25">
      <c r="A238" t="s">
        <v>423</v>
      </c>
      <c r="B238">
        <v>237</v>
      </c>
      <c r="C238">
        <v>126</v>
      </c>
      <c r="D238">
        <v>-120</v>
      </c>
      <c r="E238">
        <v>1358</v>
      </c>
      <c r="F238" t="s">
        <v>840</v>
      </c>
    </row>
    <row r="239" spans="1:6" x14ac:dyDescent="0.25">
      <c r="A239" t="s">
        <v>424</v>
      </c>
      <c r="B239">
        <v>238</v>
      </c>
      <c r="C239">
        <v>258</v>
      </c>
      <c r="D239">
        <v>-120</v>
      </c>
      <c r="E239">
        <v>1358</v>
      </c>
      <c r="F239" t="s">
        <v>840</v>
      </c>
    </row>
    <row r="240" spans="1:6" x14ac:dyDescent="0.25">
      <c r="A240" t="s">
        <v>425</v>
      </c>
      <c r="B240">
        <v>239</v>
      </c>
      <c r="C240">
        <v>384</v>
      </c>
      <c r="D240">
        <v>-120</v>
      </c>
      <c r="E240">
        <v>1358</v>
      </c>
      <c r="F240" t="s">
        <v>840</v>
      </c>
    </row>
    <row r="241" spans="1:6" x14ac:dyDescent="0.25">
      <c r="A241" t="s">
        <v>426</v>
      </c>
      <c r="B241">
        <v>240</v>
      </c>
      <c r="C241">
        <v>126</v>
      </c>
      <c r="D241">
        <v>-216</v>
      </c>
      <c r="E241">
        <v>1358</v>
      </c>
      <c r="F241" t="s">
        <v>840</v>
      </c>
    </row>
    <row r="242" spans="1:6" x14ac:dyDescent="0.25">
      <c r="A242" t="s">
        <v>427</v>
      </c>
      <c r="B242">
        <v>241</v>
      </c>
      <c r="C242">
        <v>258</v>
      </c>
      <c r="D242">
        <v>-216</v>
      </c>
      <c r="E242">
        <v>1358</v>
      </c>
      <c r="F242" t="s">
        <v>840</v>
      </c>
    </row>
    <row r="243" spans="1:6" x14ac:dyDescent="0.25">
      <c r="A243" t="s">
        <v>428</v>
      </c>
      <c r="B243">
        <v>242</v>
      </c>
      <c r="C243">
        <v>192</v>
      </c>
      <c r="D243">
        <v>-216</v>
      </c>
      <c r="E243">
        <v>1358</v>
      </c>
      <c r="F243" t="s">
        <v>841</v>
      </c>
    </row>
    <row r="244" spans="1:6" x14ac:dyDescent="0.25">
      <c r="A244" t="s">
        <v>429</v>
      </c>
      <c r="B244">
        <v>243</v>
      </c>
      <c r="C244">
        <v>126</v>
      </c>
      <c r="D244">
        <v>-241.625</v>
      </c>
      <c r="E244">
        <v>1358</v>
      </c>
      <c r="F244" t="s">
        <v>819</v>
      </c>
    </row>
    <row r="245" spans="1:6" x14ac:dyDescent="0.25">
      <c r="A245" t="s">
        <v>430</v>
      </c>
      <c r="B245">
        <v>244</v>
      </c>
      <c r="C245">
        <v>258</v>
      </c>
      <c r="D245">
        <v>-241.625</v>
      </c>
      <c r="E245">
        <v>1358</v>
      </c>
      <c r="F245" t="s">
        <v>819</v>
      </c>
    </row>
    <row r="246" spans="1:6" x14ac:dyDescent="0.25">
      <c r="A246" t="s">
        <v>431</v>
      </c>
      <c r="B246">
        <v>245</v>
      </c>
      <c r="C246">
        <v>0</v>
      </c>
      <c r="D246">
        <v>-270</v>
      </c>
      <c r="E246">
        <v>1358</v>
      </c>
      <c r="F246" t="s">
        <v>840</v>
      </c>
    </row>
    <row r="247" spans="1:6" x14ac:dyDescent="0.25">
      <c r="A247" t="s">
        <v>432</v>
      </c>
      <c r="B247">
        <v>246</v>
      </c>
      <c r="C247">
        <v>126</v>
      </c>
      <c r="D247">
        <v>-270</v>
      </c>
      <c r="E247">
        <v>1358</v>
      </c>
      <c r="F247" t="s">
        <v>840</v>
      </c>
    </row>
    <row r="248" spans="1:6" x14ac:dyDescent="0.25">
      <c r="A248" t="s">
        <v>433</v>
      </c>
      <c r="B248">
        <v>247</v>
      </c>
      <c r="C248">
        <v>258</v>
      </c>
      <c r="D248">
        <v>-270</v>
      </c>
      <c r="E248">
        <v>1358</v>
      </c>
      <c r="F248" t="s">
        <v>840</v>
      </c>
    </row>
    <row r="249" spans="1:6" x14ac:dyDescent="0.25">
      <c r="A249" t="s">
        <v>434</v>
      </c>
      <c r="B249">
        <v>248</v>
      </c>
      <c r="C249">
        <v>384</v>
      </c>
      <c r="D249">
        <v>-270</v>
      </c>
      <c r="E249">
        <v>1358</v>
      </c>
      <c r="F249" t="s">
        <v>840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276E2-1143-4A89-B54C-8B9EDC574D84}">
  <dimension ref="A1:G29"/>
  <sheetViews>
    <sheetView workbookViewId="0">
      <selection activeCell="H1" sqref="H1:XFD1048576"/>
    </sheetView>
  </sheetViews>
  <sheetFormatPr defaultColWidth="0" defaultRowHeight="15" x14ac:dyDescent="0.25"/>
  <cols>
    <col min="1" max="7" width="9.140625" customWidth="1"/>
    <col min="8" max="16384" width="9.140625" hidden="1"/>
  </cols>
  <sheetData>
    <row r="1" spans="1:7" x14ac:dyDescent="0.25">
      <c r="A1" t="s">
        <v>21</v>
      </c>
      <c r="B1" t="s">
        <v>18</v>
      </c>
      <c r="C1" t="s">
        <v>19</v>
      </c>
      <c r="D1" t="s">
        <v>20</v>
      </c>
      <c r="E1" t="s">
        <v>22</v>
      </c>
      <c r="F1" t="s">
        <v>23</v>
      </c>
      <c r="G1" t="s">
        <v>24</v>
      </c>
    </row>
    <row r="2" spans="1:7" x14ac:dyDescent="0.25">
      <c r="A2" t="s">
        <v>187</v>
      </c>
      <c r="B2" s="23" t="s">
        <v>25</v>
      </c>
      <c r="C2" s="23" t="s">
        <v>25</v>
      </c>
      <c r="D2" s="23" t="s">
        <v>25</v>
      </c>
      <c r="E2" s="23" t="s">
        <v>167</v>
      </c>
      <c r="F2" s="23" t="s">
        <v>167</v>
      </c>
      <c r="G2" s="23" t="s">
        <v>167</v>
      </c>
    </row>
    <row r="3" spans="1:7" x14ac:dyDescent="0.25">
      <c r="A3" t="s">
        <v>188</v>
      </c>
      <c r="B3" s="23" t="s">
        <v>25</v>
      </c>
      <c r="C3" s="23" t="s">
        <v>25</v>
      </c>
      <c r="D3" s="23" t="s">
        <v>25</v>
      </c>
      <c r="E3" s="23" t="s">
        <v>167</v>
      </c>
      <c r="F3" s="23" t="s">
        <v>167</v>
      </c>
      <c r="G3" s="23" t="s">
        <v>167</v>
      </c>
    </row>
    <row r="4" spans="1:7" x14ac:dyDescent="0.25">
      <c r="A4" t="s">
        <v>189</v>
      </c>
      <c r="B4" s="23" t="s">
        <v>25</v>
      </c>
      <c r="C4" s="23" t="s">
        <v>25</v>
      </c>
      <c r="D4" s="23" t="s">
        <v>25</v>
      </c>
      <c r="E4" s="23" t="s">
        <v>167</v>
      </c>
      <c r="F4" s="23" t="s">
        <v>167</v>
      </c>
      <c r="G4" s="23" t="s">
        <v>167</v>
      </c>
    </row>
    <row r="5" spans="1:7" x14ac:dyDescent="0.25">
      <c r="A5" t="s">
        <v>190</v>
      </c>
      <c r="B5" s="23" t="s">
        <v>25</v>
      </c>
      <c r="C5" s="23" t="s">
        <v>25</v>
      </c>
      <c r="D5" s="23" t="s">
        <v>25</v>
      </c>
      <c r="E5" s="23" t="s">
        <v>167</v>
      </c>
      <c r="F5" s="23" t="s">
        <v>167</v>
      </c>
      <c r="G5" s="23" t="s">
        <v>167</v>
      </c>
    </row>
    <row r="6" spans="1:7" x14ac:dyDescent="0.25">
      <c r="A6" t="s">
        <v>191</v>
      </c>
      <c r="B6" s="23" t="s">
        <v>25</v>
      </c>
      <c r="C6" s="23" t="s">
        <v>25</v>
      </c>
      <c r="D6" s="23" t="s">
        <v>25</v>
      </c>
      <c r="E6" s="23" t="s">
        <v>25</v>
      </c>
      <c r="F6" s="23" t="s">
        <v>25</v>
      </c>
      <c r="G6" s="23" t="s">
        <v>25</v>
      </c>
    </row>
    <row r="7" spans="1:7" x14ac:dyDescent="0.25">
      <c r="A7" t="s">
        <v>192</v>
      </c>
      <c r="B7" s="23" t="s">
        <v>25</v>
      </c>
      <c r="C7" s="23" t="s">
        <v>25</v>
      </c>
      <c r="D7" s="23" t="s">
        <v>25</v>
      </c>
      <c r="E7" s="23" t="s">
        <v>25</v>
      </c>
      <c r="F7" s="23" t="s">
        <v>25</v>
      </c>
      <c r="G7" s="23" t="s">
        <v>25</v>
      </c>
    </row>
    <row r="8" spans="1:7" x14ac:dyDescent="0.25">
      <c r="A8" t="s">
        <v>193</v>
      </c>
      <c r="B8" s="23" t="s">
        <v>25</v>
      </c>
      <c r="C8" s="23" t="s">
        <v>25</v>
      </c>
      <c r="D8" s="23" t="s">
        <v>25</v>
      </c>
      <c r="E8" s="23" t="s">
        <v>25</v>
      </c>
      <c r="F8" s="23" t="s">
        <v>25</v>
      </c>
      <c r="G8" s="23" t="s">
        <v>25</v>
      </c>
    </row>
    <row r="9" spans="1:7" x14ac:dyDescent="0.25">
      <c r="A9" t="s">
        <v>194</v>
      </c>
      <c r="B9" s="23" t="s">
        <v>25</v>
      </c>
      <c r="C9" s="23" t="s">
        <v>25</v>
      </c>
      <c r="D9" s="23" t="s">
        <v>25</v>
      </c>
      <c r="E9" s="23" t="s">
        <v>167</v>
      </c>
      <c r="F9" s="23" t="s">
        <v>167</v>
      </c>
      <c r="G9" s="23" t="s">
        <v>167</v>
      </c>
    </row>
    <row r="10" spans="1:7" x14ac:dyDescent="0.25">
      <c r="A10" t="s">
        <v>195</v>
      </c>
      <c r="B10" s="23" t="s">
        <v>25</v>
      </c>
      <c r="C10" s="23" t="s">
        <v>25</v>
      </c>
      <c r="D10" s="23" t="s">
        <v>25</v>
      </c>
      <c r="E10" s="23" t="s">
        <v>167</v>
      </c>
      <c r="F10" s="23" t="s">
        <v>167</v>
      </c>
      <c r="G10" s="23" t="s">
        <v>167</v>
      </c>
    </row>
    <row r="11" spans="1:7" x14ac:dyDescent="0.25">
      <c r="A11" t="s">
        <v>196</v>
      </c>
      <c r="B11" s="23" t="s">
        <v>25</v>
      </c>
      <c r="C11" s="23" t="s">
        <v>25</v>
      </c>
      <c r="D11" s="23" t="s">
        <v>25</v>
      </c>
      <c r="E11" s="23" t="s">
        <v>167</v>
      </c>
      <c r="F11" s="23" t="s">
        <v>167</v>
      </c>
      <c r="G11" s="23" t="s">
        <v>167</v>
      </c>
    </row>
    <row r="12" spans="1:7" x14ac:dyDescent="0.25">
      <c r="A12" t="s">
        <v>197</v>
      </c>
      <c r="B12" s="23" t="s">
        <v>25</v>
      </c>
      <c r="C12" s="23" t="s">
        <v>25</v>
      </c>
      <c r="D12" s="23" t="s">
        <v>25</v>
      </c>
      <c r="E12" s="23" t="s">
        <v>167</v>
      </c>
      <c r="F12" s="23" t="s">
        <v>167</v>
      </c>
      <c r="G12" s="23" t="s">
        <v>167</v>
      </c>
    </row>
    <row r="13" spans="1:7" x14ac:dyDescent="0.25">
      <c r="A13" t="s">
        <v>198</v>
      </c>
      <c r="B13" s="23" t="s">
        <v>25</v>
      </c>
      <c r="C13" s="23" t="s">
        <v>25</v>
      </c>
      <c r="D13" s="23" t="s">
        <v>25</v>
      </c>
      <c r="E13" s="23" t="s">
        <v>167</v>
      </c>
      <c r="F13" s="23" t="s">
        <v>167</v>
      </c>
      <c r="G13" s="23" t="s">
        <v>167</v>
      </c>
    </row>
    <row r="14" spans="1:7" x14ac:dyDescent="0.25">
      <c r="A14" t="s">
        <v>199</v>
      </c>
      <c r="B14" s="23" t="s">
        <v>25</v>
      </c>
      <c r="C14" s="23" t="s">
        <v>25</v>
      </c>
      <c r="D14" s="23" t="s">
        <v>25</v>
      </c>
      <c r="E14" s="23" t="s">
        <v>167</v>
      </c>
      <c r="F14" s="23" t="s">
        <v>167</v>
      </c>
      <c r="G14" s="23" t="s">
        <v>167</v>
      </c>
    </row>
    <row r="15" spans="1:7" x14ac:dyDescent="0.25">
      <c r="A15" t="s">
        <v>200</v>
      </c>
      <c r="B15" s="23" t="s">
        <v>25</v>
      </c>
      <c r="C15" s="23" t="s">
        <v>25</v>
      </c>
      <c r="D15" s="23" t="s">
        <v>25</v>
      </c>
      <c r="E15" s="23" t="s">
        <v>25</v>
      </c>
      <c r="F15" s="23" t="s">
        <v>25</v>
      </c>
      <c r="G15" s="23" t="s">
        <v>25</v>
      </c>
    </row>
    <row r="16" spans="1:7" x14ac:dyDescent="0.25">
      <c r="A16" t="s">
        <v>201</v>
      </c>
      <c r="B16" s="23" t="s">
        <v>25</v>
      </c>
      <c r="C16" s="23" t="s">
        <v>25</v>
      </c>
      <c r="D16" s="23" t="s">
        <v>25</v>
      </c>
      <c r="E16" s="23" t="s">
        <v>167</v>
      </c>
      <c r="F16" s="23" t="s">
        <v>167</v>
      </c>
      <c r="G16" s="23" t="s">
        <v>167</v>
      </c>
    </row>
    <row r="17" spans="1:7" x14ac:dyDescent="0.25">
      <c r="A17" t="s">
        <v>202</v>
      </c>
      <c r="B17" s="23" t="s">
        <v>25</v>
      </c>
      <c r="C17" s="23" t="s">
        <v>25</v>
      </c>
      <c r="D17" s="23" t="s">
        <v>25</v>
      </c>
      <c r="E17" s="23" t="s">
        <v>167</v>
      </c>
      <c r="F17" s="23" t="s">
        <v>167</v>
      </c>
      <c r="G17" s="23" t="s">
        <v>167</v>
      </c>
    </row>
    <row r="18" spans="1:7" x14ac:dyDescent="0.25">
      <c r="A18" t="s">
        <v>203</v>
      </c>
      <c r="B18" s="23" t="s">
        <v>25</v>
      </c>
      <c r="C18" s="23" t="s">
        <v>25</v>
      </c>
      <c r="D18" s="23" t="s">
        <v>25</v>
      </c>
      <c r="E18" s="23" t="s">
        <v>167</v>
      </c>
      <c r="F18" s="23" t="s">
        <v>167</v>
      </c>
      <c r="G18" s="23" t="s">
        <v>167</v>
      </c>
    </row>
    <row r="19" spans="1:7" x14ac:dyDescent="0.25">
      <c r="A19" t="s">
        <v>204</v>
      </c>
      <c r="B19" s="23" t="s">
        <v>25</v>
      </c>
      <c r="C19" s="23" t="s">
        <v>25</v>
      </c>
      <c r="D19" s="23" t="s">
        <v>25</v>
      </c>
      <c r="E19" s="23" t="s">
        <v>167</v>
      </c>
      <c r="F19" s="23" t="s">
        <v>167</v>
      </c>
      <c r="G19" s="23" t="s">
        <v>167</v>
      </c>
    </row>
    <row r="20" spans="1:7" x14ac:dyDescent="0.25">
      <c r="A20" t="s">
        <v>205</v>
      </c>
      <c r="B20" s="23" t="s">
        <v>167</v>
      </c>
      <c r="C20" s="23" t="s">
        <v>167</v>
      </c>
      <c r="D20" s="23" t="s">
        <v>25</v>
      </c>
      <c r="E20" s="23" t="s">
        <v>25</v>
      </c>
      <c r="F20" s="23" t="s">
        <v>25</v>
      </c>
      <c r="G20" s="23" t="s">
        <v>167</v>
      </c>
    </row>
    <row r="21" spans="1:7" x14ac:dyDescent="0.25">
      <c r="A21" t="s">
        <v>228</v>
      </c>
      <c r="B21" s="23" t="s">
        <v>167</v>
      </c>
      <c r="C21" s="23" t="s">
        <v>167</v>
      </c>
      <c r="D21" s="23" t="s">
        <v>25</v>
      </c>
      <c r="E21" s="23" t="s">
        <v>25</v>
      </c>
      <c r="F21" s="23" t="s">
        <v>25</v>
      </c>
      <c r="G21" s="23" t="s">
        <v>167</v>
      </c>
    </row>
    <row r="22" spans="1:7" x14ac:dyDescent="0.25">
      <c r="A22" t="s">
        <v>251</v>
      </c>
      <c r="B22" s="23" t="s">
        <v>167</v>
      </c>
      <c r="C22" s="23" t="s">
        <v>167</v>
      </c>
      <c r="D22" s="23" t="s">
        <v>25</v>
      </c>
      <c r="E22" s="23" t="s">
        <v>25</v>
      </c>
      <c r="F22" s="23" t="s">
        <v>25</v>
      </c>
      <c r="G22" s="23" t="s">
        <v>167</v>
      </c>
    </row>
    <row r="23" spans="1:7" x14ac:dyDescent="0.25">
      <c r="A23" t="s">
        <v>274</v>
      </c>
      <c r="B23" s="23" t="s">
        <v>167</v>
      </c>
      <c r="C23" s="23" t="s">
        <v>167</v>
      </c>
      <c r="D23" s="23" t="s">
        <v>25</v>
      </c>
      <c r="E23" s="23" t="s">
        <v>25</v>
      </c>
      <c r="F23" s="23" t="s">
        <v>25</v>
      </c>
      <c r="G23" s="23" t="s">
        <v>167</v>
      </c>
    </row>
    <row r="24" spans="1:7" x14ac:dyDescent="0.25">
      <c r="A24" t="s">
        <v>297</v>
      </c>
      <c r="B24" s="23" t="s">
        <v>167</v>
      </c>
      <c r="C24" s="23" t="s">
        <v>167</v>
      </c>
      <c r="D24" s="23" t="s">
        <v>25</v>
      </c>
      <c r="E24" s="23" t="s">
        <v>25</v>
      </c>
      <c r="F24" s="23" t="s">
        <v>25</v>
      </c>
      <c r="G24" s="23" t="s">
        <v>167</v>
      </c>
    </row>
    <row r="25" spans="1:7" x14ac:dyDescent="0.25">
      <c r="A25" t="s">
        <v>320</v>
      </c>
      <c r="B25" s="23" t="s">
        <v>167</v>
      </c>
      <c r="C25" s="23" t="s">
        <v>167</v>
      </c>
      <c r="D25" s="23" t="s">
        <v>25</v>
      </c>
      <c r="E25" s="23" t="s">
        <v>25</v>
      </c>
      <c r="F25" s="23" t="s">
        <v>25</v>
      </c>
      <c r="G25" s="23" t="s">
        <v>167</v>
      </c>
    </row>
    <row r="26" spans="1:7" x14ac:dyDescent="0.25">
      <c r="A26" t="s">
        <v>343</v>
      </c>
      <c r="B26" s="23" t="s">
        <v>167</v>
      </c>
      <c r="C26" s="23" t="s">
        <v>167</v>
      </c>
      <c r="D26" s="23" t="s">
        <v>25</v>
      </c>
      <c r="E26" s="23" t="s">
        <v>25</v>
      </c>
      <c r="F26" s="23" t="s">
        <v>25</v>
      </c>
      <c r="G26" s="23" t="s">
        <v>167</v>
      </c>
    </row>
    <row r="27" spans="1:7" x14ac:dyDescent="0.25">
      <c r="A27" t="s">
        <v>366</v>
      </c>
      <c r="B27" s="23" t="s">
        <v>167</v>
      </c>
      <c r="C27" s="23" t="s">
        <v>167</v>
      </c>
      <c r="D27" s="23" t="s">
        <v>25</v>
      </c>
      <c r="E27" s="23" t="s">
        <v>25</v>
      </c>
      <c r="F27" s="23" t="s">
        <v>25</v>
      </c>
      <c r="G27" s="23" t="s">
        <v>167</v>
      </c>
    </row>
    <row r="28" spans="1:7" x14ac:dyDescent="0.25">
      <c r="A28" t="s">
        <v>389</v>
      </c>
      <c r="B28" s="23" t="s">
        <v>167</v>
      </c>
      <c r="C28" s="23" t="s">
        <v>167</v>
      </c>
      <c r="D28" s="23" t="s">
        <v>25</v>
      </c>
      <c r="E28" s="23" t="s">
        <v>25</v>
      </c>
      <c r="F28" s="23" t="s">
        <v>25</v>
      </c>
      <c r="G28" s="23" t="s">
        <v>167</v>
      </c>
    </row>
    <row r="29" spans="1:7" x14ac:dyDescent="0.25">
      <c r="A29" t="s">
        <v>412</v>
      </c>
      <c r="B29" s="23" t="s">
        <v>167</v>
      </c>
      <c r="C29" s="23" t="s">
        <v>167</v>
      </c>
      <c r="D29" s="23" t="s">
        <v>25</v>
      </c>
      <c r="E29" s="23" t="s">
        <v>25</v>
      </c>
      <c r="F29" s="23" t="s">
        <v>25</v>
      </c>
      <c r="G29" s="23" t="s">
        <v>167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9CBA9-41B8-4FDA-A727-5B697A120F08}">
  <dimension ref="A1:B181"/>
  <sheetViews>
    <sheetView workbookViewId="0">
      <selection activeCell="C1" sqref="C1:XFD1048576"/>
    </sheetView>
  </sheetViews>
  <sheetFormatPr defaultColWidth="0" defaultRowHeight="15" x14ac:dyDescent="0.25"/>
  <cols>
    <col min="1" max="2" width="20.7109375" customWidth="1"/>
    <col min="3" max="16384" width="9.140625" hidden="1"/>
  </cols>
  <sheetData>
    <row r="1" spans="1:2" x14ac:dyDescent="0.25">
      <c r="A1" t="s">
        <v>185</v>
      </c>
      <c r="B1" t="s">
        <v>186</v>
      </c>
    </row>
    <row r="2" spans="1:2" x14ac:dyDescent="0.25">
      <c r="A2" t="s">
        <v>206</v>
      </c>
      <c r="B2" t="s">
        <v>205</v>
      </c>
    </row>
    <row r="3" spans="1:2" x14ac:dyDescent="0.25">
      <c r="A3" t="s">
        <v>207</v>
      </c>
      <c r="B3" t="s">
        <v>205</v>
      </c>
    </row>
    <row r="4" spans="1:2" x14ac:dyDescent="0.25">
      <c r="A4" t="s">
        <v>208</v>
      </c>
      <c r="B4" t="s">
        <v>205</v>
      </c>
    </row>
    <row r="5" spans="1:2" x14ac:dyDescent="0.25">
      <c r="A5" t="s">
        <v>209</v>
      </c>
      <c r="B5" t="s">
        <v>205</v>
      </c>
    </row>
    <row r="6" spans="1:2" x14ac:dyDescent="0.25">
      <c r="A6" t="s">
        <v>210</v>
      </c>
      <c r="B6" t="s">
        <v>205</v>
      </c>
    </row>
    <row r="7" spans="1:2" x14ac:dyDescent="0.25">
      <c r="A7" t="s">
        <v>213</v>
      </c>
      <c r="B7" t="s">
        <v>205</v>
      </c>
    </row>
    <row r="8" spans="1:2" x14ac:dyDescent="0.25">
      <c r="A8" t="s">
        <v>214</v>
      </c>
      <c r="B8" t="s">
        <v>205</v>
      </c>
    </row>
    <row r="9" spans="1:2" x14ac:dyDescent="0.25">
      <c r="A9" t="s">
        <v>215</v>
      </c>
      <c r="B9" t="s">
        <v>205</v>
      </c>
    </row>
    <row r="10" spans="1:2" x14ac:dyDescent="0.25">
      <c r="A10" t="s">
        <v>216</v>
      </c>
      <c r="B10" t="s">
        <v>205</v>
      </c>
    </row>
    <row r="11" spans="1:2" x14ac:dyDescent="0.25">
      <c r="A11" t="s">
        <v>217</v>
      </c>
      <c r="B11" t="s">
        <v>205</v>
      </c>
    </row>
    <row r="12" spans="1:2" x14ac:dyDescent="0.25">
      <c r="A12" t="s">
        <v>218</v>
      </c>
      <c r="B12" t="s">
        <v>205</v>
      </c>
    </row>
    <row r="13" spans="1:2" x14ac:dyDescent="0.25">
      <c r="A13" t="s">
        <v>219</v>
      </c>
      <c r="B13" t="s">
        <v>205</v>
      </c>
    </row>
    <row r="14" spans="1:2" x14ac:dyDescent="0.25">
      <c r="A14" t="s">
        <v>220</v>
      </c>
      <c r="B14" t="s">
        <v>205</v>
      </c>
    </row>
    <row r="15" spans="1:2" x14ac:dyDescent="0.25">
      <c r="A15" t="s">
        <v>221</v>
      </c>
      <c r="B15" t="s">
        <v>205</v>
      </c>
    </row>
    <row r="16" spans="1:2" x14ac:dyDescent="0.25">
      <c r="A16" t="s">
        <v>224</v>
      </c>
      <c r="B16" t="s">
        <v>205</v>
      </c>
    </row>
    <row r="17" spans="1:2" x14ac:dyDescent="0.25">
      <c r="A17" t="s">
        <v>225</v>
      </c>
      <c r="B17" t="s">
        <v>205</v>
      </c>
    </row>
    <row r="18" spans="1:2" x14ac:dyDescent="0.25">
      <c r="A18" t="s">
        <v>226</v>
      </c>
      <c r="B18" t="s">
        <v>205</v>
      </c>
    </row>
    <row r="19" spans="1:2" x14ac:dyDescent="0.25">
      <c r="A19" t="s">
        <v>227</v>
      </c>
      <c r="B19" t="s">
        <v>205</v>
      </c>
    </row>
    <row r="20" spans="1:2" x14ac:dyDescent="0.25">
      <c r="A20" t="s">
        <v>229</v>
      </c>
      <c r="B20" t="s">
        <v>228</v>
      </c>
    </row>
    <row r="21" spans="1:2" x14ac:dyDescent="0.25">
      <c r="A21" t="s">
        <v>230</v>
      </c>
      <c r="B21" t="s">
        <v>228</v>
      </c>
    </row>
    <row r="22" spans="1:2" x14ac:dyDescent="0.25">
      <c r="A22" t="s">
        <v>231</v>
      </c>
      <c r="B22" t="s">
        <v>228</v>
      </c>
    </row>
    <row r="23" spans="1:2" x14ac:dyDescent="0.25">
      <c r="A23" t="s">
        <v>232</v>
      </c>
      <c r="B23" t="s">
        <v>228</v>
      </c>
    </row>
    <row r="24" spans="1:2" x14ac:dyDescent="0.25">
      <c r="A24" t="s">
        <v>233</v>
      </c>
      <c r="B24" t="s">
        <v>228</v>
      </c>
    </row>
    <row r="25" spans="1:2" x14ac:dyDescent="0.25">
      <c r="A25" t="s">
        <v>236</v>
      </c>
      <c r="B25" t="s">
        <v>228</v>
      </c>
    </row>
    <row r="26" spans="1:2" x14ac:dyDescent="0.25">
      <c r="A26" t="s">
        <v>237</v>
      </c>
      <c r="B26" t="s">
        <v>228</v>
      </c>
    </row>
    <row r="27" spans="1:2" x14ac:dyDescent="0.25">
      <c r="A27" t="s">
        <v>238</v>
      </c>
      <c r="B27" t="s">
        <v>228</v>
      </c>
    </row>
    <row r="28" spans="1:2" x14ac:dyDescent="0.25">
      <c r="A28" t="s">
        <v>239</v>
      </c>
      <c r="B28" t="s">
        <v>228</v>
      </c>
    </row>
    <row r="29" spans="1:2" x14ac:dyDescent="0.25">
      <c r="A29" t="s">
        <v>240</v>
      </c>
      <c r="B29" t="s">
        <v>228</v>
      </c>
    </row>
    <row r="30" spans="1:2" x14ac:dyDescent="0.25">
      <c r="A30" t="s">
        <v>241</v>
      </c>
      <c r="B30" t="s">
        <v>228</v>
      </c>
    </row>
    <row r="31" spans="1:2" x14ac:dyDescent="0.25">
      <c r="A31" t="s">
        <v>242</v>
      </c>
      <c r="B31" t="s">
        <v>228</v>
      </c>
    </row>
    <row r="32" spans="1:2" x14ac:dyDescent="0.25">
      <c r="A32" t="s">
        <v>243</v>
      </c>
      <c r="B32" t="s">
        <v>228</v>
      </c>
    </row>
    <row r="33" spans="1:2" x14ac:dyDescent="0.25">
      <c r="A33" t="s">
        <v>244</v>
      </c>
      <c r="B33" t="s">
        <v>228</v>
      </c>
    </row>
    <row r="34" spans="1:2" x14ac:dyDescent="0.25">
      <c r="A34" t="s">
        <v>247</v>
      </c>
      <c r="B34" t="s">
        <v>228</v>
      </c>
    </row>
    <row r="35" spans="1:2" x14ac:dyDescent="0.25">
      <c r="A35" t="s">
        <v>248</v>
      </c>
      <c r="B35" t="s">
        <v>228</v>
      </c>
    </row>
    <row r="36" spans="1:2" x14ac:dyDescent="0.25">
      <c r="A36" t="s">
        <v>249</v>
      </c>
      <c r="B36" t="s">
        <v>228</v>
      </c>
    </row>
    <row r="37" spans="1:2" x14ac:dyDescent="0.25">
      <c r="A37" t="s">
        <v>250</v>
      </c>
      <c r="B37" t="s">
        <v>228</v>
      </c>
    </row>
    <row r="38" spans="1:2" x14ac:dyDescent="0.25">
      <c r="A38" t="s">
        <v>252</v>
      </c>
      <c r="B38" t="s">
        <v>251</v>
      </c>
    </row>
    <row r="39" spans="1:2" x14ac:dyDescent="0.25">
      <c r="A39" t="s">
        <v>253</v>
      </c>
      <c r="B39" t="s">
        <v>251</v>
      </c>
    </row>
    <row r="40" spans="1:2" x14ac:dyDescent="0.25">
      <c r="A40" t="s">
        <v>254</v>
      </c>
      <c r="B40" t="s">
        <v>251</v>
      </c>
    </row>
    <row r="41" spans="1:2" x14ac:dyDescent="0.25">
      <c r="A41" t="s">
        <v>255</v>
      </c>
      <c r="B41" t="s">
        <v>251</v>
      </c>
    </row>
    <row r="42" spans="1:2" x14ac:dyDescent="0.25">
      <c r="A42" t="s">
        <v>256</v>
      </c>
      <c r="B42" t="s">
        <v>251</v>
      </c>
    </row>
    <row r="43" spans="1:2" x14ac:dyDescent="0.25">
      <c r="A43" t="s">
        <v>259</v>
      </c>
      <c r="B43" t="s">
        <v>251</v>
      </c>
    </row>
    <row r="44" spans="1:2" x14ac:dyDescent="0.25">
      <c r="A44" t="s">
        <v>260</v>
      </c>
      <c r="B44" t="s">
        <v>251</v>
      </c>
    </row>
    <row r="45" spans="1:2" x14ac:dyDescent="0.25">
      <c r="A45" t="s">
        <v>261</v>
      </c>
      <c r="B45" t="s">
        <v>251</v>
      </c>
    </row>
    <row r="46" spans="1:2" x14ac:dyDescent="0.25">
      <c r="A46" t="s">
        <v>262</v>
      </c>
      <c r="B46" t="s">
        <v>251</v>
      </c>
    </row>
    <row r="47" spans="1:2" x14ac:dyDescent="0.25">
      <c r="A47" t="s">
        <v>263</v>
      </c>
      <c r="B47" t="s">
        <v>251</v>
      </c>
    </row>
    <row r="48" spans="1:2" x14ac:dyDescent="0.25">
      <c r="A48" t="s">
        <v>264</v>
      </c>
      <c r="B48" t="s">
        <v>251</v>
      </c>
    </row>
    <row r="49" spans="1:2" x14ac:dyDescent="0.25">
      <c r="A49" t="s">
        <v>265</v>
      </c>
      <c r="B49" t="s">
        <v>251</v>
      </c>
    </row>
    <row r="50" spans="1:2" x14ac:dyDescent="0.25">
      <c r="A50" t="s">
        <v>266</v>
      </c>
      <c r="B50" t="s">
        <v>251</v>
      </c>
    </row>
    <row r="51" spans="1:2" x14ac:dyDescent="0.25">
      <c r="A51" t="s">
        <v>267</v>
      </c>
      <c r="B51" t="s">
        <v>251</v>
      </c>
    </row>
    <row r="52" spans="1:2" x14ac:dyDescent="0.25">
      <c r="A52" t="s">
        <v>270</v>
      </c>
      <c r="B52" t="s">
        <v>251</v>
      </c>
    </row>
    <row r="53" spans="1:2" x14ac:dyDescent="0.25">
      <c r="A53" t="s">
        <v>271</v>
      </c>
      <c r="B53" t="s">
        <v>251</v>
      </c>
    </row>
    <row r="54" spans="1:2" x14ac:dyDescent="0.25">
      <c r="A54" t="s">
        <v>272</v>
      </c>
      <c r="B54" t="s">
        <v>251</v>
      </c>
    </row>
    <row r="55" spans="1:2" x14ac:dyDescent="0.25">
      <c r="A55" t="s">
        <v>273</v>
      </c>
      <c r="B55" t="s">
        <v>251</v>
      </c>
    </row>
    <row r="56" spans="1:2" x14ac:dyDescent="0.25">
      <c r="A56" t="s">
        <v>275</v>
      </c>
      <c r="B56" t="s">
        <v>274</v>
      </c>
    </row>
    <row r="57" spans="1:2" x14ac:dyDescent="0.25">
      <c r="A57" t="s">
        <v>276</v>
      </c>
      <c r="B57" t="s">
        <v>274</v>
      </c>
    </row>
    <row r="58" spans="1:2" x14ac:dyDescent="0.25">
      <c r="A58" t="s">
        <v>277</v>
      </c>
      <c r="B58" t="s">
        <v>274</v>
      </c>
    </row>
    <row r="59" spans="1:2" x14ac:dyDescent="0.25">
      <c r="A59" t="s">
        <v>278</v>
      </c>
      <c r="B59" t="s">
        <v>274</v>
      </c>
    </row>
    <row r="60" spans="1:2" x14ac:dyDescent="0.25">
      <c r="A60" t="s">
        <v>279</v>
      </c>
      <c r="B60" t="s">
        <v>274</v>
      </c>
    </row>
    <row r="61" spans="1:2" x14ac:dyDescent="0.25">
      <c r="A61" t="s">
        <v>282</v>
      </c>
      <c r="B61" t="s">
        <v>274</v>
      </c>
    </row>
    <row r="62" spans="1:2" x14ac:dyDescent="0.25">
      <c r="A62" t="s">
        <v>283</v>
      </c>
      <c r="B62" t="s">
        <v>274</v>
      </c>
    </row>
    <row r="63" spans="1:2" x14ac:dyDescent="0.25">
      <c r="A63" t="s">
        <v>284</v>
      </c>
      <c r="B63" t="s">
        <v>274</v>
      </c>
    </row>
    <row r="64" spans="1:2" x14ac:dyDescent="0.25">
      <c r="A64" t="s">
        <v>285</v>
      </c>
      <c r="B64" t="s">
        <v>274</v>
      </c>
    </row>
    <row r="65" spans="1:2" x14ac:dyDescent="0.25">
      <c r="A65" t="s">
        <v>286</v>
      </c>
      <c r="B65" t="s">
        <v>274</v>
      </c>
    </row>
    <row r="66" spans="1:2" x14ac:dyDescent="0.25">
      <c r="A66" t="s">
        <v>287</v>
      </c>
      <c r="B66" t="s">
        <v>274</v>
      </c>
    </row>
    <row r="67" spans="1:2" x14ac:dyDescent="0.25">
      <c r="A67" t="s">
        <v>288</v>
      </c>
      <c r="B67" t="s">
        <v>274</v>
      </c>
    </row>
    <row r="68" spans="1:2" x14ac:dyDescent="0.25">
      <c r="A68" t="s">
        <v>289</v>
      </c>
      <c r="B68" t="s">
        <v>274</v>
      </c>
    </row>
    <row r="69" spans="1:2" x14ac:dyDescent="0.25">
      <c r="A69" t="s">
        <v>290</v>
      </c>
      <c r="B69" t="s">
        <v>274</v>
      </c>
    </row>
    <row r="70" spans="1:2" x14ac:dyDescent="0.25">
      <c r="A70" t="s">
        <v>293</v>
      </c>
      <c r="B70" t="s">
        <v>274</v>
      </c>
    </row>
    <row r="71" spans="1:2" x14ac:dyDescent="0.25">
      <c r="A71" t="s">
        <v>294</v>
      </c>
      <c r="B71" t="s">
        <v>274</v>
      </c>
    </row>
    <row r="72" spans="1:2" x14ac:dyDescent="0.25">
      <c r="A72" t="s">
        <v>295</v>
      </c>
      <c r="B72" t="s">
        <v>274</v>
      </c>
    </row>
    <row r="73" spans="1:2" x14ac:dyDescent="0.25">
      <c r="A73" t="s">
        <v>296</v>
      </c>
      <c r="B73" t="s">
        <v>274</v>
      </c>
    </row>
    <row r="74" spans="1:2" x14ac:dyDescent="0.25">
      <c r="A74" t="s">
        <v>298</v>
      </c>
      <c r="B74" t="s">
        <v>297</v>
      </c>
    </row>
    <row r="75" spans="1:2" x14ac:dyDescent="0.25">
      <c r="A75" t="s">
        <v>299</v>
      </c>
      <c r="B75" t="s">
        <v>297</v>
      </c>
    </row>
    <row r="76" spans="1:2" x14ac:dyDescent="0.25">
      <c r="A76" t="s">
        <v>300</v>
      </c>
      <c r="B76" t="s">
        <v>297</v>
      </c>
    </row>
    <row r="77" spans="1:2" x14ac:dyDescent="0.25">
      <c r="A77" t="s">
        <v>301</v>
      </c>
      <c r="B77" t="s">
        <v>297</v>
      </c>
    </row>
    <row r="78" spans="1:2" x14ac:dyDescent="0.25">
      <c r="A78" t="s">
        <v>302</v>
      </c>
      <c r="B78" t="s">
        <v>297</v>
      </c>
    </row>
    <row r="79" spans="1:2" x14ac:dyDescent="0.25">
      <c r="A79" t="s">
        <v>305</v>
      </c>
      <c r="B79" t="s">
        <v>297</v>
      </c>
    </row>
    <row r="80" spans="1:2" x14ac:dyDescent="0.25">
      <c r="A80" t="s">
        <v>306</v>
      </c>
      <c r="B80" t="s">
        <v>297</v>
      </c>
    </row>
    <row r="81" spans="1:2" x14ac:dyDescent="0.25">
      <c r="A81" t="s">
        <v>307</v>
      </c>
      <c r="B81" t="s">
        <v>297</v>
      </c>
    </row>
    <row r="82" spans="1:2" x14ac:dyDescent="0.25">
      <c r="A82" t="s">
        <v>308</v>
      </c>
      <c r="B82" t="s">
        <v>297</v>
      </c>
    </row>
    <row r="83" spans="1:2" x14ac:dyDescent="0.25">
      <c r="A83" t="s">
        <v>309</v>
      </c>
      <c r="B83" t="s">
        <v>297</v>
      </c>
    </row>
    <row r="84" spans="1:2" x14ac:dyDescent="0.25">
      <c r="A84" t="s">
        <v>310</v>
      </c>
      <c r="B84" t="s">
        <v>297</v>
      </c>
    </row>
    <row r="85" spans="1:2" x14ac:dyDescent="0.25">
      <c r="A85" t="s">
        <v>311</v>
      </c>
      <c r="B85" t="s">
        <v>297</v>
      </c>
    </row>
    <row r="86" spans="1:2" x14ac:dyDescent="0.25">
      <c r="A86" t="s">
        <v>312</v>
      </c>
      <c r="B86" t="s">
        <v>297</v>
      </c>
    </row>
    <row r="87" spans="1:2" x14ac:dyDescent="0.25">
      <c r="A87" t="s">
        <v>313</v>
      </c>
      <c r="B87" t="s">
        <v>297</v>
      </c>
    </row>
    <row r="88" spans="1:2" x14ac:dyDescent="0.25">
      <c r="A88" t="s">
        <v>316</v>
      </c>
      <c r="B88" t="s">
        <v>297</v>
      </c>
    </row>
    <row r="89" spans="1:2" x14ac:dyDescent="0.25">
      <c r="A89" t="s">
        <v>317</v>
      </c>
      <c r="B89" t="s">
        <v>297</v>
      </c>
    </row>
    <row r="90" spans="1:2" x14ac:dyDescent="0.25">
      <c r="A90" t="s">
        <v>318</v>
      </c>
      <c r="B90" t="s">
        <v>297</v>
      </c>
    </row>
    <row r="91" spans="1:2" x14ac:dyDescent="0.25">
      <c r="A91" t="s">
        <v>319</v>
      </c>
      <c r="B91" t="s">
        <v>297</v>
      </c>
    </row>
    <row r="92" spans="1:2" x14ac:dyDescent="0.25">
      <c r="A92" t="s">
        <v>321</v>
      </c>
      <c r="B92" t="s">
        <v>320</v>
      </c>
    </row>
    <row r="93" spans="1:2" x14ac:dyDescent="0.25">
      <c r="A93" t="s">
        <v>322</v>
      </c>
      <c r="B93" t="s">
        <v>320</v>
      </c>
    </row>
    <row r="94" spans="1:2" x14ac:dyDescent="0.25">
      <c r="A94" t="s">
        <v>323</v>
      </c>
      <c r="B94" t="s">
        <v>320</v>
      </c>
    </row>
    <row r="95" spans="1:2" x14ac:dyDescent="0.25">
      <c r="A95" t="s">
        <v>324</v>
      </c>
      <c r="B95" t="s">
        <v>320</v>
      </c>
    </row>
    <row r="96" spans="1:2" x14ac:dyDescent="0.25">
      <c r="A96" t="s">
        <v>325</v>
      </c>
      <c r="B96" t="s">
        <v>320</v>
      </c>
    </row>
    <row r="97" spans="1:2" x14ac:dyDescent="0.25">
      <c r="A97" t="s">
        <v>328</v>
      </c>
      <c r="B97" t="s">
        <v>320</v>
      </c>
    </row>
    <row r="98" spans="1:2" x14ac:dyDescent="0.25">
      <c r="A98" t="s">
        <v>329</v>
      </c>
      <c r="B98" t="s">
        <v>320</v>
      </c>
    </row>
    <row r="99" spans="1:2" x14ac:dyDescent="0.25">
      <c r="A99" t="s">
        <v>330</v>
      </c>
      <c r="B99" t="s">
        <v>320</v>
      </c>
    </row>
    <row r="100" spans="1:2" x14ac:dyDescent="0.25">
      <c r="A100" t="s">
        <v>331</v>
      </c>
      <c r="B100" t="s">
        <v>320</v>
      </c>
    </row>
    <row r="101" spans="1:2" x14ac:dyDescent="0.25">
      <c r="A101" t="s">
        <v>332</v>
      </c>
      <c r="B101" t="s">
        <v>320</v>
      </c>
    </row>
    <row r="102" spans="1:2" x14ac:dyDescent="0.25">
      <c r="A102" t="s">
        <v>333</v>
      </c>
      <c r="B102" t="s">
        <v>320</v>
      </c>
    </row>
    <row r="103" spans="1:2" x14ac:dyDescent="0.25">
      <c r="A103" t="s">
        <v>334</v>
      </c>
      <c r="B103" t="s">
        <v>320</v>
      </c>
    </row>
    <row r="104" spans="1:2" x14ac:dyDescent="0.25">
      <c r="A104" t="s">
        <v>335</v>
      </c>
      <c r="B104" t="s">
        <v>320</v>
      </c>
    </row>
    <row r="105" spans="1:2" x14ac:dyDescent="0.25">
      <c r="A105" t="s">
        <v>336</v>
      </c>
      <c r="B105" t="s">
        <v>320</v>
      </c>
    </row>
    <row r="106" spans="1:2" x14ac:dyDescent="0.25">
      <c r="A106" t="s">
        <v>339</v>
      </c>
      <c r="B106" t="s">
        <v>320</v>
      </c>
    </row>
    <row r="107" spans="1:2" x14ac:dyDescent="0.25">
      <c r="A107" t="s">
        <v>340</v>
      </c>
      <c r="B107" t="s">
        <v>320</v>
      </c>
    </row>
    <row r="108" spans="1:2" x14ac:dyDescent="0.25">
      <c r="A108" t="s">
        <v>341</v>
      </c>
      <c r="B108" t="s">
        <v>320</v>
      </c>
    </row>
    <row r="109" spans="1:2" x14ac:dyDescent="0.25">
      <c r="A109" t="s">
        <v>342</v>
      </c>
      <c r="B109" t="s">
        <v>320</v>
      </c>
    </row>
    <row r="110" spans="1:2" x14ac:dyDescent="0.25">
      <c r="A110" t="s">
        <v>344</v>
      </c>
      <c r="B110" t="s">
        <v>343</v>
      </c>
    </row>
    <row r="111" spans="1:2" x14ac:dyDescent="0.25">
      <c r="A111" t="s">
        <v>345</v>
      </c>
      <c r="B111" t="s">
        <v>343</v>
      </c>
    </row>
    <row r="112" spans="1:2" x14ac:dyDescent="0.25">
      <c r="A112" t="s">
        <v>346</v>
      </c>
      <c r="B112" t="s">
        <v>343</v>
      </c>
    </row>
    <row r="113" spans="1:2" x14ac:dyDescent="0.25">
      <c r="A113" t="s">
        <v>347</v>
      </c>
      <c r="B113" t="s">
        <v>343</v>
      </c>
    </row>
    <row r="114" spans="1:2" x14ac:dyDescent="0.25">
      <c r="A114" t="s">
        <v>348</v>
      </c>
      <c r="B114" t="s">
        <v>343</v>
      </c>
    </row>
    <row r="115" spans="1:2" x14ac:dyDescent="0.25">
      <c r="A115" t="s">
        <v>351</v>
      </c>
      <c r="B115" t="s">
        <v>343</v>
      </c>
    </row>
    <row r="116" spans="1:2" x14ac:dyDescent="0.25">
      <c r="A116" t="s">
        <v>352</v>
      </c>
      <c r="B116" t="s">
        <v>343</v>
      </c>
    </row>
    <row r="117" spans="1:2" x14ac:dyDescent="0.25">
      <c r="A117" t="s">
        <v>353</v>
      </c>
      <c r="B117" t="s">
        <v>343</v>
      </c>
    </row>
    <row r="118" spans="1:2" x14ac:dyDescent="0.25">
      <c r="A118" t="s">
        <v>354</v>
      </c>
      <c r="B118" t="s">
        <v>343</v>
      </c>
    </row>
    <row r="119" spans="1:2" x14ac:dyDescent="0.25">
      <c r="A119" t="s">
        <v>355</v>
      </c>
      <c r="B119" t="s">
        <v>343</v>
      </c>
    </row>
    <row r="120" spans="1:2" x14ac:dyDescent="0.25">
      <c r="A120" t="s">
        <v>356</v>
      </c>
      <c r="B120" t="s">
        <v>343</v>
      </c>
    </row>
    <row r="121" spans="1:2" x14ac:dyDescent="0.25">
      <c r="A121" t="s">
        <v>357</v>
      </c>
      <c r="B121" t="s">
        <v>343</v>
      </c>
    </row>
    <row r="122" spans="1:2" x14ac:dyDescent="0.25">
      <c r="A122" t="s">
        <v>358</v>
      </c>
      <c r="B122" t="s">
        <v>343</v>
      </c>
    </row>
    <row r="123" spans="1:2" x14ac:dyDescent="0.25">
      <c r="A123" t="s">
        <v>359</v>
      </c>
      <c r="B123" t="s">
        <v>343</v>
      </c>
    </row>
    <row r="124" spans="1:2" x14ac:dyDescent="0.25">
      <c r="A124" t="s">
        <v>362</v>
      </c>
      <c r="B124" t="s">
        <v>343</v>
      </c>
    </row>
    <row r="125" spans="1:2" x14ac:dyDescent="0.25">
      <c r="A125" t="s">
        <v>363</v>
      </c>
      <c r="B125" t="s">
        <v>343</v>
      </c>
    </row>
    <row r="126" spans="1:2" x14ac:dyDescent="0.25">
      <c r="A126" t="s">
        <v>364</v>
      </c>
      <c r="B126" t="s">
        <v>343</v>
      </c>
    </row>
    <row r="127" spans="1:2" x14ac:dyDescent="0.25">
      <c r="A127" t="s">
        <v>365</v>
      </c>
      <c r="B127" t="s">
        <v>343</v>
      </c>
    </row>
    <row r="128" spans="1:2" x14ac:dyDescent="0.25">
      <c r="A128" t="s">
        <v>367</v>
      </c>
      <c r="B128" t="s">
        <v>366</v>
      </c>
    </row>
    <row r="129" spans="1:2" x14ac:dyDescent="0.25">
      <c r="A129" t="s">
        <v>368</v>
      </c>
      <c r="B129" t="s">
        <v>366</v>
      </c>
    </row>
    <row r="130" spans="1:2" x14ac:dyDescent="0.25">
      <c r="A130" t="s">
        <v>369</v>
      </c>
      <c r="B130" t="s">
        <v>366</v>
      </c>
    </row>
    <row r="131" spans="1:2" x14ac:dyDescent="0.25">
      <c r="A131" t="s">
        <v>370</v>
      </c>
      <c r="B131" t="s">
        <v>366</v>
      </c>
    </row>
    <row r="132" spans="1:2" x14ac:dyDescent="0.25">
      <c r="A132" t="s">
        <v>371</v>
      </c>
      <c r="B132" t="s">
        <v>366</v>
      </c>
    </row>
    <row r="133" spans="1:2" x14ac:dyDescent="0.25">
      <c r="A133" t="s">
        <v>374</v>
      </c>
      <c r="B133" t="s">
        <v>366</v>
      </c>
    </row>
    <row r="134" spans="1:2" x14ac:dyDescent="0.25">
      <c r="A134" t="s">
        <v>375</v>
      </c>
      <c r="B134" t="s">
        <v>366</v>
      </c>
    </row>
    <row r="135" spans="1:2" x14ac:dyDescent="0.25">
      <c r="A135" t="s">
        <v>376</v>
      </c>
      <c r="B135" t="s">
        <v>366</v>
      </c>
    </row>
    <row r="136" spans="1:2" x14ac:dyDescent="0.25">
      <c r="A136" t="s">
        <v>377</v>
      </c>
      <c r="B136" t="s">
        <v>366</v>
      </c>
    </row>
    <row r="137" spans="1:2" x14ac:dyDescent="0.25">
      <c r="A137" t="s">
        <v>378</v>
      </c>
      <c r="B137" t="s">
        <v>366</v>
      </c>
    </row>
    <row r="138" spans="1:2" x14ac:dyDescent="0.25">
      <c r="A138" t="s">
        <v>379</v>
      </c>
      <c r="B138" t="s">
        <v>366</v>
      </c>
    </row>
    <row r="139" spans="1:2" x14ac:dyDescent="0.25">
      <c r="A139" t="s">
        <v>380</v>
      </c>
      <c r="B139" t="s">
        <v>366</v>
      </c>
    </row>
    <row r="140" spans="1:2" x14ac:dyDescent="0.25">
      <c r="A140" t="s">
        <v>381</v>
      </c>
      <c r="B140" t="s">
        <v>366</v>
      </c>
    </row>
    <row r="141" spans="1:2" x14ac:dyDescent="0.25">
      <c r="A141" t="s">
        <v>382</v>
      </c>
      <c r="B141" t="s">
        <v>366</v>
      </c>
    </row>
    <row r="142" spans="1:2" x14ac:dyDescent="0.25">
      <c r="A142" t="s">
        <v>385</v>
      </c>
      <c r="B142" t="s">
        <v>366</v>
      </c>
    </row>
    <row r="143" spans="1:2" x14ac:dyDescent="0.25">
      <c r="A143" t="s">
        <v>386</v>
      </c>
      <c r="B143" t="s">
        <v>366</v>
      </c>
    </row>
    <row r="144" spans="1:2" x14ac:dyDescent="0.25">
      <c r="A144" t="s">
        <v>387</v>
      </c>
      <c r="B144" t="s">
        <v>366</v>
      </c>
    </row>
    <row r="145" spans="1:2" x14ac:dyDescent="0.25">
      <c r="A145" t="s">
        <v>388</v>
      </c>
      <c r="B145" t="s">
        <v>366</v>
      </c>
    </row>
    <row r="146" spans="1:2" x14ac:dyDescent="0.25">
      <c r="A146" t="s">
        <v>390</v>
      </c>
      <c r="B146" t="s">
        <v>389</v>
      </c>
    </row>
    <row r="147" spans="1:2" x14ac:dyDescent="0.25">
      <c r="A147" t="s">
        <v>391</v>
      </c>
      <c r="B147" t="s">
        <v>389</v>
      </c>
    </row>
    <row r="148" spans="1:2" x14ac:dyDescent="0.25">
      <c r="A148" t="s">
        <v>392</v>
      </c>
      <c r="B148" t="s">
        <v>389</v>
      </c>
    </row>
    <row r="149" spans="1:2" x14ac:dyDescent="0.25">
      <c r="A149" t="s">
        <v>393</v>
      </c>
      <c r="B149" t="s">
        <v>389</v>
      </c>
    </row>
    <row r="150" spans="1:2" x14ac:dyDescent="0.25">
      <c r="A150" t="s">
        <v>394</v>
      </c>
      <c r="B150" t="s">
        <v>389</v>
      </c>
    </row>
    <row r="151" spans="1:2" x14ac:dyDescent="0.25">
      <c r="A151" t="s">
        <v>397</v>
      </c>
      <c r="B151" t="s">
        <v>389</v>
      </c>
    </row>
    <row r="152" spans="1:2" x14ac:dyDescent="0.25">
      <c r="A152" t="s">
        <v>398</v>
      </c>
      <c r="B152" t="s">
        <v>389</v>
      </c>
    </row>
    <row r="153" spans="1:2" x14ac:dyDescent="0.25">
      <c r="A153" t="s">
        <v>399</v>
      </c>
      <c r="B153" t="s">
        <v>389</v>
      </c>
    </row>
    <row r="154" spans="1:2" x14ac:dyDescent="0.25">
      <c r="A154" t="s">
        <v>400</v>
      </c>
      <c r="B154" t="s">
        <v>389</v>
      </c>
    </row>
    <row r="155" spans="1:2" x14ac:dyDescent="0.25">
      <c r="A155" t="s">
        <v>401</v>
      </c>
      <c r="B155" t="s">
        <v>389</v>
      </c>
    </row>
    <row r="156" spans="1:2" x14ac:dyDescent="0.25">
      <c r="A156" t="s">
        <v>402</v>
      </c>
      <c r="B156" t="s">
        <v>389</v>
      </c>
    </row>
    <row r="157" spans="1:2" x14ac:dyDescent="0.25">
      <c r="A157" t="s">
        <v>403</v>
      </c>
      <c r="B157" t="s">
        <v>389</v>
      </c>
    </row>
    <row r="158" spans="1:2" x14ac:dyDescent="0.25">
      <c r="A158" t="s">
        <v>404</v>
      </c>
      <c r="B158" t="s">
        <v>389</v>
      </c>
    </row>
    <row r="159" spans="1:2" x14ac:dyDescent="0.25">
      <c r="A159" t="s">
        <v>405</v>
      </c>
      <c r="B159" t="s">
        <v>389</v>
      </c>
    </row>
    <row r="160" spans="1:2" x14ac:dyDescent="0.25">
      <c r="A160" t="s">
        <v>408</v>
      </c>
      <c r="B160" t="s">
        <v>389</v>
      </c>
    </row>
    <row r="161" spans="1:2" x14ac:dyDescent="0.25">
      <c r="A161" t="s">
        <v>409</v>
      </c>
      <c r="B161" t="s">
        <v>389</v>
      </c>
    </row>
    <row r="162" spans="1:2" x14ac:dyDescent="0.25">
      <c r="A162" t="s">
        <v>410</v>
      </c>
      <c r="B162" t="s">
        <v>389</v>
      </c>
    </row>
    <row r="163" spans="1:2" x14ac:dyDescent="0.25">
      <c r="A163" t="s">
        <v>411</v>
      </c>
      <c r="B163" t="s">
        <v>389</v>
      </c>
    </row>
    <row r="164" spans="1:2" x14ac:dyDescent="0.25">
      <c r="A164" t="s">
        <v>413</v>
      </c>
      <c r="B164" t="s">
        <v>412</v>
      </c>
    </row>
    <row r="165" spans="1:2" x14ac:dyDescent="0.25">
      <c r="A165" t="s">
        <v>414</v>
      </c>
      <c r="B165" t="s">
        <v>412</v>
      </c>
    </row>
    <row r="166" spans="1:2" x14ac:dyDescent="0.25">
      <c r="A166" t="s">
        <v>415</v>
      </c>
      <c r="B166" t="s">
        <v>412</v>
      </c>
    </row>
    <row r="167" spans="1:2" x14ac:dyDescent="0.25">
      <c r="A167" t="s">
        <v>416</v>
      </c>
      <c r="B167" t="s">
        <v>412</v>
      </c>
    </row>
    <row r="168" spans="1:2" x14ac:dyDescent="0.25">
      <c r="A168" t="s">
        <v>417</v>
      </c>
      <c r="B168" t="s">
        <v>412</v>
      </c>
    </row>
    <row r="169" spans="1:2" x14ac:dyDescent="0.25">
      <c r="A169" t="s">
        <v>420</v>
      </c>
      <c r="B169" t="s">
        <v>412</v>
      </c>
    </row>
    <row r="170" spans="1:2" x14ac:dyDescent="0.25">
      <c r="A170" t="s">
        <v>421</v>
      </c>
      <c r="B170" t="s">
        <v>412</v>
      </c>
    </row>
    <row r="171" spans="1:2" x14ac:dyDescent="0.25">
      <c r="A171" t="s">
        <v>422</v>
      </c>
      <c r="B171" t="s">
        <v>412</v>
      </c>
    </row>
    <row r="172" spans="1:2" x14ac:dyDescent="0.25">
      <c r="A172" t="s">
        <v>423</v>
      </c>
      <c r="B172" t="s">
        <v>412</v>
      </c>
    </row>
    <row r="173" spans="1:2" x14ac:dyDescent="0.25">
      <c r="A173" t="s">
        <v>424</v>
      </c>
      <c r="B173" t="s">
        <v>412</v>
      </c>
    </row>
    <row r="174" spans="1:2" x14ac:dyDescent="0.25">
      <c r="A174" t="s">
        <v>425</v>
      </c>
      <c r="B174" t="s">
        <v>412</v>
      </c>
    </row>
    <row r="175" spans="1:2" x14ac:dyDescent="0.25">
      <c r="A175" t="s">
        <v>426</v>
      </c>
      <c r="B175" t="s">
        <v>412</v>
      </c>
    </row>
    <row r="176" spans="1:2" x14ac:dyDescent="0.25">
      <c r="A176" t="s">
        <v>427</v>
      </c>
      <c r="B176" t="s">
        <v>412</v>
      </c>
    </row>
    <row r="177" spans="1:2" x14ac:dyDescent="0.25">
      <c r="A177" t="s">
        <v>428</v>
      </c>
      <c r="B177" t="s">
        <v>412</v>
      </c>
    </row>
    <row r="178" spans="1:2" x14ac:dyDescent="0.25">
      <c r="A178" t="s">
        <v>431</v>
      </c>
      <c r="B178" t="s">
        <v>412</v>
      </c>
    </row>
    <row r="179" spans="1:2" x14ac:dyDescent="0.25">
      <c r="A179" t="s">
        <v>432</v>
      </c>
      <c r="B179" t="s">
        <v>412</v>
      </c>
    </row>
    <row r="180" spans="1:2" x14ac:dyDescent="0.25">
      <c r="A180" t="s">
        <v>433</v>
      </c>
      <c r="B180" t="s">
        <v>412</v>
      </c>
    </row>
    <row r="181" spans="1:2" x14ac:dyDescent="0.25">
      <c r="A181" t="s">
        <v>434</v>
      </c>
      <c r="B181" t="s">
        <v>412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01CAC-9AD7-4F01-B0F7-130FEB3F17E2}">
  <dimension ref="A1:G11"/>
  <sheetViews>
    <sheetView workbookViewId="0">
      <selection activeCell="A2" sqref="A2:B11"/>
    </sheetView>
  </sheetViews>
  <sheetFormatPr defaultColWidth="0" defaultRowHeight="15" x14ac:dyDescent="0.25"/>
  <cols>
    <col min="1" max="7" width="9.140625" customWidth="1"/>
    <col min="8" max="16384" width="9.140625" hidden="1"/>
  </cols>
  <sheetData>
    <row r="1" spans="1:7" x14ac:dyDescent="0.25">
      <c r="A1" t="s">
        <v>17</v>
      </c>
      <c r="B1" t="s">
        <v>18</v>
      </c>
      <c r="C1" t="s">
        <v>19</v>
      </c>
      <c r="D1" t="s">
        <v>20</v>
      </c>
      <c r="E1" t="s">
        <v>22</v>
      </c>
      <c r="F1" t="s">
        <v>23</v>
      </c>
      <c r="G1" t="s">
        <v>24</v>
      </c>
    </row>
    <row r="2" spans="1:7" x14ac:dyDescent="0.25">
      <c r="A2" t="s">
        <v>205</v>
      </c>
      <c r="B2">
        <v>0.18555900621118013</v>
      </c>
      <c r="C2">
        <v>0.18555900621118013</v>
      </c>
      <c r="D2">
        <v>0</v>
      </c>
      <c r="E2">
        <v>0</v>
      </c>
      <c r="F2">
        <v>0</v>
      </c>
      <c r="G2">
        <v>15.383022774327122</v>
      </c>
    </row>
    <row r="3" spans="1:7" x14ac:dyDescent="0.25">
      <c r="A3" t="s">
        <v>228</v>
      </c>
      <c r="B3">
        <v>0.17494824016563146</v>
      </c>
      <c r="C3">
        <v>0.17494824016563146</v>
      </c>
      <c r="D3">
        <v>0</v>
      </c>
      <c r="E3">
        <v>0</v>
      </c>
      <c r="F3">
        <v>0</v>
      </c>
      <c r="G3">
        <v>13.729296066252587</v>
      </c>
    </row>
    <row r="4" spans="1:7" x14ac:dyDescent="0.25">
      <c r="A4" t="s">
        <v>251</v>
      </c>
      <c r="B4">
        <v>0.15217391304347824</v>
      </c>
      <c r="C4">
        <v>0.15217391304347824</v>
      </c>
      <c r="D4">
        <v>0</v>
      </c>
      <c r="E4">
        <v>0</v>
      </c>
      <c r="F4">
        <v>0</v>
      </c>
      <c r="G4">
        <v>10.706521739130435</v>
      </c>
    </row>
    <row r="5" spans="1:7" x14ac:dyDescent="0.25">
      <c r="A5" t="s">
        <v>274</v>
      </c>
      <c r="B5">
        <v>0.14518633540372669</v>
      </c>
      <c r="C5">
        <v>0.14518633540372669</v>
      </c>
      <c r="D5">
        <v>0</v>
      </c>
      <c r="E5">
        <v>0</v>
      </c>
      <c r="F5">
        <v>0</v>
      </c>
      <c r="G5">
        <v>9.0320910973084878</v>
      </c>
    </row>
    <row r="6" spans="1:7" x14ac:dyDescent="0.25">
      <c r="A6" t="s">
        <v>297</v>
      </c>
      <c r="B6">
        <v>0.15916149068322979</v>
      </c>
      <c r="C6">
        <v>0.15916149068322979</v>
      </c>
      <c r="D6">
        <v>0</v>
      </c>
      <c r="E6">
        <v>0</v>
      </c>
      <c r="F6">
        <v>0</v>
      </c>
      <c r="G6">
        <v>9.3271221532091086</v>
      </c>
    </row>
    <row r="7" spans="1:7" x14ac:dyDescent="0.25">
      <c r="A7" t="s">
        <v>320</v>
      </c>
      <c r="B7">
        <v>0.14389233954451344</v>
      </c>
      <c r="C7">
        <v>0.14389233954451344</v>
      </c>
      <c r="D7">
        <v>0</v>
      </c>
      <c r="E7">
        <v>0</v>
      </c>
      <c r="F7">
        <v>0</v>
      </c>
      <c r="G7">
        <v>8.8586956521739122</v>
      </c>
    </row>
    <row r="8" spans="1:7" x14ac:dyDescent="0.25">
      <c r="A8" t="s">
        <v>343</v>
      </c>
      <c r="B8">
        <v>0.15320910973084886</v>
      </c>
      <c r="C8">
        <v>0.15320910973084886</v>
      </c>
      <c r="D8">
        <v>0</v>
      </c>
      <c r="E8">
        <v>0</v>
      </c>
      <c r="F8">
        <v>0</v>
      </c>
      <c r="G8">
        <v>9.6350931677018625</v>
      </c>
    </row>
    <row r="9" spans="1:7" x14ac:dyDescent="0.25">
      <c r="A9" t="s">
        <v>366</v>
      </c>
      <c r="B9">
        <v>0.14932712215320912</v>
      </c>
      <c r="C9">
        <v>0.14932712215320912</v>
      </c>
      <c r="D9">
        <v>0</v>
      </c>
      <c r="E9">
        <v>0</v>
      </c>
      <c r="F9">
        <v>0</v>
      </c>
      <c r="G9">
        <v>9.604037267080745</v>
      </c>
    </row>
    <row r="10" spans="1:7" x14ac:dyDescent="0.25">
      <c r="A10" t="s">
        <v>389</v>
      </c>
      <c r="B10">
        <v>0.14363354037267079</v>
      </c>
      <c r="C10">
        <v>0.14363354037267079</v>
      </c>
      <c r="D10">
        <v>0</v>
      </c>
      <c r="E10">
        <v>0</v>
      </c>
      <c r="F10">
        <v>0</v>
      </c>
      <c r="G10">
        <v>9.4409937888198758</v>
      </c>
    </row>
    <row r="11" spans="1:7" x14ac:dyDescent="0.25">
      <c r="A11" t="s">
        <v>412</v>
      </c>
      <c r="B11">
        <v>0.11464803312629397</v>
      </c>
      <c r="C11">
        <v>0.11464803312629397</v>
      </c>
      <c r="D11">
        <v>0</v>
      </c>
      <c r="E11">
        <v>0</v>
      </c>
      <c r="F11">
        <v>0</v>
      </c>
      <c r="G11">
        <v>7.8157349896480319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9B0DB-62D0-4D94-A5DD-FA9392F99FD9}">
  <dimension ref="A1:H361"/>
  <sheetViews>
    <sheetView workbookViewId="0">
      <selection activeCell="C10" sqref="C10"/>
    </sheetView>
  </sheetViews>
  <sheetFormatPr defaultColWidth="0" defaultRowHeight="15" x14ac:dyDescent="0.25"/>
  <cols>
    <col min="1" max="1" width="13.85546875" bestFit="1" customWidth="1"/>
    <col min="2" max="2" width="9.140625" customWidth="1"/>
    <col min="3" max="3" width="19.28515625" customWidth="1"/>
    <col min="4" max="5" width="9.140625" customWidth="1"/>
    <col min="6" max="7" width="14.5703125" customWidth="1"/>
    <col min="8" max="8" width="6.42578125" bestFit="1" customWidth="1"/>
    <col min="9" max="16384" width="9.140625" hidden="1"/>
  </cols>
  <sheetData>
    <row r="1" spans="1:8" x14ac:dyDescent="0.25">
      <c r="A1" t="s">
        <v>0</v>
      </c>
      <c r="B1" t="s">
        <v>4</v>
      </c>
      <c r="C1" t="s">
        <v>1</v>
      </c>
      <c r="D1" t="s">
        <v>2</v>
      </c>
      <c r="E1" t="s">
        <v>3</v>
      </c>
      <c r="F1" t="s">
        <v>10</v>
      </c>
      <c r="G1" t="s">
        <v>26</v>
      </c>
      <c r="H1" t="s">
        <v>41</v>
      </c>
    </row>
    <row r="2" spans="1:8" x14ac:dyDescent="0.25">
      <c r="A2" t="s">
        <v>436</v>
      </c>
      <c r="B2">
        <v>1</v>
      </c>
      <c r="C2" t="s">
        <v>5</v>
      </c>
      <c r="D2" t="s">
        <v>206</v>
      </c>
      <c r="E2" t="s">
        <v>207</v>
      </c>
      <c r="F2" t="s">
        <v>150</v>
      </c>
      <c r="G2" t="s">
        <v>152</v>
      </c>
    </row>
    <row r="3" spans="1:8" x14ac:dyDescent="0.25">
      <c r="A3" t="s">
        <v>437</v>
      </c>
      <c r="B3">
        <v>2</v>
      </c>
      <c r="C3" t="s">
        <v>5</v>
      </c>
      <c r="D3" t="s">
        <v>208</v>
      </c>
      <c r="E3" t="s">
        <v>209</v>
      </c>
      <c r="F3" t="s">
        <v>150</v>
      </c>
      <c r="G3" t="s">
        <v>152</v>
      </c>
    </row>
    <row r="4" spans="1:8" x14ac:dyDescent="0.25">
      <c r="A4" t="s">
        <v>438</v>
      </c>
      <c r="B4">
        <v>3</v>
      </c>
      <c r="C4" t="s">
        <v>5</v>
      </c>
      <c r="D4" t="s">
        <v>211</v>
      </c>
      <c r="E4" t="s">
        <v>212</v>
      </c>
      <c r="F4" t="s">
        <v>150</v>
      </c>
      <c r="G4" t="s">
        <v>152</v>
      </c>
    </row>
    <row r="5" spans="1:8" x14ac:dyDescent="0.25">
      <c r="A5" t="s">
        <v>439</v>
      </c>
      <c r="B5">
        <v>4</v>
      </c>
      <c r="C5" t="s">
        <v>5</v>
      </c>
      <c r="D5" t="s">
        <v>215</v>
      </c>
      <c r="E5" t="s">
        <v>216</v>
      </c>
      <c r="F5" t="s">
        <v>150</v>
      </c>
      <c r="G5" t="s">
        <v>152</v>
      </c>
    </row>
    <row r="6" spans="1:8" x14ac:dyDescent="0.25">
      <c r="A6" t="s">
        <v>440</v>
      </c>
      <c r="B6">
        <v>5</v>
      </c>
      <c r="C6" t="s">
        <v>5</v>
      </c>
      <c r="D6" t="s">
        <v>216</v>
      </c>
      <c r="E6" t="s">
        <v>217</v>
      </c>
      <c r="F6" t="s">
        <v>150</v>
      </c>
      <c r="G6" t="s">
        <v>152</v>
      </c>
    </row>
    <row r="7" spans="1:8" x14ac:dyDescent="0.25">
      <c r="A7" t="s">
        <v>441</v>
      </c>
      <c r="B7">
        <v>6</v>
      </c>
      <c r="C7" t="s">
        <v>5</v>
      </c>
      <c r="D7" t="s">
        <v>217</v>
      </c>
      <c r="E7" t="s">
        <v>218</v>
      </c>
      <c r="F7" t="s">
        <v>150</v>
      </c>
      <c r="G7" t="s">
        <v>152</v>
      </c>
    </row>
    <row r="8" spans="1:8" x14ac:dyDescent="0.25">
      <c r="A8" t="s">
        <v>442</v>
      </c>
      <c r="B8">
        <v>7</v>
      </c>
      <c r="C8" t="s">
        <v>5</v>
      </c>
      <c r="D8" t="s">
        <v>222</v>
      </c>
      <c r="E8" t="s">
        <v>223</v>
      </c>
      <c r="F8" t="s">
        <v>150</v>
      </c>
      <c r="G8" t="s">
        <v>152</v>
      </c>
    </row>
    <row r="9" spans="1:8" x14ac:dyDescent="0.25">
      <c r="A9" t="s">
        <v>443</v>
      </c>
      <c r="B9">
        <v>8</v>
      </c>
      <c r="C9" t="s">
        <v>5</v>
      </c>
      <c r="D9" t="s">
        <v>224</v>
      </c>
      <c r="E9" t="s">
        <v>225</v>
      </c>
      <c r="F9" t="s">
        <v>150</v>
      </c>
      <c r="G9" t="s">
        <v>152</v>
      </c>
    </row>
    <row r="10" spans="1:8" x14ac:dyDescent="0.25">
      <c r="A10" t="s">
        <v>444</v>
      </c>
      <c r="B10">
        <v>9</v>
      </c>
      <c r="C10" t="s">
        <v>5</v>
      </c>
      <c r="D10" t="s">
        <v>225</v>
      </c>
      <c r="E10" t="s">
        <v>226</v>
      </c>
      <c r="F10" t="s">
        <v>150</v>
      </c>
      <c r="G10" t="s">
        <v>152</v>
      </c>
    </row>
    <row r="11" spans="1:8" x14ac:dyDescent="0.25">
      <c r="A11" t="s">
        <v>445</v>
      </c>
      <c r="B11">
        <v>10</v>
      </c>
      <c r="C11" t="s">
        <v>5</v>
      </c>
      <c r="D11" t="s">
        <v>226</v>
      </c>
      <c r="E11" t="s">
        <v>227</v>
      </c>
      <c r="F11" t="s">
        <v>150</v>
      </c>
      <c r="G11" t="s">
        <v>152</v>
      </c>
    </row>
    <row r="12" spans="1:8" x14ac:dyDescent="0.25">
      <c r="A12" t="s">
        <v>446</v>
      </c>
      <c r="B12">
        <v>11</v>
      </c>
      <c r="C12" t="s">
        <v>5</v>
      </c>
      <c r="D12" t="s">
        <v>207</v>
      </c>
      <c r="E12" t="s">
        <v>211</v>
      </c>
      <c r="F12" t="s">
        <v>150</v>
      </c>
      <c r="G12" t="s">
        <v>152</v>
      </c>
    </row>
    <row r="13" spans="1:8" x14ac:dyDescent="0.25">
      <c r="A13" t="s">
        <v>447</v>
      </c>
      <c r="B13">
        <v>12</v>
      </c>
      <c r="C13" t="s">
        <v>5</v>
      </c>
      <c r="D13" t="s">
        <v>211</v>
      </c>
      <c r="E13" t="s">
        <v>216</v>
      </c>
      <c r="F13" t="s">
        <v>150</v>
      </c>
      <c r="G13" t="s">
        <v>152</v>
      </c>
    </row>
    <row r="14" spans="1:8" x14ac:dyDescent="0.25">
      <c r="A14" t="s">
        <v>448</v>
      </c>
      <c r="B14">
        <v>13</v>
      </c>
      <c r="C14" t="s">
        <v>5</v>
      </c>
      <c r="D14" t="s">
        <v>208</v>
      </c>
      <c r="E14" t="s">
        <v>212</v>
      </c>
      <c r="F14" t="s">
        <v>150</v>
      </c>
      <c r="G14" t="s">
        <v>152</v>
      </c>
    </row>
    <row r="15" spans="1:8" x14ac:dyDescent="0.25">
      <c r="A15" t="s">
        <v>449</v>
      </c>
      <c r="B15">
        <v>14</v>
      </c>
      <c r="C15" t="s">
        <v>5</v>
      </c>
      <c r="D15" t="s">
        <v>212</v>
      </c>
      <c r="E15" t="s">
        <v>217</v>
      </c>
      <c r="F15" t="s">
        <v>150</v>
      </c>
      <c r="G15" t="s">
        <v>152</v>
      </c>
    </row>
    <row r="16" spans="1:8" x14ac:dyDescent="0.25">
      <c r="A16" t="s">
        <v>450</v>
      </c>
      <c r="B16">
        <v>15</v>
      </c>
      <c r="C16" t="s">
        <v>5</v>
      </c>
      <c r="D16" t="s">
        <v>219</v>
      </c>
      <c r="E16" t="s">
        <v>222</v>
      </c>
      <c r="F16" t="s">
        <v>150</v>
      </c>
      <c r="G16" t="s">
        <v>152</v>
      </c>
    </row>
    <row r="17" spans="1:7" x14ac:dyDescent="0.25">
      <c r="A17" t="s">
        <v>451</v>
      </c>
      <c r="B17">
        <v>16</v>
      </c>
      <c r="C17" t="s">
        <v>5</v>
      </c>
      <c r="D17" t="s">
        <v>222</v>
      </c>
      <c r="E17" t="s">
        <v>225</v>
      </c>
      <c r="F17" t="s">
        <v>150</v>
      </c>
      <c r="G17" t="s">
        <v>152</v>
      </c>
    </row>
    <row r="18" spans="1:7" x14ac:dyDescent="0.25">
      <c r="A18" t="s">
        <v>452</v>
      </c>
      <c r="B18">
        <v>17</v>
      </c>
      <c r="C18" t="s">
        <v>5</v>
      </c>
      <c r="D18" t="s">
        <v>220</v>
      </c>
      <c r="E18" t="s">
        <v>223</v>
      </c>
      <c r="F18" t="s">
        <v>150</v>
      </c>
      <c r="G18" t="s">
        <v>152</v>
      </c>
    </row>
    <row r="19" spans="1:7" x14ac:dyDescent="0.25">
      <c r="A19" t="s">
        <v>453</v>
      </c>
      <c r="B19">
        <v>18</v>
      </c>
      <c r="C19" t="s">
        <v>5</v>
      </c>
      <c r="D19" t="s">
        <v>223</v>
      </c>
      <c r="E19" t="s">
        <v>226</v>
      </c>
      <c r="F19" t="s">
        <v>150</v>
      </c>
      <c r="G19" t="s">
        <v>152</v>
      </c>
    </row>
    <row r="20" spans="1:7" x14ac:dyDescent="0.25">
      <c r="A20" t="s">
        <v>899</v>
      </c>
      <c r="B20">
        <v>19</v>
      </c>
      <c r="C20" t="s">
        <v>5</v>
      </c>
      <c r="D20" t="s">
        <v>187</v>
      </c>
      <c r="E20" t="s">
        <v>206</v>
      </c>
      <c r="F20" t="s">
        <v>148</v>
      </c>
      <c r="G20" t="s">
        <v>32</v>
      </c>
    </row>
    <row r="21" spans="1:7" x14ac:dyDescent="0.25">
      <c r="A21" t="s">
        <v>621</v>
      </c>
      <c r="B21">
        <v>20</v>
      </c>
      <c r="C21" t="s">
        <v>5</v>
      </c>
      <c r="D21" t="s">
        <v>188</v>
      </c>
      <c r="E21" t="s">
        <v>207</v>
      </c>
      <c r="F21" t="s">
        <v>148</v>
      </c>
      <c r="G21" t="s">
        <v>32</v>
      </c>
    </row>
    <row r="22" spans="1:7" x14ac:dyDescent="0.25">
      <c r="A22" t="s">
        <v>622</v>
      </c>
      <c r="B22">
        <v>21</v>
      </c>
      <c r="C22" t="s">
        <v>5</v>
      </c>
      <c r="D22" t="s">
        <v>189</v>
      </c>
      <c r="E22" t="s">
        <v>208</v>
      </c>
      <c r="F22" t="s">
        <v>148</v>
      </c>
      <c r="G22" t="s">
        <v>32</v>
      </c>
    </row>
    <row r="23" spans="1:7" x14ac:dyDescent="0.25">
      <c r="A23" t="s">
        <v>623</v>
      </c>
      <c r="B23">
        <v>22</v>
      </c>
      <c r="C23" t="s">
        <v>5</v>
      </c>
      <c r="D23" t="s">
        <v>190</v>
      </c>
      <c r="E23" t="s">
        <v>209</v>
      </c>
      <c r="F23" t="s">
        <v>148</v>
      </c>
      <c r="G23" t="s">
        <v>32</v>
      </c>
    </row>
    <row r="24" spans="1:7" x14ac:dyDescent="0.25">
      <c r="A24" t="s">
        <v>624</v>
      </c>
      <c r="B24">
        <v>23</v>
      </c>
      <c r="C24" t="s">
        <v>5</v>
      </c>
      <c r="D24" t="s">
        <v>194</v>
      </c>
      <c r="E24" t="s">
        <v>215</v>
      </c>
      <c r="F24" t="s">
        <v>148</v>
      </c>
      <c r="G24" t="s">
        <v>32</v>
      </c>
    </row>
    <row r="25" spans="1:7" x14ac:dyDescent="0.25">
      <c r="A25" t="s">
        <v>625</v>
      </c>
      <c r="B25">
        <v>24</v>
      </c>
      <c r="C25" t="s">
        <v>5</v>
      </c>
      <c r="D25" t="s">
        <v>195</v>
      </c>
      <c r="E25" t="s">
        <v>216</v>
      </c>
      <c r="F25" t="s">
        <v>149</v>
      </c>
      <c r="G25" t="s">
        <v>32</v>
      </c>
    </row>
    <row r="26" spans="1:7" x14ac:dyDescent="0.25">
      <c r="A26" t="s">
        <v>626</v>
      </c>
      <c r="B26">
        <v>25</v>
      </c>
      <c r="C26" t="s">
        <v>5</v>
      </c>
      <c r="D26" t="s">
        <v>196</v>
      </c>
      <c r="E26" t="s">
        <v>217</v>
      </c>
      <c r="F26" t="s">
        <v>149</v>
      </c>
      <c r="G26" t="s">
        <v>32</v>
      </c>
    </row>
    <row r="27" spans="1:7" x14ac:dyDescent="0.25">
      <c r="A27" t="s">
        <v>627</v>
      </c>
      <c r="B27">
        <v>26</v>
      </c>
      <c r="C27" t="s">
        <v>5</v>
      </c>
      <c r="D27" t="s">
        <v>197</v>
      </c>
      <c r="E27" t="s">
        <v>218</v>
      </c>
      <c r="F27" t="s">
        <v>148</v>
      </c>
      <c r="G27" t="s">
        <v>32</v>
      </c>
    </row>
    <row r="28" spans="1:7" x14ac:dyDescent="0.25">
      <c r="A28" t="s">
        <v>628</v>
      </c>
      <c r="B28">
        <v>27</v>
      </c>
      <c r="C28" t="s">
        <v>5</v>
      </c>
      <c r="D28" t="s">
        <v>198</v>
      </c>
      <c r="E28" t="s">
        <v>219</v>
      </c>
      <c r="F28" t="s">
        <v>148</v>
      </c>
      <c r="G28" t="s">
        <v>32</v>
      </c>
    </row>
    <row r="29" spans="1:7" x14ac:dyDescent="0.25">
      <c r="A29" t="s">
        <v>629</v>
      </c>
      <c r="B29">
        <v>28</v>
      </c>
      <c r="C29" t="s">
        <v>5</v>
      </c>
      <c r="D29" t="s">
        <v>199</v>
      </c>
      <c r="E29" t="s">
        <v>220</v>
      </c>
      <c r="F29" t="s">
        <v>148</v>
      </c>
      <c r="G29" t="s">
        <v>32</v>
      </c>
    </row>
    <row r="30" spans="1:7" x14ac:dyDescent="0.25">
      <c r="A30" t="s">
        <v>630</v>
      </c>
      <c r="B30">
        <v>29</v>
      </c>
      <c r="C30" t="s">
        <v>5</v>
      </c>
      <c r="D30" t="s">
        <v>201</v>
      </c>
      <c r="E30" t="s">
        <v>224</v>
      </c>
      <c r="F30" t="s">
        <v>149</v>
      </c>
      <c r="G30" t="s">
        <v>32</v>
      </c>
    </row>
    <row r="31" spans="1:7" x14ac:dyDescent="0.25">
      <c r="A31" t="s">
        <v>631</v>
      </c>
      <c r="B31">
        <v>30</v>
      </c>
      <c r="C31" t="s">
        <v>5</v>
      </c>
      <c r="D31" t="s">
        <v>202</v>
      </c>
      <c r="E31" t="s">
        <v>225</v>
      </c>
      <c r="F31" t="s">
        <v>149</v>
      </c>
      <c r="G31" t="s">
        <v>32</v>
      </c>
    </row>
    <row r="32" spans="1:7" x14ac:dyDescent="0.25">
      <c r="A32" t="s">
        <v>632</v>
      </c>
      <c r="B32">
        <v>31</v>
      </c>
      <c r="C32" t="s">
        <v>5</v>
      </c>
      <c r="D32" t="s">
        <v>203</v>
      </c>
      <c r="E32" t="s">
        <v>226</v>
      </c>
      <c r="F32" t="s">
        <v>149</v>
      </c>
      <c r="G32" t="s">
        <v>32</v>
      </c>
    </row>
    <row r="33" spans="1:7" x14ac:dyDescent="0.25">
      <c r="A33" t="s">
        <v>633</v>
      </c>
      <c r="B33">
        <v>32</v>
      </c>
      <c r="C33" t="s">
        <v>5</v>
      </c>
      <c r="D33" t="s">
        <v>204</v>
      </c>
      <c r="E33" t="s">
        <v>227</v>
      </c>
      <c r="F33" t="s">
        <v>149</v>
      </c>
      <c r="G33" t="s">
        <v>32</v>
      </c>
    </row>
    <row r="34" spans="1:7" x14ac:dyDescent="0.25">
      <c r="A34" t="s">
        <v>634</v>
      </c>
      <c r="B34">
        <v>33</v>
      </c>
      <c r="C34" t="s">
        <v>5</v>
      </c>
      <c r="D34" t="s">
        <v>191</v>
      </c>
      <c r="E34" t="s">
        <v>210</v>
      </c>
      <c r="F34" t="s">
        <v>146</v>
      </c>
      <c r="G34" t="s">
        <v>31</v>
      </c>
    </row>
    <row r="35" spans="1:7" x14ac:dyDescent="0.25">
      <c r="A35" t="s">
        <v>635</v>
      </c>
      <c r="B35">
        <v>34</v>
      </c>
      <c r="C35" t="s">
        <v>5</v>
      </c>
      <c r="D35" t="s">
        <v>200</v>
      </c>
      <c r="E35" t="s">
        <v>221</v>
      </c>
      <c r="F35" t="s">
        <v>146</v>
      </c>
      <c r="G35" t="s">
        <v>31</v>
      </c>
    </row>
    <row r="36" spans="1:7" x14ac:dyDescent="0.25">
      <c r="A36" t="s">
        <v>636</v>
      </c>
      <c r="B36">
        <v>35</v>
      </c>
      <c r="C36" t="s">
        <v>5</v>
      </c>
      <c r="D36" t="s">
        <v>192</v>
      </c>
      <c r="E36" t="s">
        <v>213</v>
      </c>
      <c r="F36" t="s">
        <v>147</v>
      </c>
      <c r="G36" t="s">
        <v>32</v>
      </c>
    </row>
    <row r="37" spans="1:7" x14ac:dyDescent="0.25">
      <c r="A37" t="s">
        <v>637</v>
      </c>
      <c r="B37">
        <v>36</v>
      </c>
      <c r="C37" t="s">
        <v>5</v>
      </c>
      <c r="D37" t="s">
        <v>193</v>
      </c>
      <c r="E37" t="s">
        <v>214</v>
      </c>
      <c r="F37" t="s">
        <v>147</v>
      </c>
      <c r="G37" t="s">
        <v>32</v>
      </c>
    </row>
    <row r="38" spans="1:7" x14ac:dyDescent="0.25">
      <c r="A38" t="s">
        <v>454</v>
      </c>
      <c r="B38">
        <v>37</v>
      </c>
      <c r="C38" t="s">
        <v>5</v>
      </c>
      <c r="D38" t="s">
        <v>229</v>
      </c>
      <c r="E38" t="s">
        <v>230</v>
      </c>
      <c r="F38" t="s">
        <v>150</v>
      </c>
      <c r="G38" t="s">
        <v>152</v>
      </c>
    </row>
    <row r="39" spans="1:7" x14ac:dyDescent="0.25">
      <c r="A39" t="s">
        <v>455</v>
      </c>
      <c r="B39">
        <v>38</v>
      </c>
      <c r="C39" t="s">
        <v>5</v>
      </c>
      <c r="D39" t="s">
        <v>231</v>
      </c>
      <c r="E39" t="s">
        <v>232</v>
      </c>
      <c r="F39" t="s">
        <v>150</v>
      </c>
      <c r="G39" t="s">
        <v>152</v>
      </c>
    </row>
    <row r="40" spans="1:7" x14ac:dyDescent="0.25">
      <c r="A40" t="s">
        <v>456</v>
      </c>
      <c r="B40">
        <v>39</v>
      </c>
      <c r="C40" t="s">
        <v>5</v>
      </c>
      <c r="D40" t="s">
        <v>234</v>
      </c>
      <c r="E40" t="s">
        <v>235</v>
      </c>
      <c r="F40" t="s">
        <v>150</v>
      </c>
      <c r="G40" t="s">
        <v>152</v>
      </c>
    </row>
    <row r="41" spans="1:7" x14ac:dyDescent="0.25">
      <c r="A41" t="s">
        <v>457</v>
      </c>
      <c r="B41">
        <v>40</v>
      </c>
      <c r="C41" t="s">
        <v>5</v>
      </c>
      <c r="D41" t="s">
        <v>238</v>
      </c>
      <c r="E41" t="s">
        <v>239</v>
      </c>
      <c r="F41" t="s">
        <v>150</v>
      </c>
      <c r="G41" t="s">
        <v>152</v>
      </c>
    </row>
    <row r="42" spans="1:7" x14ac:dyDescent="0.25">
      <c r="A42" t="s">
        <v>458</v>
      </c>
      <c r="B42">
        <v>41</v>
      </c>
      <c r="C42" t="s">
        <v>5</v>
      </c>
      <c r="D42" t="s">
        <v>239</v>
      </c>
      <c r="E42" t="s">
        <v>240</v>
      </c>
      <c r="F42" t="s">
        <v>150</v>
      </c>
      <c r="G42" t="s">
        <v>152</v>
      </c>
    </row>
    <row r="43" spans="1:7" x14ac:dyDescent="0.25">
      <c r="A43" t="s">
        <v>459</v>
      </c>
      <c r="B43">
        <v>42</v>
      </c>
      <c r="C43" t="s">
        <v>5</v>
      </c>
      <c r="D43" t="s">
        <v>240</v>
      </c>
      <c r="E43" t="s">
        <v>241</v>
      </c>
      <c r="F43" t="s">
        <v>150</v>
      </c>
      <c r="G43" t="s">
        <v>152</v>
      </c>
    </row>
    <row r="44" spans="1:7" x14ac:dyDescent="0.25">
      <c r="A44" t="s">
        <v>460</v>
      </c>
      <c r="B44">
        <v>43</v>
      </c>
      <c r="C44" t="s">
        <v>5</v>
      </c>
      <c r="D44" t="s">
        <v>245</v>
      </c>
      <c r="E44" t="s">
        <v>246</v>
      </c>
      <c r="F44" t="s">
        <v>150</v>
      </c>
      <c r="G44" t="s">
        <v>152</v>
      </c>
    </row>
    <row r="45" spans="1:7" x14ac:dyDescent="0.25">
      <c r="A45" t="s">
        <v>461</v>
      </c>
      <c r="B45">
        <v>44</v>
      </c>
      <c r="C45" t="s">
        <v>5</v>
      </c>
      <c r="D45" t="s">
        <v>247</v>
      </c>
      <c r="E45" t="s">
        <v>248</v>
      </c>
      <c r="F45" t="s">
        <v>150</v>
      </c>
      <c r="G45" t="s">
        <v>152</v>
      </c>
    </row>
    <row r="46" spans="1:7" x14ac:dyDescent="0.25">
      <c r="A46" t="s">
        <v>462</v>
      </c>
      <c r="B46">
        <v>45</v>
      </c>
      <c r="C46" t="s">
        <v>5</v>
      </c>
      <c r="D46" t="s">
        <v>248</v>
      </c>
      <c r="E46" t="s">
        <v>249</v>
      </c>
      <c r="F46" t="s">
        <v>150</v>
      </c>
      <c r="G46" t="s">
        <v>152</v>
      </c>
    </row>
    <row r="47" spans="1:7" x14ac:dyDescent="0.25">
      <c r="A47" t="s">
        <v>463</v>
      </c>
      <c r="B47">
        <v>46</v>
      </c>
      <c r="C47" t="s">
        <v>5</v>
      </c>
      <c r="D47" t="s">
        <v>249</v>
      </c>
      <c r="E47" t="s">
        <v>250</v>
      </c>
      <c r="F47" t="s">
        <v>150</v>
      </c>
      <c r="G47" t="s">
        <v>152</v>
      </c>
    </row>
    <row r="48" spans="1:7" x14ac:dyDescent="0.25">
      <c r="A48" t="s">
        <v>464</v>
      </c>
      <c r="B48">
        <v>47</v>
      </c>
      <c r="C48" t="s">
        <v>5</v>
      </c>
      <c r="D48" t="s">
        <v>230</v>
      </c>
      <c r="E48" t="s">
        <v>234</v>
      </c>
      <c r="F48" t="s">
        <v>150</v>
      </c>
      <c r="G48" t="s">
        <v>152</v>
      </c>
    </row>
    <row r="49" spans="1:7" x14ac:dyDescent="0.25">
      <c r="A49" t="s">
        <v>465</v>
      </c>
      <c r="B49">
        <v>48</v>
      </c>
      <c r="C49" t="s">
        <v>5</v>
      </c>
      <c r="D49" t="s">
        <v>234</v>
      </c>
      <c r="E49" t="s">
        <v>239</v>
      </c>
      <c r="F49" t="s">
        <v>150</v>
      </c>
      <c r="G49" t="s">
        <v>152</v>
      </c>
    </row>
    <row r="50" spans="1:7" x14ac:dyDescent="0.25">
      <c r="A50" t="s">
        <v>466</v>
      </c>
      <c r="B50">
        <v>49</v>
      </c>
      <c r="C50" t="s">
        <v>5</v>
      </c>
      <c r="D50" t="s">
        <v>231</v>
      </c>
      <c r="E50" t="s">
        <v>235</v>
      </c>
      <c r="F50" t="s">
        <v>150</v>
      </c>
      <c r="G50" t="s">
        <v>152</v>
      </c>
    </row>
    <row r="51" spans="1:7" x14ac:dyDescent="0.25">
      <c r="A51" t="s">
        <v>467</v>
      </c>
      <c r="B51">
        <v>50</v>
      </c>
      <c r="C51" t="s">
        <v>5</v>
      </c>
      <c r="D51" t="s">
        <v>235</v>
      </c>
      <c r="E51" t="s">
        <v>240</v>
      </c>
      <c r="F51" t="s">
        <v>150</v>
      </c>
      <c r="G51" t="s">
        <v>152</v>
      </c>
    </row>
    <row r="52" spans="1:7" x14ac:dyDescent="0.25">
      <c r="A52" t="s">
        <v>468</v>
      </c>
      <c r="B52">
        <v>51</v>
      </c>
      <c r="C52" t="s">
        <v>5</v>
      </c>
      <c r="D52" t="s">
        <v>242</v>
      </c>
      <c r="E52" t="s">
        <v>245</v>
      </c>
      <c r="F52" t="s">
        <v>150</v>
      </c>
      <c r="G52" t="s">
        <v>152</v>
      </c>
    </row>
    <row r="53" spans="1:7" x14ac:dyDescent="0.25">
      <c r="A53" t="s">
        <v>469</v>
      </c>
      <c r="B53">
        <v>52</v>
      </c>
      <c r="C53" t="s">
        <v>5</v>
      </c>
      <c r="D53" t="s">
        <v>245</v>
      </c>
      <c r="E53" t="s">
        <v>248</v>
      </c>
      <c r="F53" t="s">
        <v>150</v>
      </c>
      <c r="G53" t="s">
        <v>152</v>
      </c>
    </row>
    <row r="54" spans="1:7" x14ac:dyDescent="0.25">
      <c r="A54" t="s">
        <v>470</v>
      </c>
      <c r="B54">
        <v>53</v>
      </c>
      <c r="C54" t="s">
        <v>5</v>
      </c>
      <c r="D54" t="s">
        <v>243</v>
      </c>
      <c r="E54" t="s">
        <v>246</v>
      </c>
      <c r="F54" t="s">
        <v>150</v>
      </c>
      <c r="G54" t="s">
        <v>152</v>
      </c>
    </row>
    <row r="55" spans="1:7" x14ac:dyDescent="0.25">
      <c r="A55" t="s">
        <v>471</v>
      </c>
      <c r="B55">
        <v>54</v>
      </c>
      <c r="C55" t="s">
        <v>5</v>
      </c>
      <c r="D55" t="s">
        <v>246</v>
      </c>
      <c r="E55" t="s">
        <v>249</v>
      </c>
      <c r="F55" t="s">
        <v>150</v>
      </c>
      <c r="G55" t="s">
        <v>152</v>
      </c>
    </row>
    <row r="56" spans="1:7" x14ac:dyDescent="0.25">
      <c r="A56" t="s">
        <v>638</v>
      </c>
      <c r="B56">
        <v>55</v>
      </c>
      <c r="C56" t="s">
        <v>5</v>
      </c>
      <c r="D56" t="s">
        <v>206</v>
      </c>
      <c r="E56" t="s">
        <v>229</v>
      </c>
      <c r="F56" t="s">
        <v>148</v>
      </c>
      <c r="G56" t="s">
        <v>32</v>
      </c>
    </row>
    <row r="57" spans="1:7" x14ac:dyDescent="0.25">
      <c r="A57" t="s">
        <v>639</v>
      </c>
      <c r="B57">
        <v>56</v>
      </c>
      <c r="C57" t="s">
        <v>5</v>
      </c>
      <c r="D57" t="s">
        <v>207</v>
      </c>
      <c r="E57" t="s">
        <v>230</v>
      </c>
      <c r="F57" t="s">
        <v>148</v>
      </c>
      <c r="G57" t="s">
        <v>32</v>
      </c>
    </row>
    <row r="58" spans="1:7" x14ac:dyDescent="0.25">
      <c r="A58" t="s">
        <v>640</v>
      </c>
      <c r="B58">
        <v>57</v>
      </c>
      <c r="C58" t="s">
        <v>5</v>
      </c>
      <c r="D58" t="s">
        <v>208</v>
      </c>
      <c r="E58" t="s">
        <v>231</v>
      </c>
      <c r="F58" t="s">
        <v>148</v>
      </c>
      <c r="G58" t="s">
        <v>32</v>
      </c>
    </row>
    <row r="59" spans="1:7" x14ac:dyDescent="0.25">
      <c r="A59" t="s">
        <v>641</v>
      </c>
      <c r="B59">
        <v>58</v>
      </c>
      <c r="C59" t="s">
        <v>5</v>
      </c>
      <c r="D59" t="s">
        <v>209</v>
      </c>
      <c r="E59" t="s">
        <v>232</v>
      </c>
      <c r="F59" t="s">
        <v>148</v>
      </c>
      <c r="G59" t="s">
        <v>32</v>
      </c>
    </row>
    <row r="60" spans="1:7" x14ac:dyDescent="0.25">
      <c r="A60" t="s">
        <v>642</v>
      </c>
      <c r="B60">
        <v>59</v>
      </c>
      <c r="C60" t="s">
        <v>5</v>
      </c>
      <c r="D60" t="s">
        <v>215</v>
      </c>
      <c r="E60" t="s">
        <v>238</v>
      </c>
      <c r="F60" t="s">
        <v>148</v>
      </c>
      <c r="G60" t="s">
        <v>32</v>
      </c>
    </row>
    <row r="61" spans="1:7" x14ac:dyDescent="0.25">
      <c r="A61" t="s">
        <v>643</v>
      </c>
      <c r="B61">
        <v>60</v>
      </c>
      <c r="C61" t="s">
        <v>5</v>
      </c>
      <c r="D61" t="s">
        <v>216</v>
      </c>
      <c r="E61" t="s">
        <v>239</v>
      </c>
      <c r="F61" t="s">
        <v>149</v>
      </c>
      <c r="G61" t="s">
        <v>32</v>
      </c>
    </row>
    <row r="62" spans="1:7" x14ac:dyDescent="0.25">
      <c r="A62" t="s">
        <v>644</v>
      </c>
      <c r="B62">
        <v>61</v>
      </c>
      <c r="C62" t="s">
        <v>5</v>
      </c>
      <c r="D62" t="s">
        <v>217</v>
      </c>
      <c r="E62" t="s">
        <v>240</v>
      </c>
      <c r="F62" t="s">
        <v>149</v>
      </c>
      <c r="G62" t="s">
        <v>32</v>
      </c>
    </row>
    <row r="63" spans="1:7" x14ac:dyDescent="0.25">
      <c r="A63" t="s">
        <v>645</v>
      </c>
      <c r="B63">
        <v>62</v>
      </c>
      <c r="C63" t="s">
        <v>5</v>
      </c>
      <c r="D63" t="s">
        <v>218</v>
      </c>
      <c r="E63" t="s">
        <v>241</v>
      </c>
      <c r="F63" t="s">
        <v>148</v>
      </c>
      <c r="G63" t="s">
        <v>32</v>
      </c>
    </row>
    <row r="64" spans="1:7" x14ac:dyDescent="0.25">
      <c r="A64" t="s">
        <v>646</v>
      </c>
      <c r="B64">
        <v>63</v>
      </c>
      <c r="C64" t="s">
        <v>5</v>
      </c>
      <c r="D64" t="s">
        <v>219</v>
      </c>
      <c r="E64" t="s">
        <v>242</v>
      </c>
      <c r="F64" t="s">
        <v>148</v>
      </c>
      <c r="G64" t="s">
        <v>32</v>
      </c>
    </row>
    <row r="65" spans="1:7" x14ac:dyDescent="0.25">
      <c r="A65" t="s">
        <v>647</v>
      </c>
      <c r="B65">
        <v>64</v>
      </c>
      <c r="C65" t="s">
        <v>5</v>
      </c>
      <c r="D65" t="s">
        <v>220</v>
      </c>
      <c r="E65" t="s">
        <v>243</v>
      </c>
      <c r="F65" t="s">
        <v>148</v>
      </c>
      <c r="G65" t="s">
        <v>32</v>
      </c>
    </row>
    <row r="66" spans="1:7" x14ac:dyDescent="0.25">
      <c r="A66" t="s">
        <v>648</v>
      </c>
      <c r="B66">
        <v>65</v>
      </c>
      <c r="C66" t="s">
        <v>5</v>
      </c>
      <c r="D66" t="s">
        <v>224</v>
      </c>
      <c r="E66" t="s">
        <v>247</v>
      </c>
      <c r="F66" t="s">
        <v>149</v>
      </c>
      <c r="G66" t="s">
        <v>32</v>
      </c>
    </row>
    <row r="67" spans="1:7" x14ac:dyDescent="0.25">
      <c r="A67" t="s">
        <v>649</v>
      </c>
      <c r="B67">
        <v>66</v>
      </c>
      <c r="C67" t="s">
        <v>5</v>
      </c>
      <c r="D67" t="s">
        <v>225</v>
      </c>
      <c r="E67" t="s">
        <v>248</v>
      </c>
      <c r="F67" t="s">
        <v>149</v>
      </c>
      <c r="G67" t="s">
        <v>32</v>
      </c>
    </row>
    <row r="68" spans="1:7" x14ac:dyDescent="0.25">
      <c r="A68" t="s">
        <v>650</v>
      </c>
      <c r="B68">
        <v>67</v>
      </c>
      <c r="C68" t="s">
        <v>5</v>
      </c>
      <c r="D68" t="s">
        <v>226</v>
      </c>
      <c r="E68" t="s">
        <v>249</v>
      </c>
      <c r="F68" t="s">
        <v>149</v>
      </c>
      <c r="G68" t="s">
        <v>32</v>
      </c>
    </row>
    <row r="69" spans="1:7" x14ac:dyDescent="0.25">
      <c r="A69" t="s">
        <v>651</v>
      </c>
      <c r="B69">
        <v>68</v>
      </c>
      <c r="C69" t="s">
        <v>5</v>
      </c>
      <c r="D69" t="s">
        <v>227</v>
      </c>
      <c r="E69" t="s">
        <v>250</v>
      </c>
      <c r="F69" t="s">
        <v>149</v>
      </c>
      <c r="G69" t="s">
        <v>32</v>
      </c>
    </row>
    <row r="70" spans="1:7" x14ac:dyDescent="0.25">
      <c r="A70" t="s">
        <v>652</v>
      </c>
      <c r="B70">
        <v>69</v>
      </c>
      <c r="C70" t="s">
        <v>5</v>
      </c>
      <c r="D70" t="s">
        <v>210</v>
      </c>
      <c r="E70" t="s">
        <v>233</v>
      </c>
      <c r="F70" t="s">
        <v>146</v>
      </c>
      <c r="G70" t="s">
        <v>31</v>
      </c>
    </row>
    <row r="71" spans="1:7" x14ac:dyDescent="0.25">
      <c r="A71" t="s">
        <v>653</v>
      </c>
      <c r="B71">
        <v>70</v>
      </c>
      <c r="C71" t="s">
        <v>5</v>
      </c>
      <c r="D71" t="s">
        <v>221</v>
      </c>
      <c r="E71" t="s">
        <v>244</v>
      </c>
      <c r="F71" t="s">
        <v>146</v>
      </c>
      <c r="G71" t="s">
        <v>31</v>
      </c>
    </row>
    <row r="72" spans="1:7" x14ac:dyDescent="0.25">
      <c r="A72" t="s">
        <v>654</v>
      </c>
      <c r="B72">
        <v>71</v>
      </c>
      <c r="C72" t="s">
        <v>5</v>
      </c>
      <c r="D72" t="s">
        <v>213</v>
      </c>
      <c r="E72" t="s">
        <v>236</v>
      </c>
      <c r="F72" t="s">
        <v>147</v>
      </c>
      <c r="G72" t="s">
        <v>32</v>
      </c>
    </row>
    <row r="73" spans="1:7" x14ac:dyDescent="0.25">
      <c r="A73" t="s">
        <v>655</v>
      </c>
      <c r="B73">
        <v>72</v>
      </c>
      <c r="C73" t="s">
        <v>5</v>
      </c>
      <c r="D73" t="s">
        <v>214</v>
      </c>
      <c r="E73" t="s">
        <v>237</v>
      </c>
      <c r="F73" t="s">
        <v>147</v>
      </c>
      <c r="G73" t="s">
        <v>32</v>
      </c>
    </row>
    <row r="74" spans="1:7" x14ac:dyDescent="0.25">
      <c r="A74" t="s">
        <v>472</v>
      </c>
      <c r="B74">
        <v>73</v>
      </c>
      <c r="C74" t="s">
        <v>5</v>
      </c>
      <c r="D74" t="s">
        <v>252</v>
      </c>
      <c r="E74" t="s">
        <v>253</v>
      </c>
      <c r="F74" t="s">
        <v>150</v>
      </c>
      <c r="G74" t="s">
        <v>152</v>
      </c>
    </row>
    <row r="75" spans="1:7" x14ac:dyDescent="0.25">
      <c r="A75" t="s">
        <v>473</v>
      </c>
      <c r="B75">
        <v>74</v>
      </c>
      <c r="C75" t="s">
        <v>5</v>
      </c>
      <c r="D75" t="s">
        <v>254</v>
      </c>
      <c r="E75" t="s">
        <v>255</v>
      </c>
      <c r="F75" t="s">
        <v>150</v>
      </c>
      <c r="G75" t="s">
        <v>152</v>
      </c>
    </row>
    <row r="76" spans="1:7" x14ac:dyDescent="0.25">
      <c r="A76" t="s">
        <v>474</v>
      </c>
      <c r="B76">
        <v>75</v>
      </c>
      <c r="C76" t="s">
        <v>5</v>
      </c>
      <c r="D76" t="s">
        <v>257</v>
      </c>
      <c r="E76" t="s">
        <v>258</v>
      </c>
      <c r="F76" t="s">
        <v>150</v>
      </c>
      <c r="G76" t="s">
        <v>152</v>
      </c>
    </row>
    <row r="77" spans="1:7" x14ac:dyDescent="0.25">
      <c r="A77" t="s">
        <v>475</v>
      </c>
      <c r="B77">
        <v>76</v>
      </c>
      <c r="C77" t="s">
        <v>5</v>
      </c>
      <c r="D77" t="s">
        <v>261</v>
      </c>
      <c r="E77" t="s">
        <v>262</v>
      </c>
      <c r="F77" t="s">
        <v>150</v>
      </c>
      <c r="G77" t="s">
        <v>152</v>
      </c>
    </row>
    <row r="78" spans="1:7" x14ac:dyDescent="0.25">
      <c r="A78" t="s">
        <v>476</v>
      </c>
      <c r="B78">
        <v>77</v>
      </c>
      <c r="C78" t="s">
        <v>5</v>
      </c>
      <c r="D78" t="s">
        <v>262</v>
      </c>
      <c r="E78" t="s">
        <v>263</v>
      </c>
      <c r="F78" t="s">
        <v>150</v>
      </c>
      <c r="G78" t="s">
        <v>152</v>
      </c>
    </row>
    <row r="79" spans="1:7" x14ac:dyDescent="0.25">
      <c r="A79" t="s">
        <v>900</v>
      </c>
      <c r="B79">
        <v>78</v>
      </c>
      <c r="C79" t="s">
        <v>5</v>
      </c>
      <c r="D79" t="s">
        <v>263</v>
      </c>
      <c r="E79" t="s">
        <v>264</v>
      </c>
      <c r="F79" t="s">
        <v>150</v>
      </c>
      <c r="G79" t="s">
        <v>152</v>
      </c>
    </row>
    <row r="80" spans="1:7" x14ac:dyDescent="0.25">
      <c r="A80" t="s">
        <v>477</v>
      </c>
      <c r="B80">
        <v>79</v>
      </c>
      <c r="C80" t="s">
        <v>5</v>
      </c>
      <c r="D80" t="s">
        <v>268</v>
      </c>
      <c r="E80" t="s">
        <v>269</v>
      </c>
      <c r="F80" t="s">
        <v>150</v>
      </c>
      <c r="G80" t="s">
        <v>152</v>
      </c>
    </row>
    <row r="81" spans="1:7" x14ac:dyDescent="0.25">
      <c r="A81" t="s">
        <v>478</v>
      </c>
      <c r="B81">
        <v>80</v>
      </c>
      <c r="C81" t="s">
        <v>5</v>
      </c>
      <c r="D81" t="s">
        <v>270</v>
      </c>
      <c r="E81" t="s">
        <v>271</v>
      </c>
      <c r="F81" t="s">
        <v>150</v>
      </c>
      <c r="G81" t="s">
        <v>152</v>
      </c>
    </row>
    <row r="82" spans="1:7" x14ac:dyDescent="0.25">
      <c r="A82" t="s">
        <v>479</v>
      </c>
      <c r="B82">
        <v>81</v>
      </c>
      <c r="C82" t="s">
        <v>5</v>
      </c>
      <c r="D82" t="s">
        <v>271</v>
      </c>
      <c r="E82" t="s">
        <v>272</v>
      </c>
      <c r="F82" t="s">
        <v>150</v>
      </c>
      <c r="G82" t="s">
        <v>152</v>
      </c>
    </row>
    <row r="83" spans="1:7" x14ac:dyDescent="0.25">
      <c r="A83" t="s">
        <v>480</v>
      </c>
      <c r="B83">
        <v>82</v>
      </c>
      <c r="C83" t="s">
        <v>5</v>
      </c>
      <c r="D83" t="s">
        <v>272</v>
      </c>
      <c r="E83" t="s">
        <v>273</v>
      </c>
      <c r="F83" t="s">
        <v>150</v>
      </c>
      <c r="G83" t="s">
        <v>152</v>
      </c>
    </row>
    <row r="84" spans="1:7" x14ac:dyDescent="0.25">
      <c r="A84" t="s">
        <v>481</v>
      </c>
      <c r="B84">
        <v>83</v>
      </c>
      <c r="C84" t="s">
        <v>5</v>
      </c>
      <c r="D84" t="s">
        <v>253</v>
      </c>
      <c r="E84" t="s">
        <v>257</v>
      </c>
      <c r="F84" t="s">
        <v>150</v>
      </c>
      <c r="G84" t="s">
        <v>152</v>
      </c>
    </row>
    <row r="85" spans="1:7" x14ac:dyDescent="0.25">
      <c r="A85" t="s">
        <v>482</v>
      </c>
      <c r="B85">
        <v>84</v>
      </c>
      <c r="C85" t="s">
        <v>5</v>
      </c>
      <c r="D85" t="s">
        <v>257</v>
      </c>
      <c r="E85" t="s">
        <v>262</v>
      </c>
      <c r="F85" t="s">
        <v>150</v>
      </c>
      <c r="G85" t="s">
        <v>152</v>
      </c>
    </row>
    <row r="86" spans="1:7" x14ac:dyDescent="0.25">
      <c r="A86" t="s">
        <v>483</v>
      </c>
      <c r="B86">
        <v>85</v>
      </c>
      <c r="C86" t="s">
        <v>5</v>
      </c>
      <c r="D86" t="s">
        <v>254</v>
      </c>
      <c r="E86" t="s">
        <v>258</v>
      </c>
      <c r="F86" t="s">
        <v>150</v>
      </c>
      <c r="G86" t="s">
        <v>152</v>
      </c>
    </row>
    <row r="87" spans="1:7" x14ac:dyDescent="0.25">
      <c r="A87" t="s">
        <v>484</v>
      </c>
      <c r="B87">
        <v>86</v>
      </c>
      <c r="C87" t="s">
        <v>5</v>
      </c>
      <c r="D87" t="s">
        <v>258</v>
      </c>
      <c r="E87" t="s">
        <v>263</v>
      </c>
      <c r="F87" t="s">
        <v>150</v>
      </c>
      <c r="G87" t="s">
        <v>152</v>
      </c>
    </row>
    <row r="88" spans="1:7" x14ac:dyDescent="0.25">
      <c r="A88" t="s">
        <v>485</v>
      </c>
      <c r="B88">
        <v>87</v>
      </c>
      <c r="C88" t="s">
        <v>5</v>
      </c>
      <c r="D88" t="s">
        <v>265</v>
      </c>
      <c r="E88" t="s">
        <v>268</v>
      </c>
      <c r="F88" t="s">
        <v>150</v>
      </c>
      <c r="G88" t="s">
        <v>152</v>
      </c>
    </row>
    <row r="89" spans="1:7" x14ac:dyDescent="0.25">
      <c r="A89" t="s">
        <v>486</v>
      </c>
      <c r="B89">
        <v>88</v>
      </c>
      <c r="C89" t="s">
        <v>5</v>
      </c>
      <c r="D89" t="s">
        <v>268</v>
      </c>
      <c r="E89" t="s">
        <v>271</v>
      </c>
      <c r="F89" t="s">
        <v>150</v>
      </c>
      <c r="G89" t="s">
        <v>152</v>
      </c>
    </row>
    <row r="90" spans="1:7" x14ac:dyDescent="0.25">
      <c r="A90" t="s">
        <v>487</v>
      </c>
      <c r="B90">
        <v>89</v>
      </c>
      <c r="C90" t="s">
        <v>5</v>
      </c>
      <c r="D90" t="s">
        <v>266</v>
      </c>
      <c r="E90" t="s">
        <v>269</v>
      </c>
      <c r="F90" t="s">
        <v>150</v>
      </c>
      <c r="G90" t="s">
        <v>152</v>
      </c>
    </row>
    <row r="91" spans="1:7" x14ac:dyDescent="0.25">
      <c r="A91" t="s">
        <v>488</v>
      </c>
      <c r="B91">
        <v>90</v>
      </c>
      <c r="C91" t="s">
        <v>5</v>
      </c>
      <c r="D91" t="s">
        <v>269</v>
      </c>
      <c r="E91" t="s">
        <v>272</v>
      </c>
      <c r="F91" t="s">
        <v>150</v>
      </c>
      <c r="G91" t="s">
        <v>152</v>
      </c>
    </row>
    <row r="92" spans="1:7" x14ac:dyDescent="0.25">
      <c r="A92" t="s">
        <v>656</v>
      </c>
      <c r="B92">
        <v>91</v>
      </c>
      <c r="C92" t="s">
        <v>5</v>
      </c>
      <c r="D92" t="s">
        <v>229</v>
      </c>
      <c r="E92" t="s">
        <v>252</v>
      </c>
      <c r="F92" t="s">
        <v>148</v>
      </c>
      <c r="G92" t="s">
        <v>32</v>
      </c>
    </row>
    <row r="93" spans="1:7" x14ac:dyDescent="0.25">
      <c r="A93" t="s">
        <v>657</v>
      </c>
      <c r="B93">
        <v>92</v>
      </c>
      <c r="C93" t="s">
        <v>5</v>
      </c>
      <c r="D93" t="s">
        <v>230</v>
      </c>
      <c r="E93" t="s">
        <v>253</v>
      </c>
      <c r="F93" t="s">
        <v>148</v>
      </c>
      <c r="G93" t="s">
        <v>32</v>
      </c>
    </row>
    <row r="94" spans="1:7" x14ac:dyDescent="0.25">
      <c r="A94" t="s">
        <v>658</v>
      </c>
      <c r="B94">
        <v>93</v>
      </c>
      <c r="C94" t="s">
        <v>5</v>
      </c>
      <c r="D94" t="s">
        <v>231</v>
      </c>
      <c r="E94" t="s">
        <v>254</v>
      </c>
      <c r="F94" t="s">
        <v>148</v>
      </c>
      <c r="G94" t="s">
        <v>32</v>
      </c>
    </row>
    <row r="95" spans="1:7" x14ac:dyDescent="0.25">
      <c r="A95" t="s">
        <v>659</v>
      </c>
      <c r="B95">
        <v>94</v>
      </c>
      <c r="C95" t="s">
        <v>5</v>
      </c>
      <c r="D95" t="s">
        <v>232</v>
      </c>
      <c r="E95" t="s">
        <v>255</v>
      </c>
      <c r="F95" t="s">
        <v>148</v>
      </c>
      <c r="G95" t="s">
        <v>32</v>
      </c>
    </row>
    <row r="96" spans="1:7" x14ac:dyDescent="0.25">
      <c r="A96" t="s">
        <v>660</v>
      </c>
      <c r="B96">
        <v>95</v>
      </c>
      <c r="C96" t="s">
        <v>5</v>
      </c>
      <c r="D96" t="s">
        <v>238</v>
      </c>
      <c r="E96" t="s">
        <v>261</v>
      </c>
      <c r="F96" t="s">
        <v>148</v>
      </c>
      <c r="G96" t="s">
        <v>32</v>
      </c>
    </row>
    <row r="97" spans="1:7" x14ac:dyDescent="0.25">
      <c r="A97" t="s">
        <v>661</v>
      </c>
      <c r="B97">
        <v>96</v>
      </c>
      <c r="C97" t="s">
        <v>5</v>
      </c>
      <c r="D97" t="s">
        <v>239</v>
      </c>
      <c r="E97" t="s">
        <v>262</v>
      </c>
      <c r="F97" t="s">
        <v>149</v>
      </c>
      <c r="G97" t="s">
        <v>32</v>
      </c>
    </row>
    <row r="98" spans="1:7" x14ac:dyDescent="0.25">
      <c r="A98" t="s">
        <v>662</v>
      </c>
      <c r="B98">
        <v>97</v>
      </c>
      <c r="C98" t="s">
        <v>5</v>
      </c>
      <c r="D98" t="s">
        <v>240</v>
      </c>
      <c r="E98" t="s">
        <v>263</v>
      </c>
      <c r="F98" t="s">
        <v>149</v>
      </c>
      <c r="G98" t="s">
        <v>32</v>
      </c>
    </row>
    <row r="99" spans="1:7" x14ac:dyDescent="0.25">
      <c r="A99" t="s">
        <v>663</v>
      </c>
      <c r="B99">
        <v>98</v>
      </c>
      <c r="C99" t="s">
        <v>5</v>
      </c>
      <c r="D99" t="s">
        <v>241</v>
      </c>
      <c r="E99" t="s">
        <v>264</v>
      </c>
      <c r="F99" t="s">
        <v>148</v>
      </c>
      <c r="G99" t="s">
        <v>32</v>
      </c>
    </row>
    <row r="100" spans="1:7" x14ac:dyDescent="0.25">
      <c r="A100" t="s">
        <v>664</v>
      </c>
      <c r="B100">
        <v>99</v>
      </c>
      <c r="C100" t="s">
        <v>5</v>
      </c>
      <c r="D100" t="s">
        <v>242</v>
      </c>
      <c r="E100" t="s">
        <v>265</v>
      </c>
      <c r="F100" t="s">
        <v>148</v>
      </c>
      <c r="G100" t="s">
        <v>32</v>
      </c>
    </row>
    <row r="101" spans="1:7" x14ac:dyDescent="0.25">
      <c r="A101" t="s">
        <v>665</v>
      </c>
      <c r="B101">
        <v>100</v>
      </c>
      <c r="C101" t="s">
        <v>5</v>
      </c>
      <c r="D101" t="s">
        <v>243</v>
      </c>
      <c r="E101" t="s">
        <v>266</v>
      </c>
      <c r="F101" t="s">
        <v>148</v>
      </c>
      <c r="G101" t="s">
        <v>32</v>
      </c>
    </row>
    <row r="102" spans="1:7" x14ac:dyDescent="0.25">
      <c r="A102" t="s">
        <v>666</v>
      </c>
      <c r="B102">
        <v>101</v>
      </c>
      <c r="C102" t="s">
        <v>5</v>
      </c>
      <c r="D102" t="s">
        <v>247</v>
      </c>
      <c r="E102" t="s">
        <v>270</v>
      </c>
      <c r="F102" t="s">
        <v>149</v>
      </c>
      <c r="G102" t="s">
        <v>32</v>
      </c>
    </row>
    <row r="103" spans="1:7" x14ac:dyDescent="0.25">
      <c r="A103" t="s">
        <v>667</v>
      </c>
      <c r="B103">
        <v>102</v>
      </c>
      <c r="C103" t="s">
        <v>5</v>
      </c>
      <c r="D103" t="s">
        <v>248</v>
      </c>
      <c r="E103" t="s">
        <v>271</v>
      </c>
      <c r="F103" t="s">
        <v>149</v>
      </c>
      <c r="G103" t="s">
        <v>32</v>
      </c>
    </row>
    <row r="104" spans="1:7" x14ac:dyDescent="0.25">
      <c r="A104" t="s">
        <v>668</v>
      </c>
      <c r="B104">
        <v>103</v>
      </c>
      <c r="C104" t="s">
        <v>5</v>
      </c>
      <c r="D104" t="s">
        <v>249</v>
      </c>
      <c r="E104" t="s">
        <v>272</v>
      </c>
      <c r="F104" t="s">
        <v>149</v>
      </c>
      <c r="G104" t="s">
        <v>32</v>
      </c>
    </row>
    <row r="105" spans="1:7" x14ac:dyDescent="0.25">
      <c r="A105" t="s">
        <v>669</v>
      </c>
      <c r="B105">
        <v>104</v>
      </c>
      <c r="C105" t="s">
        <v>5</v>
      </c>
      <c r="D105" t="s">
        <v>250</v>
      </c>
      <c r="E105" t="s">
        <v>273</v>
      </c>
      <c r="F105" t="s">
        <v>149</v>
      </c>
      <c r="G105" t="s">
        <v>32</v>
      </c>
    </row>
    <row r="106" spans="1:7" x14ac:dyDescent="0.25">
      <c r="A106" t="s">
        <v>670</v>
      </c>
      <c r="B106">
        <v>105</v>
      </c>
      <c r="C106" t="s">
        <v>5</v>
      </c>
      <c r="D106" t="s">
        <v>233</v>
      </c>
      <c r="E106" t="s">
        <v>256</v>
      </c>
      <c r="F106" t="s">
        <v>146</v>
      </c>
      <c r="G106" t="s">
        <v>31</v>
      </c>
    </row>
    <row r="107" spans="1:7" x14ac:dyDescent="0.25">
      <c r="A107" t="s">
        <v>671</v>
      </c>
      <c r="B107">
        <v>106</v>
      </c>
      <c r="C107" t="s">
        <v>5</v>
      </c>
      <c r="D107" t="s">
        <v>244</v>
      </c>
      <c r="E107" t="s">
        <v>267</v>
      </c>
      <c r="F107" t="s">
        <v>146</v>
      </c>
      <c r="G107" t="s">
        <v>31</v>
      </c>
    </row>
    <row r="108" spans="1:7" x14ac:dyDescent="0.25">
      <c r="A108" t="s">
        <v>672</v>
      </c>
      <c r="B108">
        <v>107</v>
      </c>
      <c r="C108" t="s">
        <v>5</v>
      </c>
      <c r="D108" t="s">
        <v>236</v>
      </c>
      <c r="E108" t="s">
        <v>259</v>
      </c>
      <c r="F108" t="s">
        <v>147</v>
      </c>
      <c r="G108" t="s">
        <v>32</v>
      </c>
    </row>
    <row r="109" spans="1:7" x14ac:dyDescent="0.25">
      <c r="A109" t="s">
        <v>673</v>
      </c>
      <c r="B109">
        <v>108</v>
      </c>
      <c r="C109" t="s">
        <v>5</v>
      </c>
      <c r="D109" t="s">
        <v>237</v>
      </c>
      <c r="E109" t="s">
        <v>260</v>
      </c>
      <c r="F109" t="s">
        <v>147</v>
      </c>
      <c r="G109" t="s">
        <v>32</v>
      </c>
    </row>
    <row r="110" spans="1:7" x14ac:dyDescent="0.25">
      <c r="A110" t="s">
        <v>489</v>
      </c>
      <c r="B110">
        <v>109</v>
      </c>
      <c r="C110" t="s">
        <v>5</v>
      </c>
      <c r="D110" t="s">
        <v>275</v>
      </c>
      <c r="E110" t="s">
        <v>276</v>
      </c>
      <c r="F110" t="s">
        <v>150</v>
      </c>
      <c r="G110" t="s">
        <v>152</v>
      </c>
    </row>
    <row r="111" spans="1:7" x14ac:dyDescent="0.25">
      <c r="A111" t="s">
        <v>490</v>
      </c>
      <c r="B111">
        <v>110</v>
      </c>
      <c r="C111" t="s">
        <v>5</v>
      </c>
      <c r="D111" t="s">
        <v>277</v>
      </c>
      <c r="E111" t="s">
        <v>278</v>
      </c>
      <c r="F111" t="s">
        <v>150</v>
      </c>
      <c r="G111" t="s">
        <v>152</v>
      </c>
    </row>
    <row r="112" spans="1:7" x14ac:dyDescent="0.25">
      <c r="A112" t="s">
        <v>491</v>
      </c>
      <c r="B112">
        <v>111</v>
      </c>
      <c r="C112" t="s">
        <v>5</v>
      </c>
      <c r="D112" t="s">
        <v>280</v>
      </c>
      <c r="E112" t="s">
        <v>281</v>
      </c>
      <c r="F112" t="s">
        <v>150</v>
      </c>
      <c r="G112" t="s">
        <v>152</v>
      </c>
    </row>
    <row r="113" spans="1:7" x14ac:dyDescent="0.25">
      <c r="A113" t="s">
        <v>492</v>
      </c>
      <c r="B113">
        <v>112</v>
      </c>
      <c r="C113" t="s">
        <v>5</v>
      </c>
      <c r="D113" t="s">
        <v>284</v>
      </c>
      <c r="E113" t="s">
        <v>285</v>
      </c>
      <c r="F113" t="s">
        <v>150</v>
      </c>
      <c r="G113" t="s">
        <v>152</v>
      </c>
    </row>
    <row r="114" spans="1:7" x14ac:dyDescent="0.25">
      <c r="A114" t="s">
        <v>493</v>
      </c>
      <c r="B114">
        <v>113</v>
      </c>
      <c r="C114" t="s">
        <v>5</v>
      </c>
      <c r="D114" t="s">
        <v>285</v>
      </c>
      <c r="E114" t="s">
        <v>286</v>
      </c>
      <c r="F114" t="s">
        <v>150</v>
      </c>
      <c r="G114" t="s">
        <v>152</v>
      </c>
    </row>
    <row r="115" spans="1:7" x14ac:dyDescent="0.25">
      <c r="A115" t="s">
        <v>494</v>
      </c>
      <c r="B115">
        <v>114</v>
      </c>
      <c r="C115" t="s">
        <v>5</v>
      </c>
      <c r="D115" t="s">
        <v>286</v>
      </c>
      <c r="E115" t="s">
        <v>287</v>
      </c>
      <c r="F115" t="s">
        <v>150</v>
      </c>
      <c r="G115" t="s">
        <v>152</v>
      </c>
    </row>
    <row r="116" spans="1:7" x14ac:dyDescent="0.25">
      <c r="A116" t="s">
        <v>495</v>
      </c>
      <c r="B116">
        <v>115</v>
      </c>
      <c r="C116" t="s">
        <v>5</v>
      </c>
      <c r="D116" t="s">
        <v>291</v>
      </c>
      <c r="E116" t="s">
        <v>292</v>
      </c>
      <c r="F116" t="s">
        <v>150</v>
      </c>
      <c r="G116" t="s">
        <v>152</v>
      </c>
    </row>
    <row r="117" spans="1:7" x14ac:dyDescent="0.25">
      <c r="A117" t="s">
        <v>496</v>
      </c>
      <c r="B117">
        <v>116</v>
      </c>
      <c r="C117" t="s">
        <v>5</v>
      </c>
      <c r="D117" t="s">
        <v>293</v>
      </c>
      <c r="E117" t="s">
        <v>294</v>
      </c>
      <c r="F117" t="s">
        <v>150</v>
      </c>
      <c r="G117" t="s">
        <v>152</v>
      </c>
    </row>
    <row r="118" spans="1:7" x14ac:dyDescent="0.25">
      <c r="A118" t="s">
        <v>497</v>
      </c>
      <c r="B118">
        <v>117</v>
      </c>
      <c r="C118" t="s">
        <v>5</v>
      </c>
      <c r="D118" t="s">
        <v>294</v>
      </c>
      <c r="E118" t="s">
        <v>295</v>
      </c>
      <c r="F118" t="s">
        <v>150</v>
      </c>
      <c r="G118" t="s">
        <v>152</v>
      </c>
    </row>
    <row r="119" spans="1:7" x14ac:dyDescent="0.25">
      <c r="A119" t="s">
        <v>498</v>
      </c>
      <c r="B119">
        <v>118</v>
      </c>
      <c r="C119" t="s">
        <v>5</v>
      </c>
      <c r="D119" t="s">
        <v>295</v>
      </c>
      <c r="E119" t="s">
        <v>296</v>
      </c>
      <c r="F119" t="s">
        <v>150</v>
      </c>
      <c r="G119" t="s">
        <v>152</v>
      </c>
    </row>
    <row r="120" spans="1:7" x14ac:dyDescent="0.25">
      <c r="A120" t="s">
        <v>499</v>
      </c>
      <c r="B120">
        <v>119</v>
      </c>
      <c r="C120" t="s">
        <v>5</v>
      </c>
      <c r="D120" t="s">
        <v>276</v>
      </c>
      <c r="E120" t="s">
        <v>280</v>
      </c>
      <c r="F120" t="s">
        <v>150</v>
      </c>
      <c r="G120" t="s">
        <v>152</v>
      </c>
    </row>
    <row r="121" spans="1:7" x14ac:dyDescent="0.25">
      <c r="A121" t="s">
        <v>500</v>
      </c>
      <c r="B121">
        <v>120</v>
      </c>
      <c r="C121" t="s">
        <v>5</v>
      </c>
      <c r="D121" t="s">
        <v>280</v>
      </c>
      <c r="E121" t="s">
        <v>285</v>
      </c>
      <c r="F121" t="s">
        <v>150</v>
      </c>
      <c r="G121" t="s">
        <v>152</v>
      </c>
    </row>
    <row r="122" spans="1:7" x14ac:dyDescent="0.25">
      <c r="A122" t="s">
        <v>501</v>
      </c>
      <c r="B122">
        <v>121</v>
      </c>
      <c r="C122" t="s">
        <v>5</v>
      </c>
      <c r="D122" t="s">
        <v>277</v>
      </c>
      <c r="E122" t="s">
        <v>281</v>
      </c>
      <c r="F122" t="s">
        <v>150</v>
      </c>
      <c r="G122" t="s">
        <v>152</v>
      </c>
    </row>
    <row r="123" spans="1:7" x14ac:dyDescent="0.25">
      <c r="A123" t="s">
        <v>502</v>
      </c>
      <c r="B123">
        <v>122</v>
      </c>
      <c r="C123" t="s">
        <v>5</v>
      </c>
      <c r="D123" t="s">
        <v>281</v>
      </c>
      <c r="E123" t="s">
        <v>286</v>
      </c>
      <c r="F123" t="s">
        <v>150</v>
      </c>
      <c r="G123" t="s">
        <v>152</v>
      </c>
    </row>
    <row r="124" spans="1:7" x14ac:dyDescent="0.25">
      <c r="A124" t="s">
        <v>503</v>
      </c>
      <c r="B124">
        <v>123</v>
      </c>
      <c r="C124" t="s">
        <v>5</v>
      </c>
      <c r="D124" t="s">
        <v>288</v>
      </c>
      <c r="E124" t="s">
        <v>291</v>
      </c>
      <c r="F124" t="s">
        <v>150</v>
      </c>
      <c r="G124" t="s">
        <v>152</v>
      </c>
    </row>
    <row r="125" spans="1:7" x14ac:dyDescent="0.25">
      <c r="A125" t="s">
        <v>504</v>
      </c>
      <c r="B125">
        <v>124</v>
      </c>
      <c r="C125" t="s">
        <v>5</v>
      </c>
      <c r="D125" t="s">
        <v>291</v>
      </c>
      <c r="E125" t="s">
        <v>294</v>
      </c>
      <c r="F125" t="s">
        <v>150</v>
      </c>
      <c r="G125" t="s">
        <v>152</v>
      </c>
    </row>
    <row r="126" spans="1:7" x14ac:dyDescent="0.25">
      <c r="A126" t="s">
        <v>505</v>
      </c>
      <c r="B126">
        <v>125</v>
      </c>
      <c r="C126" t="s">
        <v>5</v>
      </c>
      <c r="D126" t="s">
        <v>289</v>
      </c>
      <c r="E126" t="s">
        <v>292</v>
      </c>
      <c r="F126" t="s">
        <v>150</v>
      </c>
      <c r="G126" t="s">
        <v>152</v>
      </c>
    </row>
    <row r="127" spans="1:7" x14ac:dyDescent="0.25">
      <c r="A127" t="s">
        <v>506</v>
      </c>
      <c r="B127">
        <v>126</v>
      </c>
      <c r="C127" t="s">
        <v>5</v>
      </c>
      <c r="D127" t="s">
        <v>292</v>
      </c>
      <c r="E127" t="s">
        <v>295</v>
      </c>
      <c r="F127" t="s">
        <v>150</v>
      </c>
      <c r="G127" t="s">
        <v>152</v>
      </c>
    </row>
    <row r="128" spans="1:7" x14ac:dyDescent="0.25">
      <c r="A128" t="s">
        <v>674</v>
      </c>
      <c r="B128">
        <v>127</v>
      </c>
      <c r="C128" t="s">
        <v>5</v>
      </c>
      <c r="D128" t="s">
        <v>252</v>
      </c>
      <c r="E128" t="s">
        <v>275</v>
      </c>
      <c r="F128" t="s">
        <v>148</v>
      </c>
      <c r="G128" t="s">
        <v>32</v>
      </c>
    </row>
    <row r="129" spans="1:7" x14ac:dyDescent="0.25">
      <c r="A129" t="s">
        <v>675</v>
      </c>
      <c r="B129">
        <v>128</v>
      </c>
      <c r="C129" t="s">
        <v>5</v>
      </c>
      <c r="D129" t="s">
        <v>253</v>
      </c>
      <c r="E129" t="s">
        <v>276</v>
      </c>
      <c r="F129" t="s">
        <v>148</v>
      </c>
      <c r="G129" t="s">
        <v>32</v>
      </c>
    </row>
    <row r="130" spans="1:7" x14ac:dyDescent="0.25">
      <c r="A130" t="s">
        <v>676</v>
      </c>
      <c r="B130">
        <v>129</v>
      </c>
      <c r="C130" t="s">
        <v>5</v>
      </c>
      <c r="D130" t="s">
        <v>254</v>
      </c>
      <c r="E130" t="s">
        <v>277</v>
      </c>
      <c r="F130" t="s">
        <v>148</v>
      </c>
      <c r="G130" t="s">
        <v>32</v>
      </c>
    </row>
    <row r="131" spans="1:7" x14ac:dyDescent="0.25">
      <c r="A131" t="s">
        <v>677</v>
      </c>
      <c r="B131">
        <v>130</v>
      </c>
      <c r="C131" t="s">
        <v>5</v>
      </c>
      <c r="D131" t="s">
        <v>255</v>
      </c>
      <c r="E131" t="s">
        <v>278</v>
      </c>
      <c r="F131" t="s">
        <v>148</v>
      </c>
      <c r="G131" t="s">
        <v>32</v>
      </c>
    </row>
    <row r="132" spans="1:7" x14ac:dyDescent="0.25">
      <c r="A132" t="s">
        <v>678</v>
      </c>
      <c r="B132">
        <v>131</v>
      </c>
      <c r="C132" t="s">
        <v>5</v>
      </c>
      <c r="D132" t="s">
        <v>261</v>
      </c>
      <c r="E132" t="s">
        <v>284</v>
      </c>
      <c r="F132" t="s">
        <v>148</v>
      </c>
      <c r="G132" t="s">
        <v>32</v>
      </c>
    </row>
    <row r="133" spans="1:7" x14ac:dyDescent="0.25">
      <c r="A133" t="s">
        <v>679</v>
      </c>
      <c r="B133">
        <v>132</v>
      </c>
      <c r="C133" t="s">
        <v>5</v>
      </c>
      <c r="D133" t="s">
        <v>262</v>
      </c>
      <c r="E133" t="s">
        <v>285</v>
      </c>
      <c r="F133" t="s">
        <v>149</v>
      </c>
      <c r="G133" t="s">
        <v>32</v>
      </c>
    </row>
    <row r="134" spans="1:7" x14ac:dyDescent="0.25">
      <c r="A134" t="s">
        <v>680</v>
      </c>
      <c r="B134">
        <v>133</v>
      </c>
      <c r="C134" t="s">
        <v>5</v>
      </c>
      <c r="D134" t="s">
        <v>263</v>
      </c>
      <c r="E134" t="s">
        <v>286</v>
      </c>
      <c r="F134" t="s">
        <v>149</v>
      </c>
      <c r="G134" t="s">
        <v>32</v>
      </c>
    </row>
    <row r="135" spans="1:7" x14ac:dyDescent="0.25">
      <c r="A135" t="s">
        <v>681</v>
      </c>
      <c r="B135">
        <v>134</v>
      </c>
      <c r="C135" t="s">
        <v>5</v>
      </c>
      <c r="D135" t="s">
        <v>264</v>
      </c>
      <c r="E135" t="s">
        <v>287</v>
      </c>
      <c r="F135" t="s">
        <v>148</v>
      </c>
      <c r="G135" t="s">
        <v>32</v>
      </c>
    </row>
    <row r="136" spans="1:7" x14ac:dyDescent="0.25">
      <c r="A136" t="s">
        <v>682</v>
      </c>
      <c r="B136">
        <v>135</v>
      </c>
      <c r="C136" t="s">
        <v>5</v>
      </c>
      <c r="D136" t="s">
        <v>265</v>
      </c>
      <c r="E136" t="s">
        <v>288</v>
      </c>
      <c r="F136" t="s">
        <v>148</v>
      </c>
      <c r="G136" t="s">
        <v>32</v>
      </c>
    </row>
    <row r="137" spans="1:7" x14ac:dyDescent="0.25">
      <c r="A137" t="s">
        <v>683</v>
      </c>
      <c r="B137">
        <v>136</v>
      </c>
      <c r="C137" t="s">
        <v>5</v>
      </c>
      <c r="D137" t="s">
        <v>266</v>
      </c>
      <c r="E137" t="s">
        <v>289</v>
      </c>
      <c r="F137" t="s">
        <v>148</v>
      </c>
      <c r="G137" t="s">
        <v>32</v>
      </c>
    </row>
    <row r="138" spans="1:7" x14ac:dyDescent="0.25">
      <c r="A138" t="s">
        <v>684</v>
      </c>
      <c r="B138">
        <v>137</v>
      </c>
      <c r="C138" t="s">
        <v>5</v>
      </c>
      <c r="D138" t="s">
        <v>270</v>
      </c>
      <c r="E138" t="s">
        <v>293</v>
      </c>
      <c r="F138" t="s">
        <v>149</v>
      </c>
      <c r="G138" t="s">
        <v>32</v>
      </c>
    </row>
    <row r="139" spans="1:7" x14ac:dyDescent="0.25">
      <c r="A139" t="s">
        <v>685</v>
      </c>
      <c r="B139">
        <v>138</v>
      </c>
      <c r="C139" t="s">
        <v>5</v>
      </c>
      <c r="D139" t="s">
        <v>271</v>
      </c>
      <c r="E139" t="s">
        <v>294</v>
      </c>
      <c r="F139" t="s">
        <v>149</v>
      </c>
      <c r="G139" t="s">
        <v>32</v>
      </c>
    </row>
    <row r="140" spans="1:7" x14ac:dyDescent="0.25">
      <c r="A140" t="s">
        <v>686</v>
      </c>
      <c r="B140">
        <v>139</v>
      </c>
      <c r="C140" t="s">
        <v>5</v>
      </c>
      <c r="D140" t="s">
        <v>272</v>
      </c>
      <c r="E140" t="s">
        <v>295</v>
      </c>
      <c r="F140" t="s">
        <v>149</v>
      </c>
      <c r="G140" t="s">
        <v>32</v>
      </c>
    </row>
    <row r="141" spans="1:7" x14ac:dyDescent="0.25">
      <c r="A141" t="s">
        <v>687</v>
      </c>
      <c r="B141">
        <v>140</v>
      </c>
      <c r="C141" t="s">
        <v>5</v>
      </c>
      <c r="D141" t="s">
        <v>273</v>
      </c>
      <c r="E141" t="s">
        <v>296</v>
      </c>
      <c r="F141" t="s">
        <v>149</v>
      </c>
      <c r="G141" t="s">
        <v>32</v>
      </c>
    </row>
    <row r="142" spans="1:7" x14ac:dyDescent="0.25">
      <c r="A142" t="s">
        <v>688</v>
      </c>
      <c r="B142">
        <v>141</v>
      </c>
      <c r="C142" t="s">
        <v>5</v>
      </c>
      <c r="D142" t="s">
        <v>256</v>
      </c>
      <c r="E142" t="s">
        <v>279</v>
      </c>
      <c r="F142" t="s">
        <v>146</v>
      </c>
      <c r="G142" t="s">
        <v>31</v>
      </c>
    </row>
    <row r="143" spans="1:7" x14ac:dyDescent="0.25">
      <c r="A143" t="s">
        <v>689</v>
      </c>
      <c r="B143">
        <v>142</v>
      </c>
      <c r="C143" t="s">
        <v>5</v>
      </c>
      <c r="D143" t="s">
        <v>267</v>
      </c>
      <c r="E143" t="s">
        <v>290</v>
      </c>
      <c r="F143" t="s">
        <v>146</v>
      </c>
      <c r="G143" t="s">
        <v>31</v>
      </c>
    </row>
    <row r="144" spans="1:7" x14ac:dyDescent="0.25">
      <c r="A144" t="s">
        <v>690</v>
      </c>
      <c r="B144">
        <v>143</v>
      </c>
      <c r="C144" t="s">
        <v>5</v>
      </c>
      <c r="D144" t="s">
        <v>259</v>
      </c>
      <c r="E144" t="s">
        <v>282</v>
      </c>
      <c r="F144" t="s">
        <v>147</v>
      </c>
      <c r="G144" t="s">
        <v>32</v>
      </c>
    </row>
    <row r="145" spans="1:7" x14ac:dyDescent="0.25">
      <c r="A145" t="s">
        <v>691</v>
      </c>
      <c r="B145">
        <v>144</v>
      </c>
      <c r="C145" t="s">
        <v>5</v>
      </c>
      <c r="D145" t="s">
        <v>260</v>
      </c>
      <c r="E145" t="s">
        <v>283</v>
      </c>
      <c r="F145" t="s">
        <v>147</v>
      </c>
      <c r="G145" t="s">
        <v>32</v>
      </c>
    </row>
    <row r="146" spans="1:7" x14ac:dyDescent="0.25">
      <c r="A146" t="s">
        <v>507</v>
      </c>
      <c r="B146">
        <v>145</v>
      </c>
      <c r="C146" t="s">
        <v>5</v>
      </c>
      <c r="D146" t="s">
        <v>298</v>
      </c>
      <c r="E146" t="s">
        <v>299</v>
      </c>
      <c r="F146" t="s">
        <v>150</v>
      </c>
      <c r="G146" t="s">
        <v>152</v>
      </c>
    </row>
    <row r="147" spans="1:7" x14ac:dyDescent="0.25">
      <c r="A147" t="s">
        <v>508</v>
      </c>
      <c r="B147">
        <v>146</v>
      </c>
      <c r="C147" t="s">
        <v>5</v>
      </c>
      <c r="D147" t="s">
        <v>300</v>
      </c>
      <c r="E147" t="s">
        <v>301</v>
      </c>
      <c r="F147" t="s">
        <v>150</v>
      </c>
      <c r="G147" t="s">
        <v>152</v>
      </c>
    </row>
    <row r="148" spans="1:7" x14ac:dyDescent="0.25">
      <c r="A148" t="s">
        <v>509</v>
      </c>
      <c r="B148">
        <v>147</v>
      </c>
      <c r="C148" t="s">
        <v>5</v>
      </c>
      <c r="D148" t="s">
        <v>303</v>
      </c>
      <c r="E148" t="s">
        <v>304</v>
      </c>
      <c r="F148" t="s">
        <v>150</v>
      </c>
      <c r="G148" t="s">
        <v>152</v>
      </c>
    </row>
    <row r="149" spans="1:7" x14ac:dyDescent="0.25">
      <c r="A149" t="s">
        <v>510</v>
      </c>
      <c r="B149">
        <v>148</v>
      </c>
      <c r="C149" t="s">
        <v>5</v>
      </c>
      <c r="D149" t="s">
        <v>307</v>
      </c>
      <c r="E149" t="s">
        <v>308</v>
      </c>
      <c r="F149" t="s">
        <v>150</v>
      </c>
      <c r="G149" t="s">
        <v>152</v>
      </c>
    </row>
    <row r="150" spans="1:7" x14ac:dyDescent="0.25">
      <c r="A150" t="s">
        <v>511</v>
      </c>
      <c r="B150">
        <v>149</v>
      </c>
      <c r="C150" t="s">
        <v>5</v>
      </c>
      <c r="D150" t="s">
        <v>308</v>
      </c>
      <c r="E150" t="s">
        <v>309</v>
      </c>
      <c r="F150" t="s">
        <v>150</v>
      </c>
      <c r="G150" t="s">
        <v>152</v>
      </c>
    </row>
    <row r="151" spans="1:7" x14ac:dyDescent="0.25">
      <c r="A151" t="s">
        <v>512</v>
      </c>
      <c r="B151">
        <v>150</v>
      </c>
      <c r="C151" t="s">
        <v>5</v>
      </c>
      <c r="D151" t="s">
        <v>309</v>
      </c>
      <c r="E151" t="s">
        <v>310</v>
      </c>
      <c r="F151" t="s">
        <v>150</v>
      </c>
      <c r="G151" t="s">
        <v>152</v>
      </c>
    </row>
    <row r="152" spans="1:7" x14ac:dyDescent="0.25">
      <c r="A152" t="s">
        <v>513</v>
      </c>
      <c r="B152">
        <v>151</v>
      </c>
      <c r="C152" t="s">
        <v>5</v>
      </c>
      <c r="D152" t="s">
        <v>314</v>
      </c>
      <c r="E152" t="s">
        <v>315</v>
      </c>
      <c r="F152" t="s">
        <v>150</v>
      </c>
      <c r="G152" t="s">
        <v>152</v>
      </c>
    </row>
    <row r="153" spans="1:7" x14ac:dyDescent="0.25">
      <c r="A153" t="s">
        <v>514</v>
      </c>
      <c r="B153">
        <v>152</v>
      </c>
      <c r="C153" t="s">
        <v>5</v>
      </c>
      <c r="D153" t="s">
        <v>316</v>
      </c>
      <c r="E153" t="s">
        <v>317</v>
      </c>
      <c r="F153" t="s">
        <v>150</v>
      </c>
      <c r="G153" t="s">
        <v>152</v>
      </c>
    </row>
    <row r="154" spans="1:7" x14ac:dyDescent="0.25">
      <c r="A154" t="s">
        <v>515</v>
      </c>
      <c r="B154">
        <v>153</v>
      </c>
      <c r="C154" t="s">
        <v>5</v>
      </c>
      <c r="D154" t="s">
        <v>317</v>
      </c>
      <c r="E154" t="s">
        <v>318</v>
      </c>
      <c r="F154" t="s">
        <v>150</v>
      </c>
      <c r="G154" t="s">
        <v>152</v>
      </c>
    </row>
    <row r="155" spans="1:7" x14ac:dyDescent="0.25">
      <c r="A155" t="s">
        <v>516</v>
      </c>
      <c r="B155">
        <v>154</v>
      </c>
      <c r="C155" t="s">
        <v>5</v>
      </c>
      <c r="D155" t="s">
        <v>318</v>
      </c>
      <c r="E155" t="s">
        <v>319</v>
      </c>
      <c r="F155" t="s">
        <v>150</v>
      </c>
      <c r="G155" t="s">
        <v>152</v>
      </c>
    </row>
    <row r="156" spans="1:7" x14ac:dyDescent="0.25">
      <c r="A156" t="s">
        <v>517</v>
      </c>
      <c r="B156">
        <v>155</v>
      </c>
      <c r="C156" t="s">
        <v>5</v>
      </c>
      <c r="D156" t="s">
        <v>299</v>
      </c>
      <c r="E156" t="s">
        <v>303</v>
      </c>
      <c r="F156" t="s">
        <v>150</v>
      </c>
      <c r="G156" t="s">
        <v>152</v>
      </c>
    </row>
    <row r="157" spans="1:7" x14ac:dyDescent="0.25">
      <c r="A157" t="s">
        <v>518</v>
      </c>
      <c r="B157">
        <v>156</v>
      </c>
      <c r="C157" t="s">
        <v>5</v>
      </c>
      <c r="D157" t="s">
        <v>303</v>
      </c>
      <c r="E157" t="s">
        <v>308</v>
      </c>
      <c r="F157" t="s">
        <v>150</v>
      </c>
      <c r="G157" t="s">
        <v>152</v>
      </c>
    </row>
    <row r="158" spans="1:7" x14ac:dyDescent="0.25">
      <c r="A158" t="s">
        <v>519</v>
      </c>
      <c r="B158">
        <v>157</v>
      </c>
      <c r="C158" t="s">
        <v>5</v>
      </c>
      <c r="D158" t="s">
        <v>300</v>
      </c>
      <c r="E158" t="s">
        <v>304</v>
      </c>
      <c r="F158" t="s">
        <v>150</v>
      </c>
      <c r="G158" t="s">
        <v>152</v>
      </c>
    </row>
    <row r="159" spans="1:7" x14ac:dyDescent="0.25">
      <c r="A159" t="s">
        <v>520</v>
      </c>
      <c r="B159">
        <v>158</v>
      </c>
      <c r="C159" t="s">
        <v>5</v>
      </c>
      <c r="D159" t="s">
        <v>304</v>
      </c>
      <c r="E159" t="s">
        <v>309</v>
      </c>
      <c r="F159" t="s">
        <v>150</v>
      </c>
      <c r="G159" t="s">
        <v>152</v>
      </c>
    </row>
    <row r="160" spans="1:7" x14ac:dyDescent="0.25">
      <c r="A160" t="s">
        <v>521</v>
      </c>
      <c r="B160">
        <v>159</v>
      </c>
      <c r="C160" t="s">
        <v>5</v>
      </c>
      <c r="D160" t="s">
        <v>311</v>
      </c>
      <c r="E160" t="s">
        <v>314</v>
      </c>
      <c r="F160" t="s">
        <v>150</v>
      </c>
      <c r="G160" t="s">
        <v>152</v>
      </c>
    </row>
    <row r="161" spans="1:7" x14ac:dyDescent="0.25">
      <c r="A161" t="s">
        <v>522</v>
      </c>
      <c r="B161">
        <v>160</v>
      </c>
      <c r="C161" t="s">
        <v>5</v>
      </c>
      <c r="D161" t="s">
        <v>314</v>
      </c>
      <c r="E161" t="s">
        <v>317</v>
      </c>
      <c r="F161" t="s">
        <v>150</v>
      </c>
      <c r="G161" t="s">
        <v>152</v>
      </c>
    </row>
    <row r="162" spans="1:7" x14ac:dyDescent="0.25">
      <c r="A162" t="s">
        <v>523</v>
      </c>
      <c r="B162">
        <v>161</v>
      </c>
      <c r="C162" t="s">
        <v>5</v>
      </c>
      <c r="D162" t="s">
        <v>312</v>
      </c>
      <c r="E162" t="s">
        <v>315</v>
      </c>
      <c r="F162" t="s">
        <v>150</v>
      </c>
      <c r="G162" t="s">
        <v>152</v>
      </c>
    </row>
    <row r="163" spans="1:7" x14ac:dyDescent="0.25">
      <c r="A163" t="s">
        <v>524</v>
      </c>
      <c r="B163">
        <v>162</v>
      </c>
      <c r="C163" t="s">
        <v>5</v>
      </c>
      <c r="D163" t="s">
        <v>315</v>
      </c>
      <c r="E163" t="s">
        <v>318</v>
      </c>
      <c r="F163" t="s">
        <v>150</v>
      </c>
      <c r="G163" t="s">
        <v>152</v>
      </c>
    </row>
    <row r="164" spans="1:7" x14ac:dyDescent="0.25">
      <c r="A164" t="s">
        <v>692</v>
      </c>
      <c r="B164">
        <v>163</v>
      </c>
      <c r="C164" t="s">
        <v>5</v>
      </c>
      <c r="D164" t="s">
        <v>275</v>
      </c>
      <c r="E164" t="s">
        <v>298</v>
      </c>
      <c r="F164" t="s">
        <v>148</v>
      </c>
      <c r="G164" t="s">
        <v>32</v>
      </c>
    </row>
    <row r="165" spans="1:7" x14ac:dyDescent="0.25">
      <c r="A165" t="s">
        <v>693</v>
      </c>
      <c r="B165">
        <v>164</v>
      </c>
      <c r="C165" t="s">
        <v>5</v>
      </c>
      <c r="D165" t="s">
        <v>276</v>
      </c>
      <c r="E165" t="s">
        <v>299</v>
      </c>
      <c r="F165" t="s">
        <v>148</v>
      </c>
      <c r="G165" t="s">
        <v>32</v>
      </c>
    </row>
    <row r="166" spans="1:7" x14ac:dyDescent="0.25">
      <c r="A166" t="s">
        <v>694</v>
      </c>
      <c r="B166">
        <v>165</v>
      </c>
      <c r="C166" t="s">
        <v>5</v>
      </c>
      <c r="D166" t="s">
        <v>277</v>
      </c>
      <c r="E166" t="s">
        <v>300</v>
      </c>
      <c r="F166" t="s">
        <v>148</v>
      </c>
      <c r="G166" t="s">
        <v>32</v>
      </c>
    </row>
    <row r="167" spans="1:7" x14ac:dyDescent="0.25">
      <c r="A167" t="s">
        <v>695</v>
      </c>
      <c r="B167">
        <v>166</v>
      </c>
      <c r="C167" t="s">
        <v>5</v>
      </c>
      <c r="D167" t="s">
        <v>278</v>
      </c>
      <c r="E167" t="s">
        <v>301</v>
      </c>
      <c r="F167" t="s">
        <v>148</v>
      </c>
      <c r="G167" t="s">
        <v>32</v>
      </c>
    </row>
    <row r="168" spans="1:7" x14ac:dyDescent="0.25">
      <c r="A168" t="s">
        <v>696</v>
      </c>
      <c r="B168">
        <v>167</v>
      </c>
      <c r="C168" t="s">
        <v>5</v>
      </c>
      <c r="D168" t="s">
        <v>284</v>
      </c>
      <c r="E168" t="s">
        <v>307</v>
      </c>
      <c r="F168" t="s">
        <v>148</v>
      </c>
      <c r="G168" t="s">
        <v>32</v>
      </c>
    </row>
    <row r="169" spans="1:7" x14ac:dyDescent="0.25">
      <c r="A169" t="s">
        <v>697</v>
      </c>
      <c r="B169">
        <v>168</v>
      </c>
      <c r="C169" t="s">
        <v>5</v>
      </c>
      <c r="D169" t="s">
        <v>285</v>
      </c>
      <c r="E169" t="s">
        <v>308</v>
      </c>
      <c r="F169" t="s">
        <v>149</v>
      </c>
      <c r="G169" t="s">
        <v>32</v>
      </c>
    </row>
    <row r="170" spans="1:7" x14ac:dyDescent="0.25">
      <c r="A170" t="s">
        <v>698</v>
      </c>
      <c r="B170">
        <v>169</v>
      </c>
      <c r="C170" t="s">
        <v>5</v>
      </c>
      <c r="D170" t="s">
        <v>286</v>
      </c>
      <c r="E170" t="s">
        <v>309</v>
      </c>
      <c r="F170" t="s">
        <v>149</v>
      </c>
      <c r="G170" t="s">
        <v>32</v>
      </c>
    </row>
    <row r="171" spans="1:7" x14ac:dyDescent="0.25">
      <c r="A171" t="s">
        <v>699</v>
      </c>
      <c r="B171">
        <v>170</v>
      </c>
      <c r="C171" t="s">
        <v>5</v>
      </c>
      <c r="D171" t="s">
        <v>287</v>
      </c>
      <c r="E171" t="s">
        <v>310</v>
      </c>
      <c r="F171" t="s">
        <v>148</v>
      </c>
      <c r="G171" t="s">
        <v>32</v>
      </c>
    </row>
    <row r="172" spans="1:7" x14ac:dyDescent="0.25">
      <c r="A172" t="s">
        <v>700</v>
      </c>
      <c r="B172">
        <v>171</v>
      </c>
      <c r="C172" t="s">
        <v>5</v>
      </c>
      <c r="D172" t="s">
        <v>288</v>
      </c>
      <c r="E172" t="s">
        <v>311</v>
      </c>
      <c r="F172" t="s">
        <v>148</v>
      </c>
      <c r="G172" t="s">
        <v>32</v>
      </c>
    </row>
    <row r="173" spans="1:7" x14ac:dyDescent="0.25">
      <c r="A173" t="s">
        <v>701</v>
      </c>
      <c r="B173">
        <v>172</v>
      </c>
      <c r="C173" t="s">
        <v>5</v>
      </c>
      <c r="D173" t="s">
        <v>289</v>
      </c>
      <c r="E173" t="s">
        <v>312</v>
      </c>
      <c r="F173" t="s">
        <v>148</v>
      </c>
      <c r="G173" t="s">
        <v>32</v>
      </c>
    </row>
    <row r="174" spans="1:7" x14ac:dyDescent="0.25">
      <c r="A174" t="s">
        <v>702</v>
      </c>
      <c r="B174">
        <v>173</v>
      </c>
      <c r="C174" t="s">
        <v>5</v>
      </c>
      <c r="D174" t="s">
        <v>293</v>
      </c>
      <c r="E174" t="s">
        <v>316</v>
      </c>
      <c r="F174" t="s">
        <v>149</v>
      </c>
      <c r="G174" t="s">
        <v>32</v>
      </c>
    </row>
    <row r="175" spans="1:7" x14ac:dyDescent="0.25">
      <c r="A175" t="s">
        <v>703</v>
      </c>
      <c r="B175">
        <v>174</v>
      </c>
      <c r="C175" t="s">
        <v>5</v>
      </c>
      <c r="D175" t="s">
        <v>294</v>
      </c>
      <c r="E175" t="s">
        <v>317</v>
      </c>
      <c r="F175" t="s">
        <v>149</v>
      </c>
      <c r="G175" t="s">
        <v>32</v>
      </c>
    </row>
    <row r="176" spans="1:7" x14ac:dyDescent="0.25">
      <c r="A176" t="s">
        <v>704</v>
      </c>
      <c r="B176">
        <v>175</v>
      </c>
      <c r="C176" t="s">
        <v>5</v>
      </c>
      <c r="D176" t="s">
        <v>295</v>
      </c>
      <c r="E176" t="s">
        <v>318</v>
      </c>
      <c r="F176" t="s">
        <v>149</v>
      </c>
      <c r="G176" t="s">
        <v>32</v>
      </c>
    </row>
    <row r="177" spans="1:7" x14ac:dyDescent="0.25">
      <c r="A177" t="s">
        <v>705</v>
      </c>
      <c r="B177">
        <v>176</v>
      </c>
      <c r="C177" t="s">
        <v>5</v>
      </c>
      <c r="D177" t="s">
        <v>296</v>
      </c>
      <c r="E177" t="s">
        <v>319</v>
      </c>
      <c r="F177" t="s">
        <v>149</v>
      </c>
      <c r="G177" t="s">
        <v>32</v>
      </c>
    </row>
    <row r="178" spans="1:7" x14ac:dyDescent="0.25">
      <c r="A178" t="s">
        <v>706</v>
      </c>
      <c r="B178">
        <v>177</v>
      </c>
      <c r="C178" t="s">
        <v>5</v>
      </c>
      <c r="D178" t="s">
        <v>279</v>
      </c>
      <c r="E178" t="s">
        <v>302</v>
      </c>
      <c r="F178" t="s">
        <v>146</v>
      </c>
      <c r="G178" t="s">
        <v>31</v>
      </c>
    </row>
    <row r="179" spans="1:7" x14ac:dyDescent="0.25">
      <c r="A179" t="s">
        <v>707</v>
      </c>
      <c r="B179">
        <v>178</v>
      </c>
      <c r="C179" t="s">
        <v>5</v>
      </c>
      <c r="D179" t="s">
        <v>290</v>
      </c>
      <c r="E179" t="s">
        <v>313</v>
      </c>
      <c r="F179" t="s">
        <v>146</v>
      </c>
      <c r="G179" t="s">
        <v>31</v>
      </c>
    </row>
    <row r="180" spans="1:7" x14ac:dyDescent="0.25">
      <c r="A180" t="s">
        <v>708</v>
      </c>
      <c r="B180">
        <v>179</v>
      </c>
      <c r="C180" t="s">
        <v>5</v>
      </c>
      <c r="D180" t="s">
        <v>282</v>
      </c>
      <c r="E180" t="s">
        <v>305</v>
      </c>
      <c r="F180" t="s">
        <v>147</v>
      </c>
      <c r="G180" t="s">
        <v>32</v>
      </c>
    </row>
    <row r="181" spans="1:7" x14ac:dyDescent="0.25">
      <c r="A181" t="s">
        <v>709</v>
      </c>
      <c r="B181">
        <v>180</v>
      </c>
      <c r="C181" t="s">
        <v>5</v>
      </c>
      <c r="D181" t="s">
        <v>283</v>
      </c>
      <c r="E181" t="s">
        <v>306</v>
      </c>
      <c r="F181" t="s">
        <v>147</v>
      </c>
      <c r="G181" t="s">
        <v>32</v>
      </c>
    </row>
    <row r="182" spans="1:7" x14ac:dyDescent="0.25">
      <c r="A182" t="s">
        <v>525</v>
      </c>
      <c r="B182">
        <v>181</v>
      </c>
      <c r="C182" t="s">
        <v>5</v>
      </c>
      <c r="D182" t="s">
        <v>321</v>
      </c>
      <c r="E182" t="s">
        <v>322</v>
      </c>
      <c r="F182" t="s">
        <v>150</v>
      </c>
      <c r="G182" t="s">
        <v>152</v>
      </c>
    </row>
    <row r="183" spans="1:7" x14ac:dyDescent="0.25">
      <c r="A183" t="s">
        <v>526</v>
      </c>
      <c r="B183">
        <v>182</v>
      </c>
      <c r="C183" t="s">
        <v>5</v>
      </c>
      <c r="D183" t="s">
        <v>323</v>
      </c>
      <c r="E183" t="s">
        <v>324</v>
      </c>
      <c r="F183" t="s">
        <v>150</v>
      </c>
      <c r="G183" t="s">
        <v>152</v>
      </c>
    </row>
    <row r="184" spans="1:7" x14ac:dyDescent="0.25">
      <c r="A184" t="s">
        <v>527</v>
      </c>
      <c r="B184">
        <v>183</v>
      </c>
      <c r="C184" t="s">
        <v>5</v>
      </c>
      <c r="D184" t="s">
        <v>326</v>
      </c>
      <c r="E184" t="s">
        <v>327</v>
      </c>
      <c r="F184" t="s">
        <v>150</v>
      </c>
      <c r="G184" t="s">
        <v>152</v>
      </c>
    </row>
    <row r="185" spans="1:7" x14ac:dyDescent="0.25">
      <c r="A185" t="s">
        <v>528</v>
      </c>
      <c r="B185">
        <v>184</v>
      </c>
      <c r="C185" t="s">
        <v>5</v>
      </c>
      <c r="D185" t="s">
        <v>330</v>
      </c>
      <c r="E185" t="s">
        <v>331</v>
      </c>
      <c r="F185" t="s">
        <v>150</v>
      </c>
      <c r="G185" t="s">
        <v>152</v>
      </c>
    </row>
    <row r="186" spans="1:7" x14ac:dyDescent="0.25">
      <c r="A186" t="s">
        <v>529</v>
      </c>
      <c r="B186">
        <v>185</v>
      </c>
      <c r="C186" t="s">
        <v>5</v>
      </c>
      <c r="D186" t="s">
        <v>331</v>
      </c>
      <c r="E186" t="s">
        <v>332</v>
      </c>
      <c r="F186" t="s">
        <v>150</v>
      </c>
      <c r="G186" t="s">
        <v>152</v>
      </c>
    </row>
    <row r="187" spans="1:7" x14ac:dyDescent="0.25">
      <c r="A187" t="s">
        <v>530</v>
      </c>
      <c r="B187">
        <v>186</v>
      </c>
      <c r="C187" t="s">
        <v>5</v>
      </c>
      <c r="D187" t="s">
        <v>332</v>
      </c>
      <c r="E187" t="s">
        <v>333</v>
      </c>
      <c r="F187" t="s">
        <v>150</v>
      </c>
      <c r="G187" t="s">
        <v>152</v>
      </c>
    </row>
    <row r="188" spans="1:7" x14ac:dyDescent="0.25">
      <c r="A188" t="s">
        <v>531</v>
      </c>
      <c r="B188">
        <v>187</v>
      </c>
      <c r="C188" t="s">
        <v>5</v>
      </c>
      <c r="D188" t="s">
        <v>337</v>
      </c>
      <c r="E188" t="s">
        <v>338</v>
      </c>
      <c r="F188" t="s">
        <v>150</v>
      </c>
      <c r="G188" t="s">
        <v>152</v>
      </c>
    </row>
    <row r="189" spans="1:7" x14ac:dyDescent="0.25">
      <c r="A189" t="s">
        <v>532</v>
      </c>
      <c r="B189">
        <v>188</v>
      </c>
      <c r="C189" t="s">
        <v>5</v>
      </c>
      <c r="D189" t="s">
        <v>339</v>
      </c>
      <c r="E189" t="s">
        <v>340</v>
      </c>
      <c r="F189" t="s">
        <v>150</v>
      </c>
      <c r="G189" t="s">
        <v>152</v>
      </c>
    </row>
    <row r="190" spans="1:7" x14ac:dyDescent="0.25">
      <c r="A190" t="s">
        <v>533</v>
      </c>
      <c r="B190">
        <v>189</v>
      </c>
      <c r="C190" t="s">
        <v>5</v>
      </c>
      <c r="D190" t="s">
        <v>340</v>
      </c>
      <c r="E190" t="s">
        <v>341</v>
      </c>
      <c r="F190" t="s">
        <v>150</v>
      </c>
      <c r="G190" t="s">
        <v>152</v>
      </c>
    </row>
    <row r="191" spans="1:7" x14ac:dyDescent="0.25">
      <c r="A191" t="s">
        <v>534</v>
      </c>
      <c r="B191">
        <v>190</v>
      </c>
      <c r="C191" t="s">
        <v>5</v>
      </c>
      <c r="D191" t="s">
        <v>341</v>
      </c>
      <c r="E191" t="s">
        <v>342</v>
      </c>
      <c r="F191" t="s">
        <v>150</v>
      </c>
      <c r="G191" t="s">
        <v>152</v>
      </c>
    </row>
    <row r="192" spans="1:7" x14ac:dyDescent="0.25">
      <c r="A192" t="s">
        <v>535</v>
      </c>
      <c r="B192">
        <v>191</v>
      </c>
      <c r="C192" t="s">
        <v>5</v>
      </c>
      <c r="D192" t="s">
        <v>322</v>
      </c>
      <c r="E192" t="s">
        <v>326</v>
      </c>
      <c r="F192" t="s">
        <v>150</v>
      </c>
      <c r="G192" t="s">
        <v>152</v>
      </c>
    </row>
    <row r="193" spans="1:7" x14ac:dyDescent="0.25">
      <c r="A193" t="s">
        <v>536</v>
      </c>
      <c r="B193">
        <v>192</v>
      </c>
      <c r="C193" t="s">
        <v>5</v>
      </c>
      <c r="D193" t="s">
        <v>326</v>
      </c>
      <c r="E193" t="s">
        <v>331</v>
      </c>
      <c r="F193" t="s">
        <v>150</v>
      </c>
      <c r="G193" t="s">
        <v>152</v>
      </c>
    </row>
    <row r="194" spans="1:7" x14ac:dyDescent="0.25">
      <c r="A194" t="s">
        <v>537</v>
      </c>
      <c r="B194">
        <v>193</v>
      </c>
      <c r="C194" t="s">
        <v>5</v>
      </c>
      <c r="D194" t="s">
        <v>323</v>
      </c>
      <c r="E194" t="s">
        <v>327</v>
      </c>
      <c r="F194" t="s">
        <v>150</v>
      </c>
      <c r="G194" t="s">
        <v>152</v>
      </c>
    </row>
    <row r="195" spans="1:7" x14ac:dyDescent="0.25">
      <c r="A195" t="s">
        <v>538</v>
      </c>
      <c r="B195">
        <v>194</v>
      </c>
      <c r="C195" t="s">
        <v>5</v>
      </c>
      <c r="D195" t="s">
        <v>327</v>
      </c>
      <c r="E195" t="s">
        <v>332</v>
      </c>
      <c r="F195" t="s">
        <v>150</v>
      </c>
      <c r="G195" t="s">
        <v>152</v>
      </c>
    </row>
    <row r="196" spans="1:7" x14ac:dyDescent="0.25">
      <c r="A196" t="s">
        <v>539</v>
      </c>
      <c r="B196">
        <v>195</v>
      </c>
      <c r="C196" t="s">
        <v>5</v>
      </c>
      <c r="D196" t="s">
        <v>334</v>
      </c>
      <c r="E196" t="s">
        <v>337</v>
      </c>
      <c r="F196" t="s">
        <v>150</v>
      </c>
      <c r="G196" t="s">
        <v>152</v>
      </c>
    </row>
    <row r="197" spans="1:7" x14ac:dyDescent="0.25">
      <c r="A197" t="s">
        <v>540</v>
      </c>
      <c r="B197">
        <v>196</v>
      </c>
      <c r="C197" t="s">
        <v>5</v>
      </c>
      <c r="D197" t="s">
        <v>337</v>
      </c>
      <c r="E197" t="s">
        <v>340</v>
      </c>
      <c r="F197" t="s">
        <v>150</v>
      </c>
      <c r="G197" t="s">
        <v>152</v>
      </c>
    </row>
    <row r="198" spans="1:7" x14ac:dyDescent="0.25">
      <c r="A198" t="s">
        <v>541</v>
      </c>
      <c r="B198">
        <v>197</v>
      </c>
      <c r="C198" t="s">
        <v>5</v>
      </c>
      <c r="D198" t="s">
        <v>335</v>
      </c>
      <c r="E198" t="s">
        <v>338</v>
      </c>
      <c r="F198" t="s">
        <v>150</v>
      </c>
      <c r="G198" t="s">
        <v>152</v>
      </c>
    </row>
    <row r="199" spans="1:7" x14ac:dyDescent="0.25">
      <c r="A199" t="s">
        <v>542</v>
      </c>
      <c r="B199">
        <v>198</v>
      </c>
      <c r="C199" t="s">
        <v>5</v>
      </c>
      <c r="D199" t="s">
        <v>338</v>
      </c>
      <c r="E199" t="s">
        <v>341</v>
      </c>
      <c r="F199" t="s">
        <v>150</v>
      </c>
      <c r="G199" t="s">
        <v>152</v>
      </c>
    </row>
    <row r="200" spans="1:7" x14ac:dyDescent="0.25">
      <c r="A200" t="s">
        <v>710</v>
      </c>
      <c r="B200">
        <v>199</v>
      </c>
      <c r="C200" t="s">
        <v>5</v>
      </c>
      <c r="D200" t="s">
        <v>298</v>
      </c>
      <c r="E200" t="s">
        <v>321</v>
      </c>
      <c r="F200" t="s">
        <v>148</v>
      </c>
      <c r="G200" t="s">
        <v>32</v>
      </c>
    </row>
    <row r="201" spans="1:7" x14ac:dyDescent="0.25">
      <c r="A201" t="s">
        <v>711</v>
      </c>
      <c r="B201">
        <v>200</v>
      </c>
      <c r="C201" t="s">
        <v>5</v>
      </c>
      <c r="D201" t="s">
        <v>299</v>
      </c>
      <c r="E201" t="s">
        <v>322</v>
      </c>
      <c r="F201" t="s">
        <v>148</v>
      </c>
      <c r="G201" t="s">
        <v>32</v>
      </c>
    </row>
    <row r="202" spans="1:7" x14ac:dyDescent="0.25">
      <c r="A202" t="s">
        <v>712</v>
      </c>
      <c r="B202">
        <v>201</v>
      </c>
      <c r="C202" t="s">
        <v>5</v>
      </c>
      <c r="D202" t="s">
        <v>300</v>
      </c>
      <c r="E202" t="s">
        <v>323</v>
      </c>
      <c r="F202" t="s">
        <v>148</v>
      </c>
      <c r="G202" t="s">
        <v>32</v>
      </c>
    </row>
    <row r="203" spans="1:7" x14ac:dyDescent="0.25">
      <c r="A203" t="s">
        <v>713</v>
      </c>
      <c r="B203">
        <v>202</v>
      </c>
      <c r="C203" t="s">
        <v>5</v>
      </c>
      <c r="D203" t="s">
        <v>301</v>
      </c>
      <c r="E203" t="s">
        <v>324</v>
      </c>
      <c r="F203" t="s">
        <v>148</v>
      </c>
      <c r="G203" t="s">
        <v>32</v>
      </c>
    </row>
    <row r="204" spans="1:7" x14ac:dyDescent="0.25">
      <c r="A204" t="s">
        <v>714</v>
      </c>
      <c r="B204">
        <v>203</v>
      </c>
      <c r="C204" t="s">
        <v>5</v>
      </c>
      <c r="D204" t="s">
        <v>307</v>
      </c>
      <c r="E204" t="s">
        <v>330</v>
      </c>
      <c r="F204" t="s">
        <v>148</v>
      </c>
      <c r="G204" t="s">
        <v>32</v>
      </c>
    </row>
    <row r="205" spans="1:7" x14ac:dyDescent="0.25">
      <c r="A205" t="s">
        <v>715</v>
      </c>
      <c r="B205">
        <v>204</v>
      </c>
      <c r="C205" t="s">
        <v>5</v>
      </c>
      <c r="D205" t="s">
        <v>308</v>
      </c>
      <c r="E205" t="s">
        <v>331</v>
      </c>
      <c r="F205" t="s">
        <v>149</v>
      </c>
      <c r="G205" t="s">
        <v>32</v>
      </c>
    </row>
    <row r="206" spans="1:7" x14ac:dyDescent="0.25">
      <c r="A206" t="s">
        <v>716</v>
      </c>
      <c r="B206">
        <v>205</v>
      </c>
      <c r="C206" t="s">
        <v>5</v>
      </c>
      <c r="D206" t="s">
        <v>309</v>
      </c>
      <c r="E206" t="s">
        <v>332</v>
      </c>
      <c r="F206" t="s">
        <v>149</v>
      </c>
      <c r="G206" t="s">
        <v>32</v>
      </c>
    </row>
    <row r="207" spans="1:7" x14ac:dyDescent="0.25">
      <c r="A207" t="s">
        <v>717</v>
      </c>
      <c r="B207">
        <v>206</v>
      </c>
      <c r="C207" t="s">
        <v>5</v>
      </c>
      <c r="D207" t="s">
        <v>310</v>
      </c>
      <c r="E207" t="s">
        <v>333</v>
      </c>
      <c r="F207" t="s">
        <v>148</v>
      </c>
      <c r="G207" t="s">
        <v>32</v>
      </c>
    </row>
    <row r="208" spans="1:7" x14ac:dyDescent="0.25">
      <c r="A208" t="s">
        <v>718</v>
      </c>
      <c r="B208">
        <v>207</v>
      </c>
      <c r="C208" t="s">
        <v>5</v>
      </c>
      <c r="D208" t="s">
        <v>311</v>
      </c>
      <c r="E208" t="s">
        <v>334</v>
      </c>
      <c r="F208" t="s">
        <v>148</v>
      </c>
      <c r="G208" t="s">
        <v>32</v>
      </c>
    </row>
    <row r="209" spans="1:7" x14ac:dyDescent="0.25">
      <c r="A209" t="s">
        <v>719</v>
      </c>
      <c r="B209">
        <v>208</v>
      </c>
      <c r="C209" t="s">
        <v>5</v>
      </c>
      <c r="D209" t="s">
        <v>312</v>
      </c>
      <c r="E209" t="s">
        <v>335</v>
      </c>
      <c r="F209" t="s">
        <v>148</v>
      </c>
      <c r="G209" t="s">
        <v>32</v>
      </c>
    </row>
    <row r="210" spans="1:7" x14ac:dyDescent="0.25">
      <c r="A210" t="s">
        <v>720</v>
      </c>
      <c r="B210">
        <v>209</v>
      </c>
      <c r="C210" t="s">
        <v>5</v>
      </c>
      <c r="D210" t="s">
        <v>316</v>
      </c>
      <c r="E210" t="s">
        <v>339</v>
      </c>
      <c r="F210" t="s">
        <v>149</v>
      </c>
      <c r="G210" t="s">
        <v>32</v>
      </c>
    </row>
    <row r="211" spans="1:7" x14ac:dyDescent="0.25">
      <c r="A211" t="s">
        <v>721</v>
      </c>
      <c r="B211">
        <v>210</v>
      </c>
      <c r="C211" t="s">
        <v>5</v>
      </c>
      <c r="D211" t="s">
        <v>317</v>
      </c>
      <c r="E211" t="s">
        <v>340</v>
      </c>
      <c r="F211" t="s">
        <v>149</v>
      </c>
      <c r="G211" t="s">
        <v>32</v>
      </c>
    </row>
    <row r="212" spans="1:7" x14ac:dyDescent="0.25">
      <c r="A212" t="s">
        <v>722</v>
      </c>
      <c r="B212">
        <v>211</v>
      </c>
      <c r="C212" t="s">
        <v>5</v>
      </c>
      <c r="D212" t="s">
        <v>318</v>
      </c>
      <c r="E212" t="s">
        <v>341</v>
      </c>
      <c r="F212" t="s">
        <v>149</v>
      </c>
      <c r="G212" t="s">
        <v>32</v>
      </c>
    </row>
    <row r="213" spans="1:7" x14ac:dyDescent="0.25">
      <c r="A213" t="s">
        <v>723</v>
      </c>
      <c r="B213">
        <v>212</v>
      </c>
      <c r="C213" t="s">
        <v>5</v>
      </c>
      <c r="D213" t="s">
        <v>319</v>
      </c>
      <c r="E213" t="s">
        <v>342</v>
      </c>
      <c r="F213" t="s">
        <v>149</v>
      </c>
      <c r="G213" t="s">
        <v>32</v>
      </c>
    </row>
    <row r="214" spans="1:7" x14ac:dyDescent="0.25">
      <c r="A214" t="s">
        <v>724</v>
      </c>
      <c r="B214">
        <v>213</v>
      </c>
      <c r="C214" t="s">
        <v>5</v>
      </c>
      <c r="D214" t="s">
        <v>302</v>
      </c>
      <c r="E214" t="s">
        <v>325</v>
      </c>
      <c r="F214" t="s">
        <v>146</v>
      </c>
      <c r="G214" t="s">
        <v>31</v>
      </c>
    </row>
    <row r="215" spans="1:7" x14ac:dyDescent="0.25">
      <c r="A215" t="s">
        <v>725</v>
      </c>
      <c r="B215">
        <v>214</v>
      </c>
      <c r="C215" t="s">
        <v>5</v>
      </c>
      <c r="D215" t="s">
        <v>313</v>
      </c>
      <c r="E215" t="s">
        <v>336</v>
      </c>
      <c r="F215" t="s">
        <v>146</v>
      </c>
      <c r="G215" t="s">
        <v>31</v>
      </c>
    </row>
    <row r="216" spans="1:7" x14ac:dyDescent="0.25">
      <c r="A216" t="s">
        <v>726</v>
      </c>
      <c r="B216">
        <v>215</v>
      </c>
      <c r="C216" t="s">
        <v>5</v>
      </c>
      <c r="D216" t="s">
        <v>305</v>
      </c>
      <c r="E216" t="s">
        <v>328</v>
      </c>
      <c r="F216" t="s">
        <v>147</v>
      </c>
      <c r="G216" t="s">
        <v>32</v>
      </c>
    </row>
    <row r="217" spans="1:7" x14ac:dyDescent="0.25">
      <c r="A217" t="s">
        <v>727</v>
      </c>
      <c r="B217">
        <v>216</v>
      </c>
      <c r="C217" t="s">
        <v>5</v>
      </c>
      <c r="D217" t="s">
        <v>306</v>
      </c>
      <c r="E217" t="s">
        <v>329</v>
      </c>
      <c r="F217" t="s">
        <v>147</v>
      </c>
      <c r="G217" t="s">
        <v>32</v>
      </c>
    </row>
    <row r="218" spans="1:7" x14ac:dyDescent="0.25">
      <c r="A218" t="s">
        <v>543</v>
      </c>
      <c r="B218">
        <v>217</v>
      </c>
      <c r="C218" t="s">
        <v>5</v>
      </c>
      <c r="D218" t="s">
        <v>344</v>
      </c>
      <c r="E218" t="s">
        <v>345</v>
      </c>
      <c r="F218" t="s">
        <v>150</v>
      </c>
      <c r="G218" t="s">
        <v>152</v>
      </c>
    </row>
    <row r="219" spans="1:7" x14ac:dyDescent="0.25">
      <c r="A219" t="s">
        <v>544</v>
      </c>
      <c r="B219">
        <v>218</v>
      </c>
      <c r="C219" t="s">
        <v>5</v>
      </c>
      <c r="D219" t="s">
        <v>346</v>
      </c>
      <c r="E219" t="s">
        <v>347</v>
      </c>
      <c r="F219" t="s">
        <v>150</v>
      </c>
      <c r="G219" t="s">
        <v>152</v>
      </c>
    </row>
    <row r="220" spans="1:7" x14ac:dyDescent="0.25">
      <c r="A220" t="s">
        <v>545</v>
      </c>
      <c r="B220">
        <v>219</v>
      </c>
      <c r="C220" t="s">
        <v>5</v>
      </c>
      <c r="D220" t="s">
        <v>349</v>
      </c>
      <c r="E220" t="s">
        <v>350</v>
      </c>
      <c r="F220" t="s">
        <v>150</v>
      </c>
      <c r="G220" t="s">
        <v>152</v>
      </c>
    </row>
    <row r="221" spans="1:7" x14ac:dyDescent="0.25">
      <c r="A221" t="s">
        <v>546</v>
      </c>
      <c r="B221">
        <v>220</v>
      </c>
      <c r="C221" t="s">
        <v>5</v>
      </c>
      <c r="D221" t="s">
        <v>353</v>
      </c>
      <c r="E221" t="s">
        <v>354</v>
      </c>
      <c r="F221" t="s">
        <v>150</v>
      </c>
      <c r="G221" t="s">
        <v>152</v>
      </c>
    </row>
    <row r="222" spans="1:7" x14ac:dyDescent="0.25">
      <c r="A222" t="s">
        <v>547</v>
      </c>
      <c r="B222">
        <v>221</v>
      </c>
      <c r="C222" t="s">
        <v>5</v>
      </c>
      <c r="D222" t="s">
        <v>354</v>
      </c>
      <c r="E222" t="s">
        <v>355</v>
      </c>
      <c r="F222" t="s">
        <v>150</v>
      </c>
      <c r="G222" t="s">
        <v>152</v>
      </c>
    </row>
    <row r="223" spans="1:7" x14ac:dyDescent="0.25">
      <c r="A223" t="s">
        <v>548</v>
      </c>
      <c r="B223">
        <v>222</v>
      </c>
      <c r="C223" t="s">
        <v>5</v>
      </c>
      <c r="D223" t="s">
        <v>355</v>
      </c>
      <c r="E223" t="s">
        <v>356</v>
      </c>
      <c r="F223" t="s">
        <v>150</v>
      </c>
      <c r="G223" t="s">
        <v>152</v>
      </c>
    </row>
    <row r="224" spans="1:7" x14ac:dyDescent="0.25">
      <c r="A224" t="s">
        <v>549</v>
      </c>
      <c r="B224">
        <v>223</v>
      </c>
      <c r="C224" t="s">
        <v>5</v>
      </c>
      <c r="D224" t="s">
        <v>360</v>
      </c>
      <c r="E224" t="s">
        <v>361</v>
      </c>
      <c r="F224" t="s">
        <v>150</v>
      </c>
      <c r="G224" t="s">
        <v>152</v>
      </c>
    </row>
    <row r="225" spans="1:7" x14ac:dyDescent="0.25">
      <c r="A225" t="s">
        <v>550</v>
      </c>
      <c r="B225">
        <v>224</v>
      </c>
      <c r="C225" t="s">
        <v>5</v>
      </c>
      <c r="D225" t="s">
        <v>362</v>
      </c>
      <c r="E225" t="s">
        <v>363</v>
      </c>
      <c r="F225" t="s">
        <v>150</v>
      </c>
      <c r="G225" t="s">
        <v>152</v>
      </c>
    </row>
    <row r="226" spans="1:7" x14ac:dyDescent="0.25">
      <c r="A226" t="s">
        <v>551</v>
      </c>
      <c r="B226">
        <v>225</v>
      </c>
      <c r="C226" t="s">
        <v>5</v>
      </c>
      <c r="D226" t="s">
        <v>363</v>
      </c>
      <c r="E226" t="s">
        <v>364</v>
      </c>
      <c r="F226" t="s">
        <v>150</v>
      </c>
      <c r="G226" t="s">
        <v>152</v>
      </c>
    </row>
    <row r="227" spans="1:7" x14ac:dyDescent="0.25">
      <c r="A227" t="s">
        <v>552</v>
      </c>
      <c r="B227">
        <v>226</v>
      </c>
      <c r="C227" t="s">
        <v>5</v>
      </c>
      <c r="D227" t="s">
        <v>364</v>
      </c>
      <c r="E227" t="s">
        <v>365</v>
      </c>
      <c r="F227" t="s">
        <v>150</v>
      </c>
      <c r="G227" t="s">
        <v>152</v>
      </c>
    </row>
    <row r="228" spans="1:7" x14ac:dyDescent="0.25">
      <c r="A228" t="s">
        <v>553</v>
      </c>
      <c r="B228">
        <v>227</v>
      </c>
      <c r="C228" t="s">
        <v>5</v>
      </c>
      <c r="D228" t="s">
        <v>345</v>
      </c>
      <c r="E228" t="s">
        <v>349</v>
      </c>
      <c r="F228" t="s">
        <v>150</v>
      </c>
      <c r="G228" t="s">
        <v>152</v>
      </c>
    </row>
    <row r="229" spans="1:7" x14ac:dyDescent="0.25">
      <c r="A229" t="s">
        <v>554</v>
      </c>
      <c r="B229">
        <v>228</v>
      </c>
      <c r="C229" t="s">
        <v>5</v>
      </c>
      <c r="D229" t="s">
        <v>349</v>
      </c>
      <c r="E229" t="s">
        <v>354</v>
      </c>
      <c r="F229" t="s">
        <v>150</v>
      </c>
      <c r="G229" t="s">
        <v>152</v>
      </c>
    </row>
    <row r="230" spans="1:7" x14ac:dyDescent="0.25">
      <c r="A230" t="s">
        <v>555</v>
      </c>
      <c r="B230">
        <v>229</v>
      </c>
      <c r="C230" t="s">
        <v>5</v>
      </c>
      <c r="D230" t="s">
        <v>346</v>
      </c>
      <c r="E230" t="s">
        <v>350</v>
      </c>
      <c r="F230" t="s">
        <v>150</v>
      </c>
      <c r="G230" t="s">
        <v>152</v>
      </c>
    </row>
    <row r="231" spans="1:7" x14ac:dyDescent="0.25">
      <c r="A231" t="s">
        <v>556</v>
      </c>
      <c r="B231">
        <v>230</v>
      </c>
      <c r="C231" t="s">
        <v>5</v>
      </c>
      <c r="D231" t="s">
        <v>350</v>
      </c>
      <c r="E231" t="s">
        <v>355</v>
      </c>
      <c r="F231" t="s">
        <v>150</v>
      </c>
      <c r="G231" t="s">
        <v>152</v>
      </c>
    </row>
    <row r="232" spans="1:7" x14ac:dyDescent="0.25">
      <c r="A232" t="s">
        <v>557</v>
      </c>
      <c r="B232">
        <v>231</v>
      </c>
      <c r="C232" t="s">
        <v>5</v>
      </c>
      <c r="D232" t="s">
        <v>357</v>
      </c>
      <c r="E232" t="s">
        <v>360</v>
      </c>
      <c r="F232" t="s">
        <v>150</v>
      </c>
      <c r="G232" t="s">
        <v>152</v>
      </c>
    </row>
    <row r="233" spans="1:7" x14ac:dyDescent="0.25">
      <c r="A233" t="s">
        <v>558</v>
      </c>
      <c r="B233">
        <v>232</v>
      </c>
      <c r="C233" t="s">
        <v>5</v>
      </c>
      <c r="D233" t="s">
        <v>360</v>
      </c>
      <c r="E233" t="s">
        <v>363</v>
      </c>
      <c r="F233" t="s">
        <v>150</v>
      </c>
      <c r="G233" t="s">
        <v>152</v>
      </c>
    </row>
    <row r="234" spans="1:7" x14ac:dyDescent="0.25">
      <c r="A234" t="s">
        <v>559</v>
      </c>
      <c r="B234">
        <v>233</v>
      </c>
      <c r="C234" t="s">
        <v>5</v>
      </c>
      <c r="D234" t="s">
        <v>358</v>
      </c>
      <c r="E234" t="s">
        <v>361</v>
      </c>
      <c r="F234" t="s">
        <v>150</v>
      </c>
      <c r="G234" t="s">
        <v>152</v>
      </c>
    </row>
    <row r="235" spans="1:7" x14ac:dyDescent="0.25">
      <c r="A235" t="s">
        <v>560</v>
      </c>
      <c r="B235">
        <v>234</v>
      </c>
      <c r="C235" t="s">
        <v>5</v>
      </c>
      <c r="D235" t="s">
        <v>361</v>
      </c>
      <c r="E235" t="s">
        <v>364</v>
      </c>
      <c r="F235" t="s">
        <v>150</v>
      </c>
      <c r="G235" t="s">
        <v>152</v>
      </c>
    </row>
    <row r="236" spans="1:7" x14ac:dyDescent="0.25">
      <c r="A236" t="s">
        <v>728</v>
      </c>
      <c r="B236">
        <v>235</v>
      </c>
      <c r="C236" t="s">
        <v>5</v>
      </c>
      <c r="D236" t="s">
        <v>321</v>
      </c>
      <c r="E236" t="s">
        <v>344</v>
      </c>
      <c r="F236" t="s">
        <v>148</v>
      </c>
      <c r="G236" t="s">
        <v>32</v>
      </c>
    </row>
    <row r="237" spans="1:7" x14ac:dyDescent="0.25">
      <c r="A237" t="s">
        <v>729</v>
      </c>
      <c r="B237">
        <v>236</v>
      </c>
      <c r="C237" t="s">
        <v>5</v>
      </c>
      <c r="D237" t="s">
        <v>322</v>
      </c>
      <c r="E237" t="s">
        <v>345</v>
      </c>
      <c r="F237" t="s">
        <v>148</v>
      </c>
      <c r="G237" t="s">
        <v>32</v>
      </c>
    </row>
    <row r="238" spans="1:7" x14ac:dyDescent="0.25">
      <c r="A238" t="s">
        <v>730</v>
      </c>
      <c r="B238">
        <v>237</v>
      </c>
      <c r="C238" t="s">
        <v>5</v>
      </c>
      <c r="D238" t="s">
        <v>323</v>
      </c>
      <c r="E238" t="s">
        <v>346</v>
      </c>
      <c r="F238" t="s">
        <v>148</v>
      </c>
      <c r="G238" t="s">
        <v>32</v>
      </c>
    </row>
    <row r="239" spans="1:7" x14ac:dyDescent="0.25">
      <c r="A239" t="s">
        <v>731</v>
      </c>
      <c r="B239">
        <v>238</v>
      </c>
      <c r="C239" t="s">
        <v>5</v>
      </c>
      <c r="D239" t="s">
        <v>324</v>
      </c>
      <c r="E239" t="s">
        <v>347</v>
      </c>
      <c r="F239" t="s">
        <v>148</v>
      </c>
      <c r="G239" t="s">
        <v>32</v>
      </c>
    </row>
    <row r="240" spans="1:7" x14ac:dyDescent="0.25">
      <c r="A240" t="s">
        <v>732</v>
      </c>
      <c r="B240">
        <v>239</v>
      </c>
      <c r="C240" t="s">
        <v>5</v>
      </c>
      <c r="D240" t="s">
        <v>330</v>
      </c>
      <c r="E240" t="s">
        <v>353</v>
      </c>
      <c r="F240" t="s">
        <v>148</v>
      </c>
      <c r="G240" t="s">
        <v>32</v>
      </c>
    </row>
    <row r="241" spans="1:7" x14ac:dyDescent="0.25">
      <c r="A241" t="s">
        <v>733</v>
      </c>
      <c r="B241">
        <v>240</v>
      </c>
      <c r="C241" t="s">
        <v>5</v>
      </c>
      <c r="D241" t="s">
        <v>331</v>
      </c>
      <c r="E241" t="s">
        <v>354</v>
      </c>
      <c r="F241" t="s">
        <v>149</v>
      </c>
      <c r="G241" t="s">
        <v>32</v>
      </c>
    </row>
    <row r="242" spans="1:7" x14ac:dyDescent="0.25">
      <c r="A242" t="s">
        <v>734</v>
      </c>
      <c r="B242">
        <v>241</v>
      </c>
      <c r="C242" t="s">
        <v>5</v>
      </c>
      <c r="D242" t="s">
        <v>332</v>
      </c>
      <c r="E242" t="s">
        <v>355</v>
      </c>
      <c r="F242" t="s">
        <v>149</v>
      </c>
      <c r="G242" t="s">
        <v>32</v>
      </c>
    </row>
    <row r="243" spans="1:7" x14ac:dyDescent="0.25">
      <c r="A243" t="s">
        <v>735</v>
      </c>
      <c r="B243">
        <v>242</v>
      </c>
      <c r="C243" t="s">
        <v>5</v>
      </c>
      <c r="D243" t="s">
        <v>333</v>
      </c>
      <c r="E243" t="s">
        <v>356</v>
      </c>
      <c r="F243" t="s">
        <v>148</v>
      </c>
      <c r="G243" t="s">
        <v>32</v>
      </c>
    </row>
    <row r="244" spans="1:7" x14ac:dyDescent="0.25">
      <c r="A244" t="s">
        <v>736</v>
      </c>
      <c r="B244">
        <v>243</v>
      </c>
      <c r="C244" t="s">
        <v>5</v>
      </c>
      <c r="D244" t="s">
        <v>334</v>
      </c>
      <c r="E244" t="s">
        <v>357</v>
      </c>
      <c r="F244" t="s">
        <v>148</v>
      </c>
      <c r="G244" t="s">
        <v>32</v>
      </c>
    </row>
    <row r="245" spans="1:7" x14ac:dyDescent="0.25">
      <c r="A245" t="s">
        <v>737</v>
      </c>
      <c r="B245">
        <v>244</v>
      </c>
      <c r="C245" t="s">
        <v>5</v>
      </c>
      <c r="D245" t="s">
        <v>335</v>
      </c>
      <c r="E245" t="s">
        <v>358</v>
      </c>
      <c r="F245" t="s">
        <v>148</v>
      </c>
      <c r="G245" t="s">
        <v>32</v>
      </c>
    </row>
    <row r="246" spans="1:7" x14ac:dyDescent="0.25">
      <c r="A246" t="s">
        <v>738</v>
      </c>
      <c r="B246">
        <v>245</v>
      </c>
      <c r="C246" t="s">
        <v>5</v>
      </c>
      <c r="D246" t="s">
        <v>339</v>
      </c>
      <c r="E246" t="s">
        <v>362</v>
      </c>
      <c r="F246" t="s">
        <v>149</v>
      </c>
      <c r="G246" t="s">
        <v>32</v>
      </c>
    </row>
    <row r="247" spans="1:7" x14ac:dyDescent="0.25">
      <c r="A247" t="s">
        <v>739</v>
      </c>
      <c r="B247">
        <v>246</v>
      </c>
      <c r="C247" t="s">
        <v>5</v>
      </c>
      <c r="D247" t="s">
        <v>340</v>
      </c>
      <c r="E247" t="s">
        <v>363</v>
      </c>
      <c r="F247" t="s">
        <v>149</v>
      </c>
      <c r="G247" t="s">
        <v>32</v>
      </c>
    </row>
    <row r="248" spans="1:7" x14ac:dyDescent="0.25">
      <c r="A248" t="s">
        <v>740</v>
      </c>
      <c r="B248">
        <v>247</v>
      </c>
      <c r="C248" t="s">
        <v>5</v>
      </c>
      <c r="D248" t="s">
        <v>341</v>
      </c>
      <c r="E248" t="s">
        <v>364</v>
      </c>
      <c r="F248" t="s">
        <v>149</v>
      </c>
      <c r="G248" t="s">
        <v>32</v>
      </c>
    </row>
    <row r="249" spans="1:7" x14ac:dyDescent="0.25">
      <c r="A249" t="s">
        <v>741</v>
      </c>
      <c r="B249">
        <v>248</v>
      </c>
      <c r="C249" t="s">
        <v>5</v>
      </c>
      <c r="D249" t="s">
        <v>342</v>
      </c>
      <c r="E249" t="s">
        <v>365</v>
      </c>
      <c r="F249" t="s">
        <v>149</v>
      </c>
      <c r="G249" t="s">
        <v>32</v>
      </c>
    </row>
    <row r="250" spans="1:7" x14ac:dyDescent="0.25">
      <c r="A250" t="s">
        <v>742</v>
      </c>
      <c r="B250">
        <v>249</v>
      </c>
      <c r="C250" t="s">
        <v>5</v>
      </c>
      <c r="D250" t="s">
        <v>325</v>
      </c>
      <c r="E250" t="s">
        <v>348</v>
      </c>
      <c r="F250" t="s">
        <v>146</v>
      </c>
      <c r="G250" t="s">
        <v>31</v>
      </c>
    </row>
    <row r="251" spans="1:7" x14ac:dyDescent="0.25">
      <c r="A251" t="s">
        <v>743</v>
      </c>
      <c r="B251">
        <v>250</v>
      </c>
      <c r="C251" t="s">
        <v>5</v>
      </c>
      <c r="D251" t="s">
        <v>336</v>
      </c>
      <c r="E251" t="s">
        <v>359</v>
      </c>
      <c r="F251" t="s">
        <v>146</v>
      </c>
      <c r="G251" t="s">
        <v>31</v>
      </c>
    </row>
    <row r="252" spans="1:7" x14ac:dyDescent="0.25">
      <c r="A252" t="s">
        <v>744</v>
      </c>
      <c r="B252">
        <v>251</v>
      </c>
      <c r="C252" t="s">
        <v>5</v>
      </c>
      <c r="D252" t="s">
        <v>328</v>
      </c>
      <c r="E252" t="s">
        <v>351</v>
      </c>
      <c r="F252" t="s">
        <v>147</v>
      </c>
      <c r="G252" t="s">
        <v>32</v>
      </c>
    </row>
    <row r="253" spans="1:7" x14ac:dyDescent="0.25">
      <c r="A253" t="s">
        <v>745</v>
      </c>
      <c r="B253">
        <v>252</v>
      </c>
      <c r="C253" t="s">
        <v>5</v>
      </c>
      <c r="D253" t="s">
        <v>329</v>
      </c>
      <c r="E253" t="s">
        <v>352</v>
      </c>
      <c r="F253" t="s">
        <v>147</v>
      </c>
      <c r="G253" t="s">
        <v>32</v>
      </c>
    </row>
    <row r="254" spans="1:7" x14ac:dyDescent="0.25">
      <c r="A254" t="s">
        <v>561</v>
      </c>
      <c r="B254">
        <v>253</v>
      </c>
      <c r="C254" t="s">
        <v>5</v>
      </c>
      <c r="D254" t="s">
        <v>367</v>
      </c>
      <c r="E254" t="s">
        <v>368</v>
      </c>
      <c r="F254" t="s">
        <v>150</v>
      </c>
      <c r="G254" t="s">
        <v>152</v>
      </c>
    </row>
    <row r="255" spans="1:7" x14ac:dyDescent="0.25">
      <c r="A255" t="s">
        <v>562</v>
      </c>
      <c r="B255">
        <v>254</v>
      </c>
      <c r="C255" t="s">
        <v>5</v>
      </c>
      <c r="D255" t="s">
        <v>369</v>
      </c>
      <c r="E255" t="s">
        <v>370</v>
      </c>
      <c r="F255" t="s">
        <v>150</v>
      </c>
      <c r="G255" t="s">
        <v>152</v>
      </c>
    </row>
    <row r="256" spans="1:7" x14ac:dyDescent="0.25">
      <c r="A256" t="s">
        <v>563</v>
      </c>
      <c r="B256">
        <v>255</v>
      </c>
      <c r="C256" t="s">
        <v>5</v>
      </c>
      <c r="D256" t="s">
        <v>372</v>
      </c>
      <c r="E256" t="s">
        <v>373</v>
      </c>
      <c r="F256" t="s">
        <v>150</v>
      </c>
      <c r="G256" t="s">
        <v>152</v>
      </c>
    </row>
    <row r="257" spans="1:7" x14ac:dyDescent="0.25">
      <c r="A257" t="s">
        <v>564</v>
      </c>
      <c r="B257">
        <v>256</v>
      </c>
      <c r="C257" t="s">
        <v>5</v>
      </c>
      <c r="D257" t="s">
        <v>376</v>
      </c>
      <c r="E257" t="s">
        <v>377</v>
      </c>
      <c r="F257" t="s">
        <v>150</v>
      </c>
      <c r="G257" t="s">
        <v>152</v>
      </c>
    </row>
    <row r="258" spans="1:7" x14ac:dyDescent="0.25">
      <c r="A258" t="s">
        <v>565</v>
      </c>
      <c r="B258">
        <v>257</v>
      </c>
      <c r="C258" t="s">
        <v>5</v>
      </c>
      <c r="D258" t="s">
        <v>377</v>
      </c>
      <c r="E258" t="s">
        <v>378</v>
      </c>
      <c r="F258" t="s">
        <v>150</v>
      </c>
      <c r="G258" t="s">
        <v>152</v>
      </c>
    </row>
    <row r="259" spans="1:7" x14ac:dyDescent="0.25">
      <c r="A259" t="s">
        <v>566</v>
      </c>
      <c r="B259">
        <v>258</v>
      </c>
      <c r="C259" t="s">
        <v>5</v>
      </c>
      <c r="D259" t="s">
        <v>378</v>
      </c>
      <c r="E259" t="s">
        <v>379</v>
      </c>
      <c r="F259" t="s">
        <v>150</v>
      </c>
      <c r="G259" t="s">
        <v>152</v>
      </c>
    </row>
    <row r="260" spans="1:7" x14ac:dyDescent="0.25">
      <c r="A260" t="s">
        <v>567</v>
      </c>
      <c r="B260">
        <v>259</v>
      </c>
      <c r="C260" t="s">
        <v>5</v>
      </c>
      <c r="D260" t="s">
        <v>383</v>
      </c>
      <c r="E260" t="s">
        <v>384</v>
      </c>
      <c r="F260" t="s">
        <v>150</v>
      </c>
      <c r="G260" t="s">
        <v>152</v>
      </c>
    </row>
    <row r="261" spans="1:7" x14ac:dyDescent="0.25">
      <c r="A261" t="s">
        <v>568</v>
      </c>
      <c r="B261">
        <v>260</v>
      </c>
      <c r="C261" t="s">
        <v>5</v>
      </c>
      <c r="D261" t="s">
        <v>385</v>
      </c>
      <c r="E261" t="s">
        <v>386</v>
      </c>
      <c r="F261" t="s">
        <v>150</v>
      </c>
      <c r="G261" t="s">
        <v>152</v>
      </c>
    </row>
    <row r="262" spans="1:7" x14ac:dyDescent="0.25">
      <c r="A262" t="s">
        <v>569</v>
      </c>
      <c r="B262">
        <v>261</v>
      </c>
      <c r="C262" t="s">
        <v>5</v>
      </c>
      <c r="D262" t="s">
        <v>386</v>
      </c>
      <c r="E262" t="s">
        <v>387</v>
      </c>
      <c r="F262" t="s">
        <v>150</v>
      </c>
      <c r="G262" t="s">
        <v>152</v>
      </c>
    </row>
    <row r="263" spans="1:7" x14ac:dyDescent="0.25">
      <c r="A263" t="s">
        <v>570</v>
      </c>
      <c r="B263">
        <v>262</v>
      </c>
      <c r="C263" t="s">
        <v>5</v>
      </c>
      <c r="D263" t="s">
        <v>387</v>
      </c>
      <c r="E263" t="s">
        <v>388</v>
      </c>
      <c r="F263" t="s">
        <v>150</v>
      </c>
      <c r="G263" t="s">
        <v>152</v>
      </c>
    </row>
    <row r="264" spans="1:7" x14ac:dyDescent="0.25">
      <c r="A264" t="s">
        <v>571</v>
      </c>
      <c r="B264">
        <v>263</v>
      </c>
      <c r="C264" t="s">
        <v>5</v>
      </c>
      <c r="D264" t="s">
        <v>368</v>
      </c>
      <c r="E264" t="s">
        <v>372</v>
      </c>
      <c r="F264" t="s">
        <v>150</v>
      </c>
      <c r="G264" t="s">
        <v>152</v>
      </c>
    </row>
    <row r="265" spans="1:7" x14ac:dyDescent="0.25">
      <c r="A265" t="s">
        <v>572</v>
      </c>
      <c r="B265">
        <v>264</v>
      </c>
      <c r="C265" t="s">
        <v>5</v>
      </c>
      <c r="D265" t="s">
        <v>372</v>
      </c>
      <c r="E265" t="s">
        <v>377</v>
      </c>
      <c r="F265" t="s">
        <v>150</v>
      </c>
      <c r="G265" t="s">
        <v>152</v>
      </c>
    </row>
    <row r="266" spans="1:7" x14ac:dyDescent="0.25">
      <c r="A266" t="s">
        <v>573</v>
      </c>
      <c r="B266">
        <v>265</v>
      </c>
      <c r="C266" t="s">
        <v>5</v>
      </c>
      <c r="D266" t="s">
        <v>369</v>
      </c>
      <c r="E266" t="s">
        <v>373</v>
      </c>
      <c r="F266" t="s">
        <v>150</v>
      </c>
      <c r="G266" t="s">
        <v>152</v>
      </c>
    </row>
    <row r="267" spans="1:7" x14ac:dyDescent="0.25">
      <c r="A267" t="s">
        <v>574</v>
      </c>
      <c r="B267">
        <v>266</v>
      </c>
      <c r="C267" t="s">
        <v>5</v>
      </c>
      <c r="D267" t="s">
        <v>373</v>
      </c>
      <c r="E267" t="s">
        <v>378</v>
      </c>
      <c r="F267" t="s">
        <v>150</v>
      </c>
      <c r="G267" t="s">
        <v>152</v>
      </c>
    </row>
    <row r="268" spans="1:7" x14ac:dyDescent="0.25">
      <c r="A268" t="s">
        <v>575</v>
      </c>
      <c r="B268">
        <v>267</v>
      </c>
      <c r="C268" t="s">
        <v>5</v>
      </c>
      <c r="D268" t="s">
        <v>380</v>
      </c>
      <c r="E268" t="s">
        <v>383</v>
      </c>
      <c r="F268" t="s">
        <v>150</v>
      </c>
      <c r="G268" t="s">
        <v>152</v>
      </c>
    </row>
    <row r="269" spans="1:7" x14ac:dyDescent="0.25">
      <c r="A269" t="s">
        <v>576</v>
      </c>
      <c r="B269">
        <v>268</v>
      </c>
      <c r="C269" t="s">
        <v>5</v>
      </c>
      <c r="D269" t="s">
        <v>383</v>
      </c>
      <c r="E269" t="s">
        <v>386</v>
      </c>
      <c r="F269" t="s">
        <v>150</v>
      </c>
      <c r="G269" t="s">
        <v>152</v>
      </c>
    </row>
    <row r="270" spans="1:7" x14ac:dyDescent="0.25">
      <c r="A270" t="s">
        <v>577</v>
      </c>
      <c r="B270">
        <v>269</v>
      </c>
      <c r="C270" t="s">
        <v>5</v>
      </c>
      <c r="D270" t="s">
        <v>381</v>
      </c>
      <c r="E270" t="s">
        <v>384</v>
      </c>
      <c r="F270" t="s">
        <v>150</v>
      </c>
      <c r="G270" t="s">
        <v>152</v>
      </c>
    </row>
    <row r="271" spans="1:7" x14ac:dyDescent="0.25">
      <c r="A271" t="s">
        <v>578</v>
      </c>
      <c r="B271">
        <v>270</v>
      </c>
      <c r="C271" t="s">
        <v>5</v>
      </c>
      <c r="D271" t="s">
        <v>384</v>
      </c>
      <c r="E271" t="s">
        <v>387</v>
      </c>
      <c r="F271" t="s">
        <v>150</v>
      </c>
      <c r="G271" t="s">
        <v>152</v>
      </c>
    </row>
    <row r="272" spans="1:7" x14ac:dyDescent="0.25">
      <c r="A272" t="s">
        <v>746</v>
      </c>
      <c r="B272">
        <v>271</v>
      </c>
      <c r="C272" t="s">
        <v>5</v>
      </c>
      <c r="D272" t="s">
        <v>344</v>
      </c>
      <c r="E272" t="s">
        <v>367</v>
      </c>
      <c r="F272" t="s">
        <v>148</v>
      </c>
      <c r="G272" t="s">
        <v>32</v>
      </c>
    </row>
    <row r="273" spans="1:7" x14ac:dyDescent="0.25">
      <c r="A273" t="s">
        <v>747</v>
      </c>
      <c r="B273">
        <v>272</v>
      </c>
      <c r="C273" t="s">
        <v>5</v>
      </c>
      <c r="D273" t="s">
        <v>345</v>
      </c>
      <c r="E273" t="s">
        <v>368</v>
      </c>
      <c r="F273" t="s">
        <v>148</v>
      </c>
      <c r="G273" t="s">
        <v>32</v>
      </c>
    </row>
    <row r="274" spans="1:7" x14ac:dyDescent="0.25">
      <c r="A274" t="s">
        <v>748</v>
      </c>
      <c r="B274">
        <v>273</v>
      </c>
      <c r="C274" t="s">
        <v>5</v>
      </c>
      <c r="D274" t="s">
        <v>346</v>
      </c>
      <c r="E274" t="s">
        <v>369</v>
      </c>
      <c r="F274" t="s">
        <v>148</v>
      </c>
      <c r="G274" t="s">
        <v>32</v>
      </c>
    </row>
    <row r="275" spans="1:7" x14ac:dyDescent="0.25">
      <c r="A275" t="s">
        <v>749</v>
      </c>
      <c r="B275">
        <v>274</v>
      </c>
      <c r="C275" t="s">
        <v>5</v>
      </c>
      <c r="D275" t="s">
        <v>347</v>
      </c>
      <c r="E275" t="s">
        <v>370</v>
      </c>
      <c r="F275" t="s">
        <v>148</v>
      </c>
      <c r="G275" t="s">
        <v>32</v>
      </c>
    </row>
    <row r="276" spans="1:7" x14ac:dyDescent="0.25">
      <c r="A276" t="s">
        <v>750</v>
      </c>
      <c r="B276">
        <v>275</v>
      </c>
      <c r="C276" t="s">
        <v>5</v>
      </c>
      <c r="D276" t="s">
        <v>353</v>
      </c>
      <c r="E276" t="s">
        <v>376</v>
      </c>
      <c r="F276" t="s">
        <v>148</v>
      </c>
      <c r="G276" t="s">
        <v>32</v>
      </c>
    </row>
    <row r="277" spans="1:7" x14ac:dyDescent="0.25">
      <c r="A277" t="s">
        <v>751</v>
      </c>
      <c r="B277">
        <v>276</v>
      </c>
      <c r="C277" t="s">
        <v>5</v>
      </c>
      <c r="D277" t="s">
        <v>354</v>
      </c>
      <c r="E277" t="s">
        <v>377</v>
      </c>
      <c r="F277" t="s">
        <v>149</v>
      </c>
      <c r="G277" t="s">
        <v>32</v>
      </c>
    </row>
    <row r="278" spans="1:7" x14ac:dyDescent="0.25">
      <c r="A278" t="s">
        <v>752</v>
      </c>
      <c r="B278">
        <v>277</v>
      </c>
      <c r="C278" t="s">
        <v>5</v>
      </c>
      <c r="D278" t="s">
        <v>355</v>
      </c>
      <c r="E278" t="s">
        <v>378</v>
      </c>
      <c r="F278" t="s">
        <v>149</v>
      </c>
      <c r="G278" t="s">
        <v>32</v>
      </c>
    </row>
    <row r="279" spans="1:7" x14ac:dyDescent="0.25">
      <c r="A279" t="s">
        <v>753</v>
      </c>
      <c r="B279">
        <v>278</v>
      </c>
      <c r="C279" t="s">
        <v>5</v>
      </c>
      <c r="D279" t="s">
        <v>356</v>
      </c>
      <c r="E279" t="s">
        <v>379</v>
      </c>
      <c r="F279" t="s">
        <v>148</v>
      </c>
      <c r="G279" t="s">
        <v>32</v>
      </c>
    </row>
    <row r="280" spans="1:7" x14ac:dyDescent="0.25">
      <c r="A280" t="s">
        <v>754</v>
      </c>
      <c r="B280">
        <v>279</v>
      </c>
      <c r="C280" t="s">
        <v>5</v>
      </c>
      <c r="D280" t="s">
        <v>357</v>
      </c>
      <c r="E280" t="s">
        <v>380</v>
      </c>
      <c r="F280" t="s">
        <v>148</v>
      </c>
      <c r="G280" t="s">
        <v>32</v>
      </c>
    </row>
    <row r="281" spans="1:7" x14ac:dyDescent="0.25">
      <c r="A281" t="s">
        <v>755</v>
      </c>
      <c r="B281">
        <v>280</v>
      </c>
      <c r="C281" t="s">
        <v>5</v>
      </c>
      <c r="D281" t="s">
        <v>358</v>
      </c>
      <c r="E281" t="s">
        <v>381</v>
      </c>
      <c r="F281" t="s">
        <v>148</v>
      </c>
      <c r="G281" t="s">
        <v>32</v>
      </c>
    </row>
    <row r="282" spans="1:7" x14ac:dyDescent="0.25">
      <c r="A282" t="s">
        <v>756</v>
      </c>
      <c r="B282">
        <v>281</v>
      </c>
      <c r="C282" t="s">
        <v>5</v>
      </c>
      <c r="D282" t="s">
        <v>362</v>
      </c>
      <c r="E282" t="s">
        <v>385</v>
      </c>
      <c r="F282" t="s">
        <v>149</v>
      </c>
      <c r="G282" t="s">
        <v>32</v>
      </c>
    </row>
    <row r="283" spans="1:7" x14ac:dyDescent="0.25">
      <c r="A283" t="s">
        <v>757</v>
      </c>
      <c r="B283">
        <v>282</v>
      </c>
      <c r="C283" t="s">
        <v>5</v>
      </c>
      <c r="D283" t="s">
        <v>363</v>
      </c>
      <c r="E283" t="s">
        <v>386</v>
      </c>
      <c r="F283" t="s">
        <v>149</v>
      </c>
      <c r="G283" t="s">
        <v>32</v>
      </c>
    </row>
    <row r="284" spans="1:7" x14ac:dyDescent="0.25">
      <c r="A284" t="s">
        <v>758</v>
      </c>
      <c r="B284">
        <v>283</v>
      </c>
      <c r="C284" t="s">
        <v>5</v>
      </c>
      <c r="D284" t="s">
        <v>364</v>
      </c>
      <c r="E284" t="s">
        <v>387</v>
      </c>
      <c r="F284" t="s">
        <v>149</v>
      </c>
      <c r="G284" t="s">
        <v>32</v>
      </c>
    </row>
    <row r="285" spans="1:7" x14ac:dyDescent="0.25">
      <c r="A285" t="s">
        <v>759</v>
      </c>
      <c r="B285">
        <v>284</v>
      </c>
      <c r="C285" t="s">
        <v>5</v>
      </c>
      <c r="D285" t="s">
        <v>365</v>
      </c>
      <c r="E285" t="s">
        <v>388</v>
      </c>
      <c r="F285" t="s">
        <v>149</v>
      </c>
      <c r="G285" t="s">
        <v>32</v>
      </c>
    </row>
    <row r="286" spans="1:7" x14ac:dyDescent="0.25">
      <c r="A286" t="s">
        <v>760</v>
      </c>
      <c r="B286">
        <v>285</v>
      </c>
      <c r="C286" t="s">
        <v>5</v>
      </c>
      <c r="D286" t="s">
        <v>348</v>
      </c>
      <c r="E286" t="s">
        <v>371</v>
      </c>
      <c r="F286" t="s">
        <v>146</v>
      </c>
      <c r="G286" t="s">
        <v>31</v>
      </c>
    </row>
    <row r="287" spans="1:7" x14ac:dyDescent="0.25">
      <c r="A287" t="s">
        <v>761</v>
      </c>
      <c r="B287">
        <v>286</v>
      </c>
      <c r="C287" t="s">
        <v>5</v>
      </c>
      <c r="D287" t="s">
        <v>359</v>
      </c>
      <c r="E287" t="s">
        <v>382</v>
      </c>
      <c r="F287" t="s">
        <v>146</v>
      </c>
      <c r="G287" t="s">
        <v>31</v>
      </c>
    </row>
    <row r="288" spans="1:7" x14ac:dyDescent="0.25">
      <c r="A288" t="s">
        <v>762</v>
      </c>
      <c r="B288">
        <v>287</v>
      </c>
      <c r="C288" t="s">
        <v>5</v>
      </c>
      <c r="D288" t="s">
        <v>351</v>
      </c>
      <c r="E288" t="s">
        <v>374</v>
      </c>
      <c r="F288" t="s">
        <v>147</v>
      </c>
      <c r="G288" t="s">
        <v>32</v>
      </c>
    </row>
    <row r="289" spans="1:7" x14ac:dyDescent="0.25">
      <c r="A289" t="s">
        <v>763</v>
      </c>
      <c r="B289">
        <v>288</v>
      </c>
      <c r="C289" t="s">
        <v>5</v>
      </c>
      <c r="D289" t="s">
        <v>352</v>
      </c>
      <c r="E289" t="s">
        <v>375</v>
      </c>
      <c r="F289" t="s">
        <v>147</v>
      </c>
      <c r="G289" t="s">
        <v>32</v>
      </c>
    </row>
    <row r="290" spans="1:7" x14ac:dyDescent="0.25">
      <c r="A290" t="s">
        <v>579</v>
      </c>
      <c r="B290">
        <v>289</v>
      </c>
      <c r="C290" t="s">
        <v>5</v>
      </c>
      <c r="D290" t="s">
        <v>390</v>
      </c>
      <c r="E290" t="s">
        <v>391</v>
      </c>
      <c r="F290" t="s">
        <v>150</v>
      </c>
      <c r="G290" t="s">
        <v>152</v>
      </c>
    </row>
    <row r="291" spans="1:7" x14ac:dyDescent="0.25">
      <c r="A291" t="s">
        <v>580</v>
      </c>
      <c r="B291">
        <v>290</v>
      </c>
      <c r="C291" t="s">
        <v>5</v>
      </c>
      <c r="D291" t="s">
        <v>392</v>
      </c>
      <c r="E291" t="s">
        <v>393</v>
      </c>
      <c r="F291" t="s">
        <v>150</v>
      </c>
      <c r="G291" t="s">
        <v>152</v>
      </c>
    </row>
    <row r="292" spans="1:7" x14ac:dyDescent="0.25">
      <c r="A292" t="s">
        <v>581</v>
      </c>
      <c r="B292">
        <v>291</v>
      </c>
      <c r="C292" t="s">
        <v>5</v>
      </c>
      <c r="D292" t="s">
        <v>395</v>
      </c>
      <c r="E292" t="s">
        <v>396</v>
      </c>
      <c r="F292" t="s">
        <v>150</v>
      </c>
      <c r="G292" t="s">
        <v>152</v>
      </c>
    </row>
    <row r="293" spans="1:7" x14ac:dyDescent="0.25">
      <c r="A293" t="s">
        <v>582</v>
      </c>
      <c r="B293">
        <v>292</v>
      </c>
      <c r="C293" t="s">
        <v>5</v>
      </c>
      <c r="D293" t="s">
        <v>399</v>
      </c>
      <c r="E293" t="s">
        <v>400</v>
      </c>
      <c r="F293" t="s">
        <v>150</v>
      </c>
      <c r="G293" t="s">
        <v>152</v>
      </c>
    </row>
    <row r="294" spans="1:7" x14ac:dyDescent="0.25">
      <c r="A294" t="s">
        <v>583</v>
      </c>
      <c r="B294">
        <v>293</v>
      </c>
      <c r="C294" t="s">
        <v>5</v>
      </c>
      <c r="D294" t="s">
        <v>400</v>
      </c>
      <c r="E294" t="s">
        <v>401</v>
      </c>
      <c r="F294" t="s">
        <v>150</v>
      </c>
      <c r="G294" t="s">
        <v>152</v>
      </c>
    </row>
    <row r="295" spans="1:7" x14ac:dyDescent="0.25">
      <c r="A295" t="s">
        <v>584</v>
      </c>
      <c r="B295">
        <v>294</v>
      </c>
      <c r="C295" t="s">
        <v>5</v>
      </c>
      <c r="D295" t="s">
        <v>401</v>
      </c>
      <c r="E295" t="s">
        <v>402</v>
      </c>
      <c r="F295" t="s">
        <v>150</v>
      </c>
      <c r="G295" t="s">
        <v>152</v>
      </c>
    </row>
    <row r="296" spans="1:7" x14ac:dyDescent="0.25">
      <c r="A296" t="s">
        <v>585</v>
      </c>
      <c r="B296">
        <v>295</v>
      </c>
      <c r="C296" t="s">
        <v>5</v>
      </c>
      <c r="D296" t="s">
        <v>406</v>
      </c>
      <c r="E296" t="s">
        <v>407</v>
      </c>
      <c r="F296" t="s">
        <v>150</v>
      </c>
      <c r="G296" t="s">
        <v>152</v>
      </c>
    </row>
    <row r="297" spans="1:7" x14ac:dyDescent="0.25">
      <c r="A297" t="s">
        <v>586</v>
      </c>
      <c r="B297">
        <v>296</v>
      </c>
      <c r="C297" t="s">
        <v>5</v>
      </c>
      <c r="D297" t="s">
        <v>408</v>
      </c>
      <c r="E297" t="s">
        <v>409</v>
      </c>
      <c r="F297" t="s">
        <v>150</v>
      </c>
      <c r="G297" t="s">
        <v>152</v>
      </c>
    </row>
    <row r="298" spans="1:7" x14ac:dyDescent="0.25">
      <c r="A298" t="s">
        <v>587</v>
      </c>
      <c r="B298">
        <v>297</v>
      </c>
      <c r="C298" t="s">
        <v>5</v>
      </c>
      <c r="D298" t="s">
        <v>409</v>
      </c>
      <c r="E298" t="s">
        <v>410</v>
      </c>
      <c r="F298" t="s">
        <v>150</v>
      </c>
      <c r="G298" t="s">
        <v>152</v>
      </c>
    </row>
    <row r="299" spans="1:7" x14ac:dyDescent="0.25">
      <c r="A299" t="s">
        <v>588</v>
      </c>
      <c r="B299">
        <v>298</v>
      </c>
      <c r="C299" t="s">
        <v>5</v>
      </c>
      <c r="D299" t="s">
        <v>410</v>
      </c>
      <c r="E299" t="s">
        <v>411</v>
      </c>
      <c r="F299" t="s">
        <v>150</v>
      </c>
      <c r="G299" t="s">
        <v>152</v>
      </c>
    </row>
    <row r="300" spans="1:7" x14ac:dyDescent="0.25">
      <c r="A300" t="s">
        <v>589</v>
      </c>
      <c r="B300">
        <v>299</v>
      </c>
      <c r="C300" t="s">
        <v>5</v>
      </c>
      <c r="D300" t="s">
        <v>391</v>
      </c>
      <c r="E300" t="s">
        <v>395</v>
      </c>
      <c r="F300" t="s">
        <v>150</v>
      </c>
      <c r="G300" t="s">
        <v>152</v>
      </c>
    </row>
    <row r="301" spans="1:7" x14ac:dyDescent="0.25">
      <c r="A301" t="s">
        <v>590</v>
      </c>
      <c r="B301">
        <v>300</v>
      </c>
      <c r="C301" t="s">
        <v>5</v>
      </c>
      <c r="D301" t="s">
        <v>395</v>
      </c>
      <c r="E301" t="s">
        <v>400</v>
      </c>
      <c r="F301" t="s">
        <v>150</v>
      </c>
      <c r="G301" t="s">
        <v>152</v>
      </c>
    </row>
    <row r="302" spans="1:7" x14ac:dyDescent="0.25">
      <c r="A302" t="s">
        <v>591</v>
      </c>
      <c r="B302">
        <v>301</v>
      </c>
      <c r="C302" t="s">
        <v>5</v>
      </c>
      <c r="D302" t="s">
        <v>392</v>
      </c>
      <c r="E302" t="s">
        <v>396</v>
      </c>
      <c r="F302" t="s">
        <v>150</v>
      </c>
      <c r="G302" t="s">
        <v>152</v>
      </c>
    </row>
    <row r="303" spans="1:7" x14ac:dyDescent="0.25">
      <c r="A303" t="s">
        <v>592</v>
      </c>
      <c r="B303">
        <v>302</v>
      </c>
      <c r="C303" t="s">
        <v>5</v>
      </c>
      <c r="D303" t="s">
        <v>396</v>
      </c>
      <c r="E303" t="s">
        <v>401</v>
      </c>
      <c r="F303" t="s">
        <v>150</v>
      </c>
      <c r="G303" t="s">
        <v>152</v>
      </c>
    </row>
    <row r="304" spans="1:7" x14ac:dyDescent="0.25">
      <c r="A304" t="s">
        <v>593</v>
      </c>
      <c r="B304">
        <v>303</v>
      </c>
      <c r="C304" t="s">
        <v>5</v>
      </c>
      <c r="D304" t="s">
        <v>403</v>
      </c>
      <c r="E304" t="s">
        <v>406</v>
      </c>
      <c r="F304" t="s">
        <v>150</v>
      </c>
      <c r="G304" t="s">
        <v>152</v>
      </c>
    </row>
    <row r="305" spans="1:7" x14ac:dyDescent="0.25">
      <c r="A305" t="s">
        <v>594</v>
      </c>
      <c r="B305">
        <v>304</v>
      </c>
      <c r="C305" t="s">
        <v>5</v>
      </c>
      <c r="D305" t="s">
        <v>406</v>
      </c>
      <c r="E305" t="s">
        <v>409</v>
      </c>
      <c r="F305" t="s">
        <v>150</v>
      </c>
      <c r="G305" t="s">
        <v>152</v>
      </c>
    </row>
    <row r="306" spans="1:7" x14ac:dyDescent="0.25">
      <c r="A306" t="s">
        <v>595</v>
      </c>
      <c r="B306">
        <v>305</v>
      </c>
      <c r="C306" t="s">
        <v>5</v>
      </c>
      <c r="D306" t="s">
        <v>404</v>
      </c>
      <c r="E306" t="s">
        <v>407</v>
      </c>
      <c r="F306" t="s">
        <v>150</v>
      </c>
      <c r="G306" t="s">
        <v>152</v>
      </c>
    </row>
    <row r="307" spans="1:7" x14ac:dyDescent="0.25">
      <c r="A307" t="s">
        <v>596</v>
      </c>
      <c r="B307">
        <v>306</v>
      </c>
      <c r="C307" t="s">
        <v>5</v>
      </c>
      <c r="D307" t="s">
        <v>407</v>
      </c>
      <c r="E307" t="s">
        <v>410</v>
      </c>
      <c r="F307" t="s">
        <v>150</v>
      </c>
      <c r="G307" t="s">
        <v>152</v>
      </c>
    </row>
    <row r="308" spans="1:7" x14ac:dyDescent="0.25">
      <c r="A308" t="s">
        <v>764</v>
      </c>
      <c r="B308">
        <v>307</v>
      </c>
      <c r="C308" t="s">
        <v>5</v>
      </c>
      <c r="D308" t="s">
        <v>367</v>
      </c>
      <c r="E308" t="s">
        <v>390</v>
      </c>
      <c r="F308" t="s">
        <v>148</v>
      </c>
      <c r="G308" t="s">
        <v>32</v>
      </c>
    </row>
    <row r="309" spans="1:7" x14ac:dyDescent="0.25">
      <c r="A309" t="s">
        <v>765</v>
      </c>
      <c r="B309">
        <v>308</v>
      </c>
      <c r="C309" t="s">
        <v>5</v>
      </c>
      <c r="D309" t="s">
        <v>368</v>
      </c>
      <c r="E309" t="s">
        <v>391</v>
      </c>
      <c r="F309" t="s">
        <v>148</v>
      </c>
      <c r="G309" t="s">
        <v>32</v>
      </c>
    </row>
    <row r="310" spans="1:7" x14ac:dyDescent="0.25">
      <c r="A310" t="s">
        <v>766</v>
      </c>
      <c r="B310">
        <v>309</v>
      </c>
      <c r="C310" t="s">
        <v>5</v>
      </c>
      <c r="D310" t="s">
        <v>369</v>
      </c>
      <c r="E310" t="s">
        <v>392</v>
      </c>
      <c r="F310" t="s">
        <v>148</v>
      </c>
      <c r="G310" t="s">
        <v>32</v>
      </c>
    </row>
    <row r="311" spans="1:7" x14ac:dyDescent="0.25">
      <c r="A311" t="s">
        <v>767</v>
      </c>
      <c r="B311">
        <v>310</v>
      </c>
      <c r="C311" t="s">
        <v>5</v>
      </c>
      <c r="D311" t="s">
        <v>370</v>
      </c>
      <c r="E311" t="s">
        <v>393</v>
      </c>
      <c r="F311" t="s">
        <v>148</v>
      </c>
      <c r="G311" t="s">
        <v>32</v>
      </c>
    </row>
    <row r="312" spans="1:7" x14ac:dyDescent="0.25">
      <c r="A312" t="s">
        <v>768</v>
      </c>
      <c r="B312">
        <v>311</v>
      </c>
      <c r="C312" t="s">
        <v>5</v>
      </c>
      <c r="D312" t="s">
        <v>376</v>
      </c>
      <c r="E312" t="s">
        <v>399</v>
      </c>
      <c r="F312" t="s">
        <v>148</v>
      </c>
      <c r="G312" t="s">
        <v>32</v>
      </c>
    </row>
    <row r="313" spans="1:7" x14ac:dyDescent="0.25">
      <c r="A313" t="s">
        <v>769</v>
      </c>
      <c r="B313">
        <v>312</v>
      </c>
      <c r="C313" t="s">
        <v>5</v>
      </c>
      <c r="D313" t="s">
        <v>377</v>
      </c>
      <c r="E313" t="s">
        <v>400</v>
      </c>
      <c r="F313" t="s">
        <v>149</v>
      </c>
      <c r="G313" t="s">
        <v>32</v>
      </c>
    </row>
    <row r="314" spans="1:7" x14ac:dyDescent="0.25">
      <c r="A314" t="s">
        <v>770</v>
      </c>
      <c r="B314">
        <v>313</v>
      </c>
      <c r="C314" t="s">
        <v>5</v>
      </c>
      <c r="D314" t="s">
        <v>378</v>
      </c>
      <c r="E314" t="s">
        <v>401</v>
      </c>
      <c r="F314" t="s">
        <v>149</v>
      </c>
      <c r="G314" t="s">
        <v>32</v>
      </c>
    </row>
    <row r="315" spans="1:7" x14ac:dyDescent="0.25">
      <c r="A315" t="s">
        <v>771</v>
      </c>
      <c r="B315">
        <v>314</v>
      </c>
      <c r="C315" t="s">
        <v>5</v>
      </c>
      <c r="D315" t="s">
        <v>379</v>
      </c>
      <c r="E315" t="s">
        <v>402</v>
      </c>
      <c r="F315" t="s">
        <v>148</v>
      </c>
      <c r="G315" t="s">
        <v>32</v>
      </c>
    </row>
    <row r="316" spans="1:7" x14ac:dyDescent="0.25">
      <c r="A316" t="s">
        <v>772</v>
      </c>
      <c r="B316">
        <v>315</v>
      </c>
      <c r="C316" t="s">
        <v>5</v>
      </c>
      <c r="D316" t="s">
        <v>380</v>
      </c>
      <c r="E316" t="s">
        <v>403</v>
      </c>
      <c r="F316" t="s">
        <v>148</v>
      </c>
      <c r="G316" t="s">
        <v>32</v>
      </c>
    </row>
    <row r="317" spans="1:7" x14ac:dyDescent="0.25">
      <c r="A317" t="s">
        <v>773</v>
      </c>
      <c r="B317">
        <v>316</v>
      </c>
      <c r="C317" t="s">
        <v>5</v>
      </c>
      <c r="D317" t="s">
        <v>381</v>
      </c>
      <c r="E317" t="s">
        <v>404</v>
      </c>
      <c r="F317" t="s">
        <v>148</v>
      </c>
      <c r="G317" t="s">
        <v>32</v>
      </c>
    </row>
    <row r="318" spans="1:7" x14ac:dyDescent="0.25">
      <c r="A318" t="s">
        <v>774</v>
      </c>
      <c r="B318">
        <v>317</v>
      </c>
      <c r="C318" t="s">
        <v>5</v>
      </c>
      <c r="D318" t="s">
        <v>385</v>
      </c>
      <c r="E318" t="s">
        <v>408</v>
      </c>
      <c r="F318" t="s">
        <v>149</v>
      </c>
      <c r="G318" t="s">
        <v>32</v>
      </c>
    </row>
    <row r="319" spans="1:7" x14ac:dyDescent="0.25">
      <c r="A319" t="s">
        <v>775</v>
      </c>
      <c r="B319">
        <v>318</v>
      </c>
      <c r="C319" t="s">
        <v>5</v>
      </c>
      <c r="D319" t="s">
        <v>386</v>
      </c>
      <c r="E319" t="s">
        <v>409</v>
      </c>
      <c r="F319" t="s">
        <v>149</v>
      </c>
      <c r="G319" t="s">
        <v>32</v>
      </c>
    </row>
    <row r="320" spans="1:7" x14ac:dyDescent="0.25">
      <c r="A320" t="s">
        <v>776</v>
      </c>
      <c r="B320">
        <v>319</v>
      </c>
      <c r="C320" t="s">
        <v>5</v>
      </c>
      <c r="D320" t="s">
        <v>387</v>
      </c>
      <c r="E320" t="s">
        <v>410</v>
      </c>
      <c r="F320" t="s">
        <v>149</v>
      </c>
      <c r="G320" t="s">
        <v>32</v>
      </c>
    </row>
    <row r="321" spans="1:7" x14ac:dyDescent="0.25">
      <c r="A321" t="s">
        <v>777</v>
      </c>
      <c r="B321">
        <v>320</v>
      </c>
      <c r="C321" t="s">
        <v>5</v>
      </c>
      <c r="D321" t="s">
        <v>388</v>
      </c>
      <c r="E321" t="s">
        <v>411</v>
      </c>
      <c r="F321" t="s">
        <v>149</v>
      </c>
      <c r="G321" t="s">
        <v>32</v>
      </c>
    </row>
    <row r="322" spans="1:7" x14ac:dyDescent="0.25">
      <c r="A322" t="s">
        <v>778</v>
      </c>
      <c r="B322">
        <v>321</v>
      </c>
      <c r="C322" t="s">
        <v>5</v>
      </c>
      <c r="D322" t="s">
        <v>371</v>
      </c>
      <c r="E322" t="s">
        <v>394</v>
      </c>
      <c r="F322" t="s">
        <v>146</v>
      </c>
      <c r="G322" t="s">
        <v>31</v>
      </c>
    </row>
    <row r="323" spans="1:7" x14ac:dyDescent="0.25">
      <c r="A323" t="s">
        <v>779</v>
      </c>
      <c r="B323">
        <v>322</v>
      </c>
      <c r="C323" t="s">
        <v>5</v>
      </c>
      <c r="D323" t="s">
        <v>382</v>
      </c>
      <c r="E323" t="s">
        <v>405</v>
      </c>
      <c r="F323" t="s">
        <v>146</v>
      </c>
      <c r="G323" t="s">
        <v>31</v>
      </c>
    </row>
    <row r="324" spans="1:7" x14ac:dyDescent="0.25">
      <c r="A324" t="s">
        <v>780</v>
      </c>
      <c r="B324">
        <v>323</v>
      </c>
      <c r="C324" t="s">
        <v>5</v>
      </c>
      <c r="D324" t="s">
        <v>374</v>
      </c>
      <c r="E324" t="s">
        <v>397</v>
      </c>
      <c r="F324" t="s">
        <v>147</v>
      </c>
      <c r="G324" t="s">
        <v>32</v>
      </c>
    </row>
    <row r="325" spans="1:7" x14ac:dyDescent="0.25">
      <c r="A325" t="s">
        <v>781</v>
      </c>
      <c r="B325">
        <v>324</v>
      </c>
      <c r="C325" t="s">
        <v>5</v>
      </c>
      <c r="D325" t="s">
        <v>375</v>
      </c>
      <c r="E325" t="s">
        <v>398</v>
      </c>
      <c r="F325" t="s">
        <v>147</v>
      </c>
      <c r="G325" t="s">
        <v>32</v>
      </c>
    </row>
    <row r="326" spans="1:7" x14ac:dyDescent="0.25">
      <c r="A326" t="s">
        <v>597</v>
      </c>
      <c r="B326">
        <v>325</v>
      </c>
      <c r="C326" t="s">
        <v>5</v>
      </c>
      <c r="D326" t="s">
        <v>413</v>
      </c>
      <c r="E326" t="s">
        <v>414</v>
      </c>
      <c r="F326" t="s">
        <v>150</v>
      </c>
      <c r="G326" t="s">
        <v>152</v>
      </c>
    </row>
    <row r="327" spans="1:7" x14ac:dyDescent="0.25">
      <c r="A327" t="s">
        <v>598</v>
      </c>
      <c r="B327">
        <v>326</v>
      </c>
      <c r="C327" t="s">
        <v>5</v>
      </c>
      <c r="D327" t="s">
        <v>415</v>
      </c>
      <c r="E327" t="s">
        <v>416</v>
      </c>
      <c r="F327" t="s">
        <v>150</v>
      </c>
      <c r="G327" t="s">
        <v>152</v>
      </c>
    </row>
    <row r="328" spans="1:7" x14ac:dyDescent="0.25">
      <c r="A328" t="s">
        <v>599</v>
      </c>
      <c r="B328">
        <v>327</v>
      </c>
      <c r="C328" t="s">
        <v>5</v>
      </c>
      <c r="D328" t="s">
        <v>418</v>
      </c>
      <c r="E328" t="s">
        <v>419</v>
      </c>
      <c r="F328" t="s">
        <v>150</v>
      </c>
      <c r="G328" t="s">
        <v>152</v>
      </c>
    </row>
    <row r="329" spans="1:7" x14ac:dyDescent="0.25">
      <c r="A329" t="s">
        <v>600</v>
      </c>
      <c r="B329">
        <v>328</v>
      </c>
      <c r="C329" t="s">
        <v>5</v>
      </c>
      <c r="D329" t="s">
        <v>422</v>
      </c>
      <c r="E329" t="s">
        <v>423</v>
      </c>
      <c r="F329" t="s">
        <v>150</v>
      </c>
      <c r="G329" t="s">
        <v>152</v>
      </c>
    </row>
    <row r="330" spans="1:7" x14ac:dyDescent="0.25">
      <c r="A330" t="s">
        <v>601</v>
      </c>
      <c r="B330">
        <v>329</v>
      </c>
      <c r="C330" t="s">
        <v>5</v>
      </c>
      <c r="D330" t="s">
        <v>423</v>
      </c>
      <c r="E330" t="s">
        <v>424</v>
      </c>
      <c r="F330" t="s">
        <v>150</v>
      </c>
      <c r="G330" t="s">
        <v>152</v>
      </c>
    </row>
    <row r="331" spans="1:7" x14ac:dyDescent="0.25">
      <c r="A331" t="s">
        <v>602</v>
      </c>
      <c r="B331">
        <v>330</v>
      </c>
      <c r="C331" t="s">
        <v>5</v>
      </c>
      <c r="D331" t="s">
        <v>424</v>
      </c>
      <c r="E331" t="s">
        <v>425</v>
      </c>
      <c r="F331" t="s">
        <v>150</v>
      </c>
      <c r="G331" t="s">
        <v>152</v>
      </c>
    </row>
    <row r="332" spans="1:7" x14ac:dyDescent="0.25">
      <c r="A332" t="s">
        <v>603</v>
      </c>
      <c r="B332">
        <v>331</v>
      </c>
      <c r="C332" t="s">
        <v>5</v>
      </c>
      <c r="D332" t="s">
        <v>429</v>
      </c>
      <c r="E332" t="s">
        <v>430</v>
      </c>
      <c r="F332" t="s">
        <v>150</v>
      </c>
      <c r="G332" t="s">
        <v>152</v>
      </c>
    </row>
    <row r="333" spans="1:7" x14ac:dyDescent="0.25">
      <c r="A333" t="s">
        <v>604</v>
      </c>
      <c r="B333">
        <v>332</v>
      </c>
      <c r="C333" t="s">
        <v>5</v>
      </c>
      <c r="D333" t="s">
        <v>431</v>
      </c>
      <c r="E333" t="s">
        <v>432</v>
      </c>
      <c r="F333" t="s">
        <v>150</v>
      </c>
      <c r="G333" t="s">
        <v>152</v>
      </c>
    </row>
    <row r="334" spans="1:7" x14ac:dyDescent="0.25">
      <c r="A334" t="s">
        <v>605</v>
      </c>
      <c r="B334">
        <v>333</v>
      </c>
      <c r="C334" t="s">
        <v>5</v>
      </c>
      <c r="D334" t="s">
        <v>432</v>
      </c>
      <c r="E334" t="s">
        <v>433</v>
      </c>
      <c r="F334" t="s">
        <v>150</v>
      </c>
      <c r="G334" t="s">
        <v>152</v>
      </c>
    </row>
    <row r="335" spans="1:7" x14ac:dyDescent="0.25">
      <c r="A335" t="s">
        <v>606</v>
      </c>
      <c r="B335">
        <v>334</v>
      </c>
      <c r="C335" t="s">
        <v>5</v>
      </c>
      <c r="D335" t="s">
        <v>433</v>
      </c>
      <c r="E335" t="s">
        <v>434</v>
      </c>
      <c r="F335" t="s">
        <v>150</v>
      </c>
      <c r="G335" t="s">
        <v>152</v>
      </c>
    </row>
    <row r="336" spans="1:7" x14ac:dyDescent="0.25">
      <c r="A336" t="s">
        <v>607</v>
      </c>
      <c r="B336">
        <v>335</v>
      </c>
      <c r="C336" t="s">
        <v>5</v>
      </c>
      <c r="D336" t="s">
        <v>414</v>
      </c>
      <c r="E336" t="s">
        <v>418</v>
      </c>
      <c r="F336" t="s">
        <v>150</v>
      </c>
      <c r="G336" t="s">
        <v>152</v>
      </c>
    </row>
    <row r="337" spans="1:7" x14ac:dyDescent="0.25">
      <c r="A337" t="s">
        <v>608</v>
      </c>
      <c r="B337">
        <v>336</v>
      </c>
      <c r="C337" t="s">
        <v>5</v>
      </c>
      <c r="D337" t="s">
        <v>418</v>
      </c>
      <c r="E337" t="s">
        <v>423</v>
      </c>
      <c r="F337" t="s">
        <v>150</v>
      </c>
      <c r="G337" t="s">
        <v>152</v>
      </c>
    </row>
    <row r="338" spans="1:7" x14ac:dyDescent="0.25">
      <c r="A338" t="s">
        <v>609</v>
      </c>
      <c r="B338">
        <v>337</v>
      </c>
      <c r="C338" t="s">
        <v>5</v>
      </c>
      <c r="D338" t="s">
        <v>415</v>
      </c>
      <c r="E338" t="s">
        <v>419</v>
      </c>
      <c r="F338" t="s">
        <v>150</v>
      </c>
      <c r="G338" t="s">
        <v>152</v>
      </c>
    </row>
    <row r="339" spans="1:7" x14ac:dyDescent="0.25">
      <c r="A339" t="s">
        <v>610</v>
      </c>
      <c r="B339">
        <v>338</v>
      </c>
      <c r="C339" t="s">
        <v>5</v>
      </c>
      <c r="D339" t="s">
        <v>419</v>
      </c>
      <c r="E339" t="s">
        <v>424</v>
      </c>
      <c r="F339" t="s">
        <v>150</v>
      </c>
      <c r="G339" t="s">
        <v>152</v>
      </c>
    </row>
    <row r="340" spans="1:7" x14ac:dyDescent="0.25">
      <c r="A340" t="s">
        <v>611</v>
      </c>
      <c r="B340">
        <v>339</v>
      </c>
      <c r="C340" t="s">
        <v>5</v>
      </c>
      <c r="D340" t="s">
        <v>426</v>
      </c>
      <c r="E340" t="s">
        <v>429</v>
      </c>
      <c r="F340" t="s">
        <v>150</v>
      </c>
      <c r="G340" t="s">
        <v>152</v>
      </c>
    </row>
    <row r="341" spans="1:7" x14ac:dyDescent="0.25">
      <c r="A341" t="s">
        <v>612</v>
      </c>
      <c r="B341">
        <v>340</v>
      </c>
      <c r="C341" t="s">
        <v>5</v>
      </c>
      <c r="D341" t="s">
        <v>429</v>
      </c>
      <c r="E341" t="s">
        <v>432</v>
      </c>
      <c r="F341" t="s">
        <v>150</v>
      </c>
      <c r="G341" t="s">
        <v>152</v>
      </c>
    </row>
    <row r="342" spans="1:7" x14ac:dyDescent="0.25">
      <c r="A342" t="s">
        <v>613</v>
      </c>
      <c r="B342">
        <v>341</v>
      </c>
      <c r="C342" t="s">
        <v>5</v>
      </c>
      <c r="D342" t="s">
        <v>427</v>
      </c>
      <c r="E342" t="s">
        <v>430</v>
      </c>
      <c r="F342" t="s">
        <v>150</v>
      </c>
      <c r="G342" t="s">
        <v>152</v>
      </c>
    </row>
    <row r="343" spans="1:7" x14ac:dyDescent="0.25">
      <c r="A343" t="s">
        <v>614</v>
      </c>
      <c r="B343">
        <v>342</v>
      </c>
      <c r="C343" t="s">
        <v>5</v>
      </c>
      <c r="D343" t="s">
        <v>430</v>
      </c>
      <c r="E343" t="s">
        <v>433</v>
      </c>
      <c r="F343" t="s">
        <v>150</v>
      </c>
      <c r="G343" t="s">
        <v>152</v>
      </c>
    </row>
    <row r="344" spans="1:7" x14ac:dyDescent="0.25">
      <c r="A344" t="s">
        <v>782</v>
      </c>
      <c r="B344">
        <v>343</v>
      </c>
      <c r="C344" t="s">
        <v>5</v>
      </c>
      <c r="D344" t="s">
        <v>390</v>
      </c>
      <c r="E344" t="s">
        <v>413</v>
      </c>
      <c r="F344" t="s">
        <v>148</v>
      </c>
      <c r="G344" t="s">
        <v>32</v>
      </c>
    </row>
    <row r="345" spans="1:7" x14ac:dyDescent="0.25">
      <c r="A345" t="s">
        <v>783</v>
      </c>
      <c r="B345">
        <v>344</v>
      </c>
      <c r="C345" t="s">
        <v>5</v>
      </c>
      <c r="D345" t="s">
        <v>391</v>
      </c>
      <c r="E345" t="s">
        <v>414</v>
      </c>
      <c r="F345" t="s">
        <v>148</v>
      </c>
      <c r="G345" t="s">
        <v>32</v>
      </c>
    </row>
    <row r="346" spans="1:7" x14ac:dyDescent="0.25">
      <c r="A346" t="s">
        <v>784</v>
      </c>
      <c r="B346">
        <v>345</v>
      </c>
      <c r="C346" t="s">
        <v>5</v>
      </c>
      <c r="D346" t="s">
        <v>392</v>
      </c>
      <c r="E346" t="s">
        <v>415</v>
      </c>
      <c r="F346" t="s">
        <v>148</v>
      </c>
      <c r="G346" t="s">
        <v>32</v>
      </c>
    </row>
    <row r="347" spans="1:7" x14ac:dyDescent="0.25">
      <c r="A347" t="s">
        <v>785</v>
      </c>
      <c r="B347">
        <v>346</v>
      </c>
      <c r="C347" t="s">
        <v>5</v>
      </c>
      <c r="D347" t="s">
        <v>393</v>
      </c>
      <c r="E347" t="s">
        <v>416</v>
      </c>
      <c r="F347" t="s">
        <v>148</v>
      </c>
      <c r="G347" t="s">
        <v>32</v>
      </c>
    </row>
    <row r="348" spans="1:7" x14ac:dyDescent="0.25">
      <c r="A348" t="s">
        <v>786</v>
      </c>
      <c r="B348">
        <v>347</v>
      </c>
      <c r="C348" t="s">
        <v>5</v>
      </c>
      <c r="D348" t="s">
        <v>399</v>
      </c>
      <c r="E348" t="s">
        <v>422</v>
      </c>
      <c r="F348" t="s">
        <v>148</v>
      </c>
      <c r="G348" t="s">
        <v>32</v>
      </c>
    </row>
    <row r="349" spans="1:7" x14ac:dyDescent="0.25">
      <c r="A349" t="s">
        <v>787</v>
      </c>
      <c r="B349">
        <v>348</v>
      </c>
      <c r="C349" t="s">
        <v>5</v>
      </c>
      <c r="D349" t="s">
        <v>400</v>
      </c>
      <c r="E349" t="s">
        <v>423</v>
      </c>
      <c r="F349" t="s">
        <v>149</v>
      </c>
      <c r="G349" t="s">
        <v>32</v>
      </c>
    </row>
    <row r="350" spans="1:7" x14ac:dyDescent="0.25">
      <c r="A350" t="s">
        <v>788</v>
      </c>
      <c r="B350">
        <v>349</v>
      </c>
      <c r="C350" t="s">
        <v>5</v>
      </c>
      <c r="D350" t="s">
        <v>401</v>
      </c>
      <c r="E350" t="s">
        <v>424</v>
      </c>
      <c r="F350" t="s">
        <v>149</v>
      </c>
      <c r="G350" t="s">
        <v>32</v>
      </c>
    </row>
    <row r="351" spans="1:7" x14ac:dyDescent="0.25">
      <c r="A351" t="s">
        <v>789</v>
      </c>
      <c r="B351">
        <v>350</v>
      </c>
      <c r="C351" t="s">
        <v>5</v>
      </c>
      <c r="D351" t="s">
        <v>402</v>
      </c>
      <c r="E351" t="s">
        <v>425</v>
      </c>
      <c r="F351" t="s">
        <v>148</v>
      </c>
      <c r="G351" t="s">
        <v>32</v>
      </c>
    </row>
    <row r="352" spans="1:7" x14ac:dyDescent="0.25">
      <c r="A352" t="s">
        <v>790</v>
      </c>
      <c r="B352">
        <v>351</v>
      </c>
      <c r="C352" t="s">
        <v>5</v>
      </c>
      <c r="D352" t="s">
        <v>403</v>
      </c>
      <c r="E352" t="s">
        <v>426</v>
      </c>
      <c r="F352" t="s">
        <v>148</v>
      </c>
      <c r="G352" t="s">
        <v>32</v>
      </c>
    </row>
    <row r="353" spans="1:7" x14ac:dyDescent="0.25">
      <c r="A353" t="s">
        <v>791</v>
      </c>
      <c r="B353">
        <v>352</v>
      </c>
      <c r="C353" t="s">
        <v>5</v>
      </c>
      <c r="D353" t="s">
        <v>404</v>
      </c>
      <c r="E353" t="s">
        <v>427</v>
      </c>
      <c r="F353" t="s">
        <v>148</v>
      </c>
      <c r="G353" t="s">
        <v>32</v>
      </c>
    </row>
    <row r="354" spans="1:7" x14ac:dyDescent="0.25">
      <c r="A354" t="s">
        <v>792</v>
      </c>
      <c r="B354">
        <v>353</v>
      </c>
      <c r="C354" t="s">
        <v>5</v>
      </c>
      <c r="D354" t="s">
        <v>408</v>
      </c>
      <c r="E354" t="s">
        <v>431</v>
      </c>
      <c r="F354" t="s">
        <v>149</v>
      </c>
      <c r="G354" t="s">
        <v>32</v>
      </c>
    </row>
    <row r="355" spans="1:7" x14ac:dyDescent="0.25">
      <c r="A355" t="s">
        <v>793</v>
      </c>
      <c r="B355">
        <v>354</v>
      </c>
      <c r="C355" t="s">
        <v>5</v>
      </c>
      <c r="D355" t="s">
        <v>409</v>
      </c>
      <c r="E355" t="s">
        <v>432</v>
      </c>
      <c r="F355" t="s">
        <v>149</v>
      </c>
      <c r="G355" t="s">
        <v>32</v>
      </c>
    </row>
    <row r="356" spans="1:7" x14ac:dyDescent="0.25">
      <c r="A356" t="s">
        <v>794</v>
      </c>
      <c r="B356">
        <v>355</v>
      </c>
      <c r="C356" t="s">
        <v>5</v>
      </c>
      <c r="D356" t="s">
        <v>410</v>
      </c>
      <c r="E356" t="s">
        <v>433</v>
      </c>
      <c r="F356" t="s">
        <v>149</v>
      </c>
      <c r="G356" t="s">
        <v>32</v>
      </c>
    </row>
    <row r="357" spans="1:7" x14ac:dyDescent="0.25">
      <c r="A357" t="s">
        <v>795</v>
      </c>
      <c r="B357">
        <v>356</v>
      </c>
      <c r="C357" t="s">
        <v>5</v>
      </c>
      <c r="D357" t="s">
        <v>411</v>
      </c>
      <c r="E357" t="s">
        <v>434</v>
      </c>
      <c r="F357" t="s">
        <v>149</v>
      </c>
      <c r="G357" t="s">
        <v>32</v>
      </c>
    </row>
    <row r="358" spans="1:7" x14ac:dyDescent="0.25">
      <c r="A358" t="s">
        <v>796</v>
      </c>
      <c r="B358">
        <v>357</v>
      </c>
      <c r="C358" t="s">
        <v>5</v>
      </c>
      <c r="D358" t="s">
        <v>394</v>
      </c>
      <c r="E358" t="s">
        <v>417</v>
      </c>
      <c r="F358" t="s">
        <v>146</v>
      </c>
      <c r="G358" t="s">
        <v>31</v>
      </c>
    </row>
    <row r="359" spans="1:7" x14ac:dyDescent="0.25">
      <c r="A359" t="s">
        <v>797</v>
      </c>
      <c r="B359">
        <v>358</v>
      </c>
      <c r="C359" t="s">
        <v>5</v>
      </c>
      <c r="D359" t="s">
        <v>405</v>
      </c>
      <c r="E359" t="s">
        <v>428</v>
      </c>
      <c r="F359" t="s">
        <v>146</v>
      </c>
      <c r="G359" t="s">
        <v>31</v>
      </c>
    </row>
    <row r="360" spans="1:7" x14ac:dyDescent="0.25">
      <c r="A360" t="s">
        <v>798</v>
      </c>
      <c r="B360">
        <v>359</v>
      </c>
      <c r="C360" t="s">
        <v>5</v>
      </c>
      <c r="D360" t="s">
        <v>397</v>
      </c>
      <c r="E360" t="s">
        <v>420</v>
      </c>
      <c r="F360" t="s">
        <v>147</v>
      </c>
      <c r="G360" t="s">
        <v>32</v>
      </c>
    </row>
    <row r="361" spans="1:7" x14ac:dyDescent="0.25">
      <c r="A361" t="s">
        <v>799</v>
      </c>
      <c r="B361">
        <v>360</v>
      </c>
      <c r="C361" t="s">
        <v>5</v>
      </c>
      <c r="D361" t="s">
        <v>398</v>
      </c>
      <c r="E361" t="s">
        <v>421</v>
      </c>
      <c r="F361" t="s">
        <v>147</v>
      </c>
      <c r="G361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Dashboard</vt:lpstr>
      <vt:lpstr>changlog</vt:lpstr>
      <vt:lpstr>Floor Plan</vt:lpstr>
      <vt:lpstr>Tables</vt:lpstr>
      <vt:lpstr>recorders</vt:lpstr>
      <vt:lpstr>loadCases</vt:lpstr>
      <vt:lpstr>nodeLoads</vt:lpstr>
      <vt:lpstr>eleProperties</vt:lpstr>
      <vt:lpstr>eleTransf</vt:lpstr>
      <vt:lpstr>nodes</vt:lpstr>
      <vt:lpstr>nodeFix</vt:lpstr>
      <vt:lpstr>diaphragms</vt:lpstr>
      <vt:lpstr>nodeMass</vt:lpstr>
      <vt:lpstr>elements</vt:lpstr>
      <vt:lpstr>Fixity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wroser</dc:creator>
  <cp:lastModifiedBy>wroser</cp:lastModifiedBy>
  <dcterms:created xsi:type="dcterms:W3CDTF">2021-11-15T19:18:51Z</dcterms:created>
  <dcterms:modified xsi:type="dcterms:W3CDTF">2022-05-24T21:17:51Z</dcterms:modified>
</cp:coreProperties>
</file>